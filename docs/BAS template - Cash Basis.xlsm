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026" codeName="{00000000-0000-0000-0000-000000000000}"/>
  <workbookPr codeName="ThisWorkbook" hidePivotFieldList="1"/>
  <mc:AlternateContent xmlns:mc="http://schemas.openxmlformats.org/markup-compatibility/2006">
    <mc:Choice Requires="x15">
      <x15ac:absPath xmlns:x15ac="http://schemas.microsoft.com/office/spreadsheetml/2010/11/ac" url="https://dexterousgroup-my.sharepoint.com/personal/developers_dexterousgroup_com_au/Documents/Clients/Current/Bookkeeping &amp; Accounting/1. Template/BAS &amp; IAS/BAS/BAS Quarterly/"/>
    </mc:Choice>
  </mc:AlternateContent>
  <xr:revisionPtr revIDLastSave="41" documentId="13_ncr:1_{1D7D7794-E126-43D4-921A-E18AE74DE4EB}" xr6:coauthVersionLast="47" xr6:coauthVersionMax="47" xr10:uidLastSave="{024BCDD4-E3B7-432A-89D4-BE2B602E9FCB}"/>
  <bookViews>
    <workbookView minimized="1" xWindow="28170" yWindow="4440" windowWidth="14400" windowHeight="7365" tabRatio="702" firstSheet="4" activeTab="11" xr2:uid="{00000000-000D-0000-FFFF-FFFF00000000}"/>
  </bookViews>
  <sheets>
    <sheet name="FY2021" sheetId="260" state="hidden" r:id="rId1"/>
    <sheet name="FY2020" sheetId="261" state="hidden" r:id="rId2"/>
    <sheet name="PAYGI" sheetId="262" state="hidden" r:id="rId3"/>
    <sheet name="Unfiled" sheetId="259" state="hidden" r:id="rId4"/>
    <sheet name="GST Summary" sheetId="4" r:id="rId5"/>
    <sheet name="GST Detail" sheetId="5" r:id="rId6"/>
    <sheet name="BAS field" sheetId="80" r:id="rId7"/>
    <sheet name="BS " sheetId="62" r:id="rId8"/>
    <sheet name="P&amp;L " sheetId="63" r:id="rId9"/>
    <sheet name="Payroll Activity Smry" sheetId="11" r:id="rId10"/>
    <sheet name="AP" sheetId="264" r:id="rId11"/>
    <sheet name="AR" sheetId="263" r:id="rId12"/>
  </sheets>
  <definedNames>
    <definedName name="_xlnm._FilterDatabase" localSheetId="5" hidden="1">'GST Detail'!$A$1:$R$11422</definedName>
    <definedName name="_xlnm._FilterDatabase" localSheetId="4" hidden="1">'GST Summary'!$C$1:$C$165</definedName>
    <definedName name="_xlnm._FilterDatabase" localSheetId="8" hidden="1">'P&amp;L '!$A$1:$M$48</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1" i="264" l="1"/>
  <c r="E32" i="264" s="1"/>
  <c r="E11" i="264"/>
  <c r="F11" i="264"/>
  <c r="G11" i="264"/>
  <c r="H11" i="264"/>
  <c r="I11" i="264"/>
  <c r="J11" i="264"/>
  <c r="K11" i="264"/>
  <c r="D15" i="264"/>
  <c r="E15" i="264"/>
  <c r="F15" i="264"/>
  <c r="G15" i="264"/>
  <c r="H15" i="264"/>
  <c r="I15" i="264"/>
  <c r="J15" i="264"/>
  <c r="K15" i="264"/>
  <c r="D19" i="264"/>
  <c r="E19" i="264"/>
  <c r="F19" i="264"/>
  <c r="G19" i="264"/>
  <c r="H19" i="264"/>
  <c r="I19" i="264"/>
  <c r="J19" i="264"/>
  <c r="K19" i="264"/>
  <c r="D23" i="264"/>
  <c r="E23" i="264"/>
  <c r="F23" i="264"/>
  <c r="G23" i="264"/>
  <c r="H23" i="264"/>
  <c r="I23" i="264"/>
  <c r="J23" i="264"/>
  <c r="K23" i="264"/>
  <c r="D28" i="264"/>
  <c r="E28" i="264"/>
  <c r="F28" i="264"/>
  <c r="G28" i="264"/>
  <c r="H28" i="264"/>
  <c r="I28" i="264"/>
  <c r="J28" i="264"/>
  <c r="K28" i="264"/>
  <c r="D30" i="264"/>
  <c r="E30" i="264"/>
  <c r="F30" i="264"/>
  <c r="G30" i="264"/>
  <c r="H30" i="264"/>
  <c r="I30" i="264"/>
  <c r="J30" i="264"/>
  <c r="K30" i="264"/>
  <c r="D32" i="264"/>
  <c r="J32" i="264"/>
  <c r="K32" i="264"/>
  <c r="K375" i="263"/>
  <c r="K373" i="263"/>
  <c r="J373" i="263"/>
  <c r="I373" i="263"/>
  <c r="H373" i="263"/>
  <c r="G373" i="263"/>
  <c r="F373" i="263"/>
  <c r="E373" i="263"/>
  <c r="K368" i="263"/>
  <c r="J368" i="263"/>
  <c r="I368" i="263"/>
  <c r="H368" i="263"/>
  <c r="G368" i="263"/>
  <c r="F368" i="263"/>
  <c r="E368" i="263"/>
  <c r="K364" i="263"/>
  <c r="J364" i="263"/>
  <c r="I364" i="263"/>
  <c r="H364" i="263"/>
  <c r="G364" i="263"/>
  <c r="F364" i="263"/>
  <c r="E364" i="263"/>
  <c r="K360" i="263"/>
  <c r="J360" i="263"/>
  <c r="I360" i="263"/>
  <c r="H360" i="263"/>
  <c r="G360" i="263"/>
  <c r="F360" i="263"/>
  <c r="E360" i="263"/>
  <c r="K356" i="263"/>
  <c r="J356" i="263"/>
  <c r="I356" i="263"/>
  <c r="H356" i="263"/>
  <c r="G356" i="263"/>
  <c r="F356" i="263"/>
  <c r="E356" i="263"/>
  <c r="K351" i="263"/>
  <c r="J351" i="263"/>
  <c r="I351" i="263"/>
  <c r="H351" i="263"/>
  <c r="G351" i="263"/>
  <c r="F351" i="263"/>
  <c r="E351" i="263"/>
  <c r="K347" i="263"/>
  <c r="J347" i="263"/>
  <c r="I347" i="263"/>
  <c r="H347" i="263"/>
  <c r="G347" i="263"/>
  <c r="F347" i="263"/>
  <c r="E347" i="263"/>
  <c r="K343" i="263"/>
  <c r="J343" i="263"/>
  <c r="I343" i="263"/>
  <c r="H343" i="263"/>
  <c r="G343" i="263"/>
  <c r="F343" i="263"/>
  <c r="E343" i="263"/>
  <c r="K339" i="263"/>
  <c r="J339" i="263"/>
  <c r="I339" i="263"/>
  <c r="H339" i="263"/>
  <c r="G339" i="263"/>
  <c r="F339" i="263"/>
  <c r="E339" i="263"/>
  <c r="K335" i="263"/>
  <c r="J335" i="263"/>
  <c r="I335" i="263"/>
  <c r="H335" i="263"/>
  <c r="G335" i="263"/>
  <c r="F335" i="263"/>
  <c r="E335" i="263"/>
  <c r="K331" i="263"/>
  <c r="J331" i="263"/>
  <c r="I331" i="263"/>
  <c r="H331" i="263"/>
  <c r="G331" i="263"/>
  <c r="F331" i="263"/>
  <c r="E331" i="263"/>
  <c r="K326" i="263"/>
  <c r="J326" i="263"/>
  <c r="I326" i="263"/>
  <c r="H326" i="263"/>
  <c r="G326" i="263"/>
  <c r="F326" i="263"/>
  <c r="E326" i="263"/>
  <c r="K321" i="263"/>
  <c r="J321" i="263"/>
  <c r="I321" i="263"/>
  <c r="H321" i="263"/>
  <c r="G321" i="263"/>
  <c r="F321" i="263"/>
  <c r="E321" i="263"/>
  <c r="K317" i="263"/>
  <c r="J317" i="263"/>
  <c r="I317" i="263"/>
  <c r="H317" i="263"/>
  <c r="G317" i="263"/>
  <c r="F317" i="263"/>
  <c r="E317" i="263"/>
  <c r="K310" i="263"/>
  <c r="J310" i="263"/>
  <c r="I310" i="263"/>
  <c r="H310" i="263"/>
  <c r="G310" i="263"/>
  <c r="F310" i="263"/>
  <c r="E310" i="263"/>
  <c r="K306" i="263"/>
  <c r="J306" i="263"/>
  <c r="I306" i="263"/>
  <c r="H306" i="263"/>
  <c r="G306" i="263"/>
  <c r="F306" i="263"/>
  <c r="E306" i="263"/>
  <c r="K302" i="263"/>
  <c r="J302" i="263"/>
  <c r="I302" i="263"/>
  <c r="H302" i="263"/>
  <c r="G302" i="263"/>
  <c r="F302" i="263"/>
  <c r="E302" i="263"/>
  <c r="K298" i="263"/>
  <c r="J298" i="263"/>
  <c r="I298" i="263"/>
  <c r="H298" i="263"/>
  <c r="G298" i="263"/>
  <c r="F298" i="263"/>
  <c r="E298" i="263"/>
  <c r="K293" i="263"/>
  <c r="J293" i="263"/>
  <c r="I293" i="263"/>
  <c r="H293" i="263"/>
  <c r="G293" i="263"/>
  <c r="F293" i="263"/>
  <c r="E293" i="263"/>
  <c r="K289" i="263"/>
  <c r="J289" i="263"/>
  <c r="I289" i="263"/>
  <c r="H289" i="263"/>
  <c r="G289" i="263"/>
  <c r="F289" i="263"/>
  <c r="E289" i="263"/>
  <c r="K285" i="263"/>
  <c r="J285" i="263"/>
  <c r="I285" i="263"/>
  <c r="H285" i="263"/>
  <c r="G285" i="263"/>
  <c r="F285" i="263"/>
  <c r="E285" i="263"/>
  <c r="K281" i="263"/>
  <c r="J281" i="263"/>
  <c r="I281" i="263"/>
  <c r="H281" i="263"/>
  <c r="G281" i="263"/>
  <c r="F281" i="263"/>
  <c r="E281" i="263"/>
  <c r="K276" i="263"/>
  <c r="J276" i="263"/>
  <c r="I276" i="263"/>
  <c r="H276" i="263"/>
  <c r="G276" i="263"/>
  <c r="F276" i="263"/>
  <c r="E276" i="263"/>
  <c r="K272" i="263"/>
  <c r="J272" i="263"/>
  <c r="I272" i="263"/>
  <c r="H272" i="263"/>
  <c r="G272" i="263"/>
  <c r="F272" i="263"/>
  <c r="E272" i="263"/>
  <c r="K268" i="263"/>
  <c r="J268" i="263"/>
  <c r="I268" i="263"/>
  <c r="H268" i="263"/>
  <c r="G268" i="263"/>
  <c r="F268" i="263"/>
  <c r="E268" i="263"/>
  <c r="K264" i="263"/>
  <c r="J264" i="263"/>
  <c r="I264" i="263"/>
  <c r="H264" i="263"/>
  <c r="G264" i="263"/>
  <c r="F264" i="263"/>
  <c r="E264" i="263"/>
  <c r="K260" i="263"/>
  <c r="J260" i="263"/>
  <c r="I260" i="263"/>
  <c r="H260" i="263"/>
  <c r="G260" i="263"/>
  <c r="F260" i="263"/>
  <c r="E260" i="263"/>
  <c r="K256" i="263"/>
  <c r="J256" i="263"/>
  <c r="I256" i="263"/>
  <c r="H256" i="263"/>
  <c r="G256" i="263"/>
  <c r="F256" i="263"/>
  <c r="E256" i="263"/>
  <c r="K252" i="263"/>
  <c r="J252" i="263"/>
  <c r="I252" i="263"/>
  <c r="H252" i="263"/>
  <c r="G252" i="263"/>
  <c r="F252" i="263"/>
  <c r="E252" i="263"/>
  <c r="K248" i="263"/>
  <c r="J248" i="263"/>
  <c r="I248" i="263"/>
  <c r="H248" i="263"/>
  <c r="G248" i="263"/>
  <c r="F248" i="263"/>
  <c r="E248" i="263"/>
  <c r="K244" i="263"/>
  <c r="J244" i="263"/>
  <c r="I244" i="263"/>
  <c r="H244" i="263"/>
  <c r="G244" i="263"/>
  <c r="F244" i="263"/>
  <c r="E244" i="263"/>
  <c r="K240" i="263"/>
  <c r="J240" i="263"/>
  <c r="I240" i="263"/>
  <c r="H240" i="263"/>
  <c r="G240" i="263"/>
  <c r="F240" i="263"/>
  <c r="E240" i="263"/>
  <c r="K236" i="263"/>
  <c r="J236" i="263"/>
  <c r="I236" i="263"/>
  <c r="H236" i="263"/>
  <c r="G236" i="263"/>
  <c r="F236" i="263"/>
  <c r="E236" i="263"/>
  <c r="K232" i="263"/>
  <c r="J232" i="263"/>
  <c r="I232" i="263"/>
  <c r="H232" i="263"/>
  <c r="G232" i="263"/>
  <c r="F232" i="263"/>
  <c r="E232" i="263"/>
  <c r="K227" i="263"/>
  <c r="J227" i="263"/>
  <c r="I227" i="263"/>
  <c r="H227" i="263"/>
  <c r="G227" i="263"/>
  <c r="F227" i="263"/>
  <c r="E227" i="263"/>
  <c r="K223" i="263"/>
  <c r="J223" i="263"/>
  <c r="I223" i="263"/>
  <c r="H223" i="263"/>
  <c r="G223" i="263"/>
  <c r="F223" i="263"/>
  <c r="E223" i="263"/>
  <c r="K217" i="263"/>
  <c r="J217" i="263"/>
  <c r="I217" i="263"/>
  <c r="H217" i="263"/>
  <c r="G217" i="263"/>
  <c r="F217" i="263"/>
  <c r="E217" i="263"/>
  <c r="K213" i="263"/>
  <c r="J213" i="263"/>
  <c r="I213" i="263"/>
  <c r="H213" i="263"/>
  <c r="G213" i="263"/>
  <c r="F213" i="263"/>
  <c r="E213" i="263"/>
  <c r="K209" i="263"/>
  <c r="J209" i="263"/>
  <c r="I209" i="263"/>
  <c r="H209" i="263"/>
  <c r="G209" i="263"/>
  <c r="F209" i="263"/>
  <c r="E209" i="263"/>
  <c r="K205" i="263"/>
  <c r="J205" i="263"/>
  <c r="I205" i="263"/>
  <c r="H205" i="263"/>
  <c r="G205" i="263"/>
  <c r="F205" i="263"/>
  <c r="E205" i="263"/>
  <c r="K201" i="263"/>
  <c r="J201" i="263"/>
  <c r="I201" i="263"/>
  <c r="H201" i="263"/>
  <c r="G201" i="263"/>
  <c r="F201" i="263"/>
  <c r="E201" i="263"/>
  <c r="K197" i="263"/>
  <c r="J197" i="263"/>
  <c r="I197" i="263"/>
  <c r="H197" i="263"/>
  <c r="G197" i="263"/>
  <c r="F197" i="263"/>
  <c r="E197" i="263"/>
  <c r="K192" i="263"/>
  <c r="J192" i="263"/>
  <c r="I192" i="263"/>
  <c r="H192" i="263"/>
  <c r="G192" i="263"/>
  <c r="F192" i="263"/>
  <c r="E192" i="263"/>
  <c r="K188" i="263"/>
  <c r="J188" i="263"/>
  <c r="I188" i="263"/>
  <c r="H188" i="263"/>
  <c r="G188" i="263"/>
  <c r="F188" i="263"/>
  <c r="E188" i="263"/>
  <c r="K183" i="263"/>
  <c r="J183" i="263"/>
  <c r="I183" i="263"/>
  <c r="H183" i="263"/>
  <c r="G183" i="263"/>
  <c r="F183" i="263"/>
  <c r="E183" i="263"/>
  <c r="K179" i="263"/>
  <c r="J179" i="263"/>
  <c r="I179" i="263"/>
  <c r="H179" i="263"/>
  <c r="G179" i="263"/>
  <c r="F179" i="263"/>
  <c r="E179" i="263"/>
  <c r="K175" i="263"/>
  <c r="J175" i="263"/>
  <c r="I175" i="263"/>
  <c r="H175" i="263"/>
  <c r="G175" i="263"/>
  <c r="F175" i="263"/>
  <c r="E175" i="263"/>
  <c r="K171" i="263"/>
  <c r="J171" i="263"/>
  <c r="I171" i="263"/>
  <c r="H171" i="263"/>
  <c r="G171" i="263"/>
  <c r="F171" i="263"/>
  <c r="E171" i="263"/>
  <c r="K164" i="263"/>
  <c r="J164" i="263"/>
  <c r="I164" i="263"/>
  <c r="H164" i="263"/>
  <c r="G164" i="263"/>
  <c r="F164" i="263"/>
  <c r="E164" i="263"/>
  <c r="K160" i="263"/>
  <c r="J160" i="263"/>
  <c r="I160" i="263"/>
  <c r="H160" i="263"/>
  <c r="G160" i="263"/>
  <c r="F160" i="263"/>
  <c r="E160" i="263"/>
  <c r="K156" i="263"/>
  <c r="J156" i="263"/>
  <c r="I156" i="263"/>
  <c r="H156" i="263"/>
  <c r="G156" i="263"/>
  <c r="F156" i="263"/>
  <c r="E156" i="263"/>
  <c r="K152" i="263"/>
  <c r="J152" i="263"/>
  <c r="I152" i="263"/>
  <c r="H152" i="263"/>
  <c r="G152" i="263"/>
  <c r="F152" i="263"/>
  <c r="E152" i="263"/>
  <c r="K148" i="263"/>
  <c r="J148" i="263"/>
  <c r="I148" i="263"/>
  <c r="H148" i="263"/>
  <c r="G148" i="263"/>
  <c r="F148" i="263"/>
  <c r="E148" i="263"/>
  <c r="K144" i="263"/>
  <c r="J144" i="263"/>
  <c r="I144" i="263"/>
  <c r="H144" i="263"/>
  <c r="G144" i="263"/>
  <c r="F144" i="263"/>
  <c r="E144" i="263"/>
  <c r="K140" i="263"/>
  <c r="J140" i="263"/>
  <c r="I140" i="263"/>
  <c r="H140" i="263"/>
  <c r="G140" i="263"/>
  <c r="F140" i="263"/>
  <c r="E140" i="263"/>
  <c r="K136" i="263"/>
  <c r="J136" i="263"/>
  <c r="I136" i="263"/>
  <c r="H136" i="263"/>
  <c r="G136" i="263"/>
  <c r="F136" i="263"/>
  <c r="E136" i="263"/>
  <c r="K132" i="263"/>
  <c r="J132" i="263"/>
  <c r="I132" i="263"/>
  <c r="H132" i="263"/>
  <c r="G132" i="263"/>
  <c r="F132" i="263"/>
  <c r="E132" i="263"/>
  <c r="K128" i="263"/>
  <c r="J128" i="263"/>
  <c r="I128" i="263"/>
  <c r="H128" i="263"/>
  <c r="G128" i="263"/>
  <c r="F128" i="263"/>
  <c r="E128" i="263"/>
  <c r="K124" i="263"/>
  <c r="J124" i="263"/>
  <c r="I124" i="263"/>
  <c r="H124" i="263"/>
  <c r="G124" i="263"/>
  <c r="F124" i="263"/>
  <c r="E124" i="263"/>
  <c r="K120" i="263"/>
  <c r="J120" i="263"/>
  <c r="I120" i="263"/>
  <c r="H120" i="263"/>
  <c r="G120" i="263"/>
  <c r="F120" i="263"/>
  <c r="E120" i="263"/>
  <c r="K116" i="263"/>
  <c r="J116" i="263"/>
  <c r="I116" i="263"/>
  <c r="H116" i="263"/>
  <c r="G116" i="263"/>
  <c r="F116" i="263"/>
  <c r="E116" i="263"/>
  <c r="K112" i="263"/>
  <c r="J112" i="263"/>
  <c r="I112" i="263"/>
  <c r="H112" i="263"/>
  <c r="G112" i="263"/>
  <c r="F112" i="263"/>
  <c r="E112" i="263"/>
  <c r="K108" i="263"/>
  <c r="J108" i="263"/>
  <c r="I108" i="263"/>
  <c r="H108" i="263"/>
  <c r="G108" i="263"/>
  <c r="F108" i="263"/>
  <c r="E108" i="263"/>
  <c r="K104" i="263"/>
  <c r="J104" i="263"/>
  <c r="I104" i="263"/>
  <c r="H104" i="263"/>
  <c r="G104" i="263"/>
  <c r="F104" i="263"/>
  <c r="E104" i="263"/>
  <c r="K100" i="263"/>
  <c r="J100" i="263"/>
  <c r="I100" i="263"/>
  <c r="H100" i="263"/>
  <c r="G100" i="263"/>
  <c r="F100" i="263"/>
  <c r="E100" i="263"/>
  <c r="K96" i="263"/>
  <c r="J96" i="263"/>
  <c r="I96" i="263"/>
  <c r="H96" i="263"/>
  <c r="G96" i="263"/>
  <c r="F96" i="263"/>
  <c r="E96" i="263"/>
  <c r="K92" i="263"/>
  <c r="J92" i="263"/>
  <c r="I92" i="263"/>
  <c r="H92" i="263"/>
  <c r="G92" i="263"/>
  <c r="F92" i="263"/>
  <c r="E92" i="263"/>
  <c r="K88" i="263"/>
  <c r="J88" i="263"/>
  <c r="I88" i="263"/>
  <c r="H88" i="263"/>
  <c r="G88" i="263"/>
  <c r="F88" i="263"/>
  <c r="E88" i="263"/>
  <c r="K84" i="263"/>
  <c r="J84" i="263"/>
  <c r="I84" i="263"/>
  <c r="H84" i="263"/>
  <c r="G84" i="263"/>
  <c r="F84" i="263"/>
  <c r="E84" i="263"/>
  <c r="K80" i="263"/>
  <c r="J80" i="263"/>
  <c r="I80" i="263"/>
  <c r="H80" i="263"/>
  <c r="G80" i="263"/>
  <c r="F80" i="263"/>
  <c r="E80" i="263"/>
  <c r="K76" i="263"/>
  <c r="J76" i="263"/>
  <c r="I76" i="263"/>
  <c r="H76" i="263"/>
  <c r="G76" i="263"/>
  <c r="F76" i="263"/>
  <c r="E76" i="263"/>
  <c r="K72" i="263"/>
  <c r="J72" i="263"/>
  <c r="I72" i="263"/>
  <c r="H72" i="263"/>
  <c r="G72" i="263"/>
  <c r="F72" i="263"/>
  <c r="E72" i="263"/>
  <c r="K68" i="263"/>
  <c r="J68" i="263"/>
  <c r="I68" i="263"/>
  <c r="H68" i="263"/>
  <c r="G68" i="263"/>
  <c r="F68" i="263"/>
  <c r="E68" i="263"/>
  <c r="K64" i="263"/>
  <c r="J64" i="263"/>
  <c r="I64" i="263"/>
  <c r="H64" i="263"/>
  <c r="G64" i="263"/>
  <c r="F64" i="263"/>
  <c r="E64" i="263"/>
  <c r="K60" i="263"/>
  <c r="J60" i="263"/>
  <c r="I60" i="263"/>
  <c r="H60" i="263"/>
  <c r="G60" i="263"/>
  <c r="F60" i="263"/>
  <c r="E60" i="263"/>
  <c r="K56" i="263"/>
  <c r="J56" i="263"/>
  <c r="I56" i="263"/>
  <c r="H56" i="263"/>
  <c r="G56" i="263"/>
  <c r="F56" i="263"/>
  <c r="E56" i="263"/>
  <c r="K52" i="263"/>
  <c r="J52" i="263"/>
  <c r="I52" i="263"/>
  <c r="H52" i="263"/>
  <c r="G52" i="263"/>
  <c r="F52" i="263"/>
  <c r="E52" i="263"/>
  <c r="K48" i="263"/>
  <c r="J48" i="263"/>
  <c r="I48" i="263"/>
  <c r="H48" i="263"/>
  <c r="G48" i="263"/>
  <c r="F48" i="263"/>
  <c r="E48" i="263"/>
  <c r="K43" i="263"/>
  <c r="J43" i="263"/>
  <c r="I43" i="263"/>
  <c r="H43" i="263"/>
  <c r="G43" i="263"/>
  <c r="F43" i="263"/>
  <c r="E43" i="263"/>
  <c r="K39" i="263"/>
  <c r="J39" i="263"/>
  <c r="I39" i="263"/>
  <c r="H39" i="263"/>
  <c r="G39" i="263"/>
  <c r="F39" i="263"/>
  <c r="E39" i="263"/>
  <c r="K35" i="263"/>
  <c r="J35" i="263"/>
  <c r="I35" i="263"/>
  <c r="H35" i="263"/>
  <c r="G35" i="263"/>
  <c r="F35" i="263"/>
  <c r="E35" i="263"/>
  <c r="K31" i="263"/>
  <c r="J31" i="263"/>
  <c r="I31" i="263"/>
  <c r="H31" i="263"/>
  <c r="G31" i="263"/>
  <c r="F31" i="263"/>
  <c r="E31" i="263"/>
  <c r="K27" i="263"/>
  <c r="J27" i="263"/>
  <c r="I27" i="263"/>
  <c r="H27" i="263"/>
  <c r="G27" i="263"/>
  <c r="F27" i="263"/>
  <c r="E27" i="263"/>
  <c r="K23" i="263"/>
  <c r="J23" i="263"/>
  <c r="I23" i="263"/>
  <c r="H23" i="263"/>
  <c r="G23" i="263"/>
  <c r="F23" i="263"/>
  <c r="E23" i="263"/>
  <c r="K19" i="263"/>
  <c r="J19" i="263"/>
  <c r="I19" i="263"/>
  <c r="H19" i="263"/>
  <c r="G19" i="263"/>
  <c r="F19" i="263"/>
  <c r="E19" i="263"/>
  <c r="K15" i="263"/>
  <c r="J15" i="263"/>
  <c r="I15" i="263"/>
  <c r="H15" i="263"/>
  <c r="G15" i="263"/>
  <c r="F15" i="263"/>
  <c r="E15" i="263"/>
  <c r="K11" i="263"/>
  <c r="K377" i="263" s="1"/>
  <c r="J11" i="263"/>
  <c r="J375" i="263" s="1"/>
  <c r="I11" i="263"/>
  <c r="I375" i="263" s="1"/>
  <c r="H11" i="263"/>
  <c r="H375" i="263" s="1"/>
  <c r="G11" i="263"/>
  <c r="G375" i="263" s="1"/>
  <c r="F11" i="263"/>
  <c r="F375" i="263" s="1"/>
  <c r="E11" i="263"/>
  <c r="E375" i="263" s="1"/>
  <c r="D69" i="62"/>
  <c r="C69" i="62"/>
  <c r="B69" i="62"/>
  <c r="C59" i="62"/>
  <c r="B59" i="62"/>
  <c r="D57" i="62"/>
  <c r="C57" i="62"/>
  <c r="B57" i="62"/>
  <c r="D50" i="62"/>
  <c r="D59" i="62" s="1"/>
  <c r="C50" i="62"/>
  <c r="B50" i="62"/>
  <c r="B38" i="62"/>
  <c r="B61" i="62" s="1"/>
  <c r="D36" i="62"/>
  <c r="C36" i="62"/>
  <c r="B36" i="62"/>
  <c r="D31" i="62"/>
  <c r="C31" i="62"/>
  <c r="B31" i="62"/>
  <c r="D22" i="62"/>
  <c r="C22" i="62"/>
  <c r="C38" i="62" s="1"/>
  <c r="C61" i="62" s="1"/>
  <c r="B22" i="62"/>
  <c r="D14" i="62"/>
  <c r="D38" i="62" s="1"/>
  <c r="C14" i="62"/>
  <c r="B14" i="62"/>
  <c r="E62" i="63"/>
  <c r="D62" i="63"/>
  <c r="C62" i="63"/>
  <c r="B62" i="63"/>
  <c r="E38" i="63"/>
  <c r="D38" i="63"/>
  <c r="C38" i="63"/>
  <c r="B38" i="63"/>
  <c r="E31" i="63"/>
  <c r="D31" i="63"/>
  <c r="C31" i="63"/>
  <c r="B31" i="63"/>
  <c r="E15" i="63"/>
  <c r="E33" i="63" s="1"/>
  <c r="E64" i="63" s="1"/>
  <c r="D15" i="63"/>
  <c r="D33" i="63" s="1"/>
  <c r="D64" i="63" s="1"/>
  <c r="C15" i="63"/>
  <c r="C33" i="63" s="1"/>
  <c r="C64" i="63" s="1"/>
  <c r="B15" i="63"/>
  <c r="B33" i="63" s="1"/>
  <c r="B64" i="63" s="1"/>
  <c r="I32" i="264" l="1"/>
  <c r="H32" i="264"/>
  <c r="G32" i="264"/>
  <c r="F32" i="264"/>
  <c r="E377" i="263"/>
  <c r="F377" i="263"/>
  <c r="G377" i="263"/>
  <c r="H377" i="263"/>
  <c r="I377" i="263"/>
  <c r="J377" i="263"/>
  <c r="D61" i="62"/>
  <c r="R8" i="5"/>
  <c r="R7" i="5"/>
  <c r="J30" i="260" l="1"/>
  <c r="J29" i="260"/>
  <c r="J27" i="260"/>
  <c r="J26" i="260"/>
  <c r="J24" i="260"/>
  <c r="J23" i="260"/>
  <c r="J22" i="260"/>
  <c r="J21" i="260"/>
  <c r="J20" i="260"/>
  <c r="E31" i="260"/>
  <c r="J31" i="260" s="1"/>
  <c r="E30" i="260"/>
  <c r="E29" i="260"/>
  <c r="E28" i="260"/>
  <c r="J28" i="260" s="1"/>
  <c r="E27" i="260"/>
  <c r="E26" i="260"/>
  <c r="E25" i="260"/>
  <c r="J25" i="260" s="1"/>
  <c r="E24" i="260"/>
  <c r="E23" i="260"/>
  <c r="E22" i="260"/>
  <c r="E21" i="260"/>
  <c r="E20" i="260"/>
  <c r="E25" i="261"/>
  <c r="G15" i="262"/>
  <c r="G9" i="262"/>
  <c r="G16" i="262" l="1"/>
  <c r="J16" i="262"/>
  <c r="H16" i="262"/>
  <c r="G50" i="261" l="1"/>
  <c r="A49" i="261"/>
  <c r="A48" i="261"/>
  <c r="A47" i="261"/>
  <c r="A46" i="261"/>
  <c r="A45" i="261"/>
  <c r="A44" i="261"/>
  <c r="A43" i="261"/>
  <c r="A42" i="261"/>
  <c r="A41" i="261"/>
  <c r="A40" i="261"/>
  <c r="A39" i="261"/>
  <c r="A38" i="261"/>
  <c r="I32" i="261"/>
  <c r="H32" i="261"/>
  <c r="G32" i="261"/>
  <c r="F32" i="261"/>
  <c r="D32" i="261"/>
  <c r="C32" i="261"/>
  <c r="B32" i="261"/>
  <c r="E31" i="261"/>
  <c r="J31" i="261" s="1"/>
  <c r="E30" i="261"/>
  <c r="J30" i="261" s="1"/>
  <c r="E29" i="261"/>
  <c r="J29" i="261" s="1"/>
  <c r="E28" i="261"/>
  <c r="J28" i="261" s="1"/>
  <c r="E27" i="261"/>
  <c r="J27" i="261" s="1"/>
  <c r="E26" i="261"/>
  <c r="J26" i="261" s="1"/>
  <c r="J25" i="261"/>
  <c r="E24" i="261"/>
  <c r="J24" i="261" s="1"/>
  <c r="E23" i="261"/>
  <c r="J23" i="261" s="1"/>
  <c r="E22" i="261"/>
  <c r="J22" i="261" s="1"/>
  <c r="E21" i="261"/>
  <c r="J21" i="261" s="1"/>
  <c r="E20" i="261"/>
  <c r="I17" i="261"/>
  <c r="H17" i="261"/>
  <c r="G17" i="261"/>
  <c r="F17" i="261"/>
  <c r="D17" i="261"/>
  <c r="C17" i="261"/>
  <c r="B17" i="261"/>
  <c r="E16" i="261"/>
  <c r="J16" i="261" s="1"/>
  <c r="E15" i="261"/>
  <c r="J15" i="261" s="1"/>
  <c r="E14" i="261"/>
  <c r="J14" i="261" s="1"/>
  <c r="E13" i="261"/>
  <c r="J13" i="261" s="1"/>
  <c r="E12" i="261"/>
  <c r="J12" i="261" s="1"/>
  <c r="E11" i="261"/>
  <c r="J11" i="261" s="1"/>
  <c r="E10" i="261"/>
  <c r="J10" i="261" s="1"/>
  <c r="E9" i="261"/>
  <c r="J9" i="261" s="1"/>
  <c r="E8" i="261"/>
  <c r="J8" i="261" s="1"/>
  <c r="E7" i="261"/>
  <c r="J7" i="261" s="1"/>
  <c r="E6" i="261"/>
  <c r="J6" i="261" s="1"/>
  <c r="E5" i="261"/>
  <c r="J5" i="261" s="1"/>
  <c r="E4" i="261"/>
  <c r="J4" i="261" s="1"/>
  <c r="B50" i="261" l="1"/>
  <c r="C50" i="261"/>
  <c r="B33" i="261"/>
  <c r="G33" i="261"/>
  <c r="I33" i="261"/>
  <c r="H33" i="261"/>
  <c r="C33" i="261"/>
  <c r="D50" i="261"/>
  <c r="E32" i="261"/>
  <c r="E50" i="261"/>
  <c r="F50" i="261"/>
  <c r="D33" i="261"/>
  <c r="E17" i="261"/>
  <c r="F33" i="261"/>
  <c r="J17" i="261"/>
  <c r="J20" i="261"/>
  <c r="J32" i="261" s="1"/>
  <c r="E33" i="261" l="1"/>
  <c r="J33" i="261"/>
  <c r="R15" i="5" l="1"/>
  <c r="R3" i="5"/>
  <c r="R13" i="5"/>
  <c r="R16" i="5" l="1"/>
  <c r="R10" i="5" l="1"/>
  <c r="R6" i="5"/>
  <c r="R2" i="5"/>
</calcChain>
</file>

<file path=xl/sharedStrings.xml><?xml version="1.0" encoding="utf-8"?>
<sst xmlns="http://schemas.openxmlformats.org/spreadsheetml/2006/main" count="12547" uniqueCount="2160">
  <si>
    <t>June.2021_Qtr BAS</t>
  </si>
  <si>
    <t>Cash Basis</t>
  </si>
  <si>
    <t>G1</t>
  </si>
  <si>
    <t>1A</t>
  </si>
  <si>
    <t>1B</t>
  </si>
  <si>
    <t>W1</t>
  </si>
  <si>
    <t>W2</t>
  </si>
  <si>
    <t>As Per XERO</t>
  </si>
  <si>
    <t>Total Sales (Inclusive)</t>
  </si>
  <si>
    <t>GST  Collected</t>
  </si>
  <si>
    <t>GST Paid</t>
  </si>
  <si>
    <t>Net GST</t>
  </si>
  <si>
    <t>Gross Wages</t>
  </si>
  <si>
    <t>PAYGW</t>
  </si>
  <si>
    <t>PAYG Instalment</t>
  </si>
  <si>
    <t>Other</t>
  </si>
  <si>
    <t>Net Payment / (Refund)</t>
  </si>
  <si>
    <t>Previous Years</t>
  </si>
  <si>
    <t>Total</t>
  </si>
  <si>
    <t>As Per BAS</t>
  </si>
  <si>
    <t>Total Sales</t>
  </si>
  <si>
    <t>PAYG</t>
  </si>
  <si>
    <t>per ATO</t>
  </si>
  <si>
    <t>Total (per lodged BAS)</t>
  </si>
  <si>
    <t>Variance</t>
  </si>
  <si>
    <t>FY2021 Variance:  Xero Book VS BAS filed</t>
  </si>
  <si>
    <t>Month</t>
  </si>
  <si>
    <t>Balance</t>
  </si>
  <si>
    <t>June.2020_Qtr BAS</t>
  </si>
  <si>
    <t>Comment</t>
  </si>
  <si>
    <t>From previous year adjusment</t>
  </si>
  <si>
    <t>As per ATO</t>
  </si>
  <si>
    <t>FY2020 Variance:  Xero Book VS BAS filed</t>
  </si>
  <si>
    <t>PAYG Instalment Tax Computation</t>
  </si>
  <si>
    <t>PAYG I</t>
  </si>
  <si>
    <t>Remarks</t>
  </si>
  <si>
    <t>Option 1:</t>
  </si>
  <si>
    <t>ATO Instalment Amount</t>
  </si>
  <si>
    <t>Qtr</t>
  </si>
  <si>
    <t>ATO default</t>
  </si>
  <si>
    <t>Option 2:</t>
  </si>
  <si>
    <t>ATO Instalment Rate</t>
  </si>
  <si>
    <t xml:space="preserve">deferred revenue </t>
  </si>
  <si>
    <t>Sales</t>
  </si>
  <si>
    <t>Add</t>
  </si>
  <si>
    <t>Interest Income</t>
  </si>
  <si>
    <t>Choose option 1 as this gives lower PAYG Instalment Tax amount</t>
  </si>
  <si>
    <t>Other revenue</t>
  </si>
  <si>
    <t>JK payment</t>
  </si>
  <si>
    <t>To this add interest income of $12 and JK Payments of $94,500 which totals $1,011,087.</t>
  </si>
  <si>
    <t>Less</t>
  </si>
  <si>
    <t>QLD Payroll Tax</t>
  </si>
  <si>
    <t>PAYG Instalment Income</t>
  </si>
  <si>
    <t>Based on the Income X the PAYGI rate</t>
  </si>
  <si>
    <t>Date</t>
  </si>
  <si>
    <t>Account</t>
  </si>
  <si>
    <t>Reference</t>
  </si>
  <si>
    <t>Details</t>
  </si>
  <si>
    <t>Gross</t>
  </si>
  <si>
    <t>GST</t>
  </si>
  <si>
    <t>Net</t>
  </si>
  <si>
    <t>Activity Statement</t>
  </si>
  <si>
    <t>Central Monitoring Services Pty Ltd</t>
  </si>
  <si>
    <t>For the period ending 31 December 2022</t>
  </si>
  <si>
    <t>ABN</t>
  </si>
  <si>
    <t>64003630877</t>
  </si>
  <si>
    <t>GST Accounting Method</t>
  </si>
  <si>
    <t>Goods and Services Tax (Oct - Dec)</t>
  </si>
  <si>
    <t>Total sales</t>
  </si>
  <si>
    <t>Does the amount shown at G1 include GST</t>
  </si>
  <si>
    <t/>
  </si>
  <si>
    <t>Yes</t>
  </si>
  <si>
    <t>PAYG Tax Withheld (Dec)</t>
  </si>
  <si>
    <t>Total salary, wages and other payments</t>
  </si>
  <si>
    <t>Amount withheld from payments shown at W1</t>
  </si>
  <si>
    <t>Amount withheld where no ABN is quoted</t>
  </si>
  <si>
    <t>W4</t>
  </si>
  <si>
    <t>Other amounts withheld (excluding any amount shown in W2 or W4)</t>
  </si>
  <si>
    <t>W3</t>
  </si>
  <si>
    <t>Total amounts withheld (W2 + W4 + W3)</t>
  </si>
  <si>
    <t>W5</t>
  </si>
  <si>
    <t>PAYG Income Tax Instalment (Option 1) (Oct - Dec)</t>
  </si>
  <si>
    <t>Instalment (copy from BAS)</t>
  </si>
  <si>
    <t>T7</t>
  </si>
  <si>
    <t>If varying this amount, complete T8, T9 and T4.</t>
  </si>
  <si>
    <t>Estimated tax for the year</t>
  </si>
  <si>
    <t>T8</t>
  </si>
  <si>
    <t>Varied amount for the quarter</t>
  </si>
  <si>
    <t>T9</t>
  </si>
  <si>
    <t>Reason code for variation</t>
  </si>
  <si>
    <t>T4</t>
  </si>
  <si>
    <t>Fringe Benefits Tax (FBT) Instalment (Oct - Dec)</t>
  </si>
  <si>
    <t>Amount (copy from BAS)</t>
  </si>
  <si>
    <t>F1</t>
  </si>
  <si>
    <t>If varying this amount, complete F2, F3 and F4</t>
  </si>
  <si>
    <t>Estimated FBT for the year</t>
  </si>
  <si>
    <t>F2</t>
  </si>
  <si>
    <t>F3</t>
  </si>
  <si>
    <t>F4</t>
  </si>
  <si>
    <t>Amounts you owe the Tax Office</t>
  </si>
  <si>
    <t>GST on sales</t>
  </si>
  <si>
    <t>PAYG tax withheld</t>
  </si>
  <si>
    <t>4</t>
  </si>
  <si>
    <t>PAYG tax income tax instalment</t>
  </si>
  <si>
    <t>5A</t>
  </si>
  <si>
    <t>FBT instalment</t>
  </si>
  <si>
    <t>6A</t>
  </si>
  <si>
    <t>Total owed to the ATO</t>
  </si>
  <si>
    <t>8A</t>
  </si>
  <si>
    <t>Amounts the Tax Office owes you</t>
  </si>
  <si>
    <t>GST on purchases</t>
  </si>
  <si>
    <t>Credit from PAYG income tax instalment variation</t>
  </si>
  <si>
    <t>5B</t>
  </si>
  <si>
    <t>Credit from FBT instalment</t>
  </si>
  <si>
    <t>6B</t>
  </si>
  <si>
    <t>Total owed by the ATO</t>
  </si>
  <si>
    <t>8B</t>
  </si>
  <si>
    <t>Payment or Refund</t>
  </si>
  <si>
    <t>Is 8A more than 8B?</t>
  </si>
  <si>
    <t>Your payment</t>
  </si>
  <si>
    <t>9</t>
  </si>
  <si>
    <t>Transactions by Tax Rate</t>
  </si>
  <si>
    <t>TSM (The Service Manager) Pty Ltd</t>
  </si>
  <si>
    <t>Formula</t>
  </si>
  <si>
    <t>For the period 1 January 2022 to 31 March 2022</t>
  </si>
  <si>
    <t>Total GST on Income</t>
  </si>
  <si>
    <t>GST on Income</t>
  </si>
  <si>
    <t>01/01/2022</t>
  </si>
  <si>
    <t>Deferred Revenue Evolution Subscriptions (23100)</t>
  </si>
  <si>
    <t>01/02/2022 - 30/04/2022  TSM Quarterly Evolution Subscription</t>
  </si>
  <si>
    <t>Aston Air Conditioning &amp; Refrigeration - TSM Evolution Subscription:
8 back office &amp; 12 mobile licenses @ $937.00 per month.</t>
  </si>
  <si>
    <t>Total GST Free Income</t>
  </si>
  <si>
    <t>Deferred Revenue Maintenance (23200)</t>
  </si>
  <si>
    <t>FEBRUARY 2022 TSM monthly maintenance and support subscription</t>
  </si>
  <si>
    <t>TerumoBCT - TSM Maintenance &amp; Support subscription
PRO License
1 License</t>
  </si>
  <si>
    <t>Total GST Free Exports</t>
  </si>
  <si>
    <t>TerumoBCT - TSM Maintenance &amp; Support Contract Jobs Subscription</t>
  </si>
  <si>
    <t>Other Revenue (49000)</t>
  </si>
  <si>
    <t>TerumoBCT -  Surcharge 2.5% on monthly invoicing</t>
  </si>
  <si>
    <t>17/01/2022 - 16/04/2022  TSM evolution Quarterly Subscription</t>
  </si>
  <si>
    <t>KD Aire Mechanical Services - TSM Evolution Enterprise Environment with 3 BO Licenses @ $600.00 per month.</t>
  </si>
  <si>
    <t>FEBRUARY 2022 TSM Monthly Evolution Subscription</t>
  </si>
  <si>
    <t>Good Sight Australia Pty Ltd - TSM Evolution Monthly Subscription Period: FEBRUARY 2022
10 back-office, &amp; 22 mobiles @$2,850/month - as per initial contract</t>
  </si>
  <si>
    <t>Good Sight Australia Pty Ltd - 6/2/2018 Add 3
30/11/2018 Add 4
17/1/20 Add 2
19/2/20 Add 1
@$85/month/user
10 x 85 = $850</t>
  </si>
  <si>
    <t>Total GST on Capital</t>
  </si>
  <si>
    <t>Good Sight Australia Pty Ltd - Stock take App
 licence fee $85.00 per month</t>
  </si>
  <si>
    <t>Total GST on Expenses</t>
  </si>
  <si>
    <t>FEBRUARY 2022 TSM Monthly Subscription</t>
  </si>
  <si>
    <t>Bourke Air Pty Ltd - TSM Mobile License Subscription
6 Mobile licenses @ $45.00 per month per license</t>
  </si>
  <si>
    <t>Bourke Air Pty Ltd - TSM Mobile License 
6/10/19 Additional mobile licenses added</t>
  </si>
  <si>
    <t>Bourke Air Pty Ltd - TSM Maintenance &amp; Support PRO License</t>
  </si>
  <si>
    <t>FEBRUARY 2022 TSM Evolution Monthly Subscription</t>
  </si>
  <si>
    <t>Clem Tech Pty Ltd - TSM Evolution Subscription
FEBRUARY 2022
4 Back Office &amp; 6 Mobile Licenses
Contract signed 5/02/2020
Agreed contract start date 01/05/2020</t>
  </si>
  <si>
    <t>Clem Tech Pty Ltd - TSM Accounting Link Licence Subscription</t>
  </si>
  <si>
    <t xml:space="preserve">Clem Tech Pty Ltd - 22/10/2021 INV 5144
Additional mobile license added </t>
  </si>
  <si>
    <t>Bourke Air Pty Ltd - TSM Maintenance:
CONTRACT JOBS</t>
  </si>
  <si>
    <t>Bourke Air Pty Ltd - TSM Maintenance Accounting Link License Monthly Subscription</t>
  </si>
  <si>
    <t>Bourke Air Pty Ltd - 4/08/2021 INV 4936
Additional mobile license x 1</t>
  </si>
  <si>
    <t>Bourke Air Pty Ltd - Monthly surcharge 2.5%</t>
  </si>
  <si>
    <t>Professional Security Engineering Pty Ltd - TSM Evolution Subscription Period: FEBRUARY 2022
3 Back Office Licenses</t>
  </si>
  <si>
    <t xml:space="preserve">Professional Security Engineering Pty Ltd - DIRECT DEBIT SURCHARGE 2.5% </t>
  </si>
  <si>
    <t>FEBRUARY 2022 TSM Evolution Subscription</t>
  </si>
  <si>
    <t>South Eastern Airconditioning Pty Ltd t/a SEAC Air Conditioning Division - TSM Evolution Subscription 2 BO
@$199.00 per month</t>
  </si>
  <si>
    <t>01/01/2022 - 31/03/2022 TSM Evolution Quarterly Subscription</t>
  </si>
  <si>
    <t>CMS Engineering Pty Ltd - TSM Evolution Subscription:
6 Back Office &amp; 0 Mobile licenses @ $700.00 per month.</t>
  </si>
  <si>
    <t>CMS Engineering Pty Ltd - TSM Maintenance Accounting Link License  Subscription @ $25.00 per month.</t>
  </si>
  <si>
    <t>01/02/2022 - 30/04/2022 TSM Quarterly Evolution Subscription</t>
  </si>
  <si>
    <t>Purecomm - TSM Evolution Subscription:
4 Back Office &amp; 2 Mobile Licenses @ $390.00 per month.
Inclusive of Accounting Link &amp; ADP Service.</t>
  </si>
  <si>
    <t>Purecomm - 01/11/2021 Removed 2 mobile licenses</t>
  </si>
  <si>
    <t>01/02/2022 - 30/04/2022 TSM Evolution Quarterly Subscription.</t>
  </si>
  <si>
    <t>Nqpetro Pty Ltd - TSM Evolution Subscription:
Contract signed 13/07/2021.
16 Back Office Licenses &amp; 7 Mobile Licenses.
1x MYOB Accounting Link.
Monthly cost $1,184.00</t>
  </si>
  <si>
    <t>Nqpetro Pty Ltd - 12/11/2021 INV 5224
Additional mobile license x 1 @ $45.00 per month per license</t>
  </si>
  <si>
    <t>Waterlogic Australia Pty Ltd - TSM Evolution Subscription:
1. TSM Transition Project to move all existing Waterlogic TSM solution Databases, Applications and related files to the AWS based TSM Evolution Platform for Risk Management ‘Live’ Archiving
2. AWS VM environment to be sized suitable for 100GB + 
3. To include 20 operational back office Licenses ‘intact’ 
4. Full TSM Support for 12 months, 
5. Access to any additional Professional Services as with any existing TSM customers at pre-existing rates 
6. Listed known Databases/ applications to be included once verified: a. 1 x TSM Live environment b. 1 x TSM Archived with data from 2016-2018 and testing c. Linked Documents circa 35GB d. TSM and TSPlus Licenses required x 20 e. TSM Mobile application – Not required f. TSM Myob Link – not required as live but existing link to be archived also to Evolution platform g. TSM Versions 6.85 to stay consistent in Migration (exception to rule to suit Waterlogic purposes) 
7. Subscription period: 1/11/20 to 31/10/21</t>
  </si>
  <si>
    <t>Waterlogic Australia Pty Ltd - Additional TSM Evolution back office Licenses x 10.
Discounted from $100.00 to $50.00 p/m.
Setup fee of $100.00 per license waived.</t>
  </si>
  <si>
    <t>Evolution Subscription (42000)</t>
  </si>
  <si>
    <t>JANUARY 2022 TSM Monthly Evolution Subscription</t>
  </si>
  <si>
    <t>Ken Barnes Pty Ltd - TSM Evolution Monthly Subscription
Contract signed 30/04/2020
Subscription starts 01/06/2020
3 Back Licenses &amp; 0 Mobile</t>
  </si>
  <si>
    <t>Ken Barnes Pty Ltd - TSM Accounting Link Monthly Subscription</t>
  </si>
  <si>
    <t>01/02/2022 - 30/04/2022 TSM Evolution Quarterly Subscription</t>
  </si>
  <si>
    <t>Tropix Refrigeration and Electrical - TSM Evolution Subscription 
2 Back Office Licenses @ $125.00 per month</t>
  </si>
  <si>
    <t>FEBRUARY 2022  PURCHASER - Alison Kay (National Service Co-ordinator) - TSM Monthly Mobile Renewal</t>
  </si>
  <si>
    <t>Stanley Security Solutions Australia Pty Ltd - TSM Mobile License Renewal
3 licenses @ $540.00/license/year</t>
  </si>
  <si>
    <t>Stanley Security Solutions Australia Pty Ltd - Monthly surcharge 2.5%</t>
  </si>
  <si>
    <t>TRIWEST Forklifts Services - TSM Evolution Monthly Subscription: FEBRUARY 2022
3 Back Office &amp; 4 Mobile Licenses @ $ 300.00 per month</t>
  </si>
  <si>
    <t>JANUARY 2022 TSM Monthly Evolution Tariff</t>
  </si>
  <si>
    <t>Eastern Suburbs Garage Doors - TSM Monthly Evolution Subscription JANUARY 2022
2 Back Office &amp; 1 Mobile license</t>
  </si>
  <si>
    <t>JMH Group Pty Ltd - TSM Evolution Subscription:
12 Back office Licenses @ $1,200.00 per month</t>
  </si>
  <si>
    <t>JMH Group Pty Ltd - TSM Evolution Subscription:
10 Pooled Mobile Licenses @ $60.00 per License per month.</t>
  </si>
  <si>
    <t>JMH Group Pty Ltd - TSM Maintenance Accounting Link License  Subscription @ $25.00 per month.</t>
  </si>
  <si>
    <t>JMH Group Pty Ltd - 23/04/21 INV 4485 Additional Back Office x 1 added @ $100.00 per month per license</t>
  </si>
  <si>
    <t>JMH Group Pty Ltd - 23/08/2021 INV 4959 Additional mobile licenses x 5 @ $45.00 per month per license</t>
  </si>
  <si>
    <t>JMH Group Pty Ltd - 23/09/2021 INV 5051
Additional back office licenses x 2 @ $100.00 per month per license</t>
  </si>
  <si>
    <t>AVT Services Pty Ltd - TSM Evolution Quarterly Subscription.
8 Back Office &amp; 2 Mobile Licenses @ $505.00 per month</t>
  </si>
  <si>
    <t>AVT Services Pty Ltd - TSM Maintenance Accounting Link License Subscription @ $25.00 per month.</t>
  </si>
  <si>
    <t>01/02/2022 - 3/04/2022 TSM Evolution Quarterly Subscription</t>
  </si>
  <si>
    <t>PDPL IT Pty Ltd - TSM Evolution Subscription:
1 back office &amp; 1 mobile license @ $200.00 per month</t>
  </si>
  <si>
    <t>PDPL IT Pty Ltd - EOFY 50% off Promotion discount – first 3 months only</t>
  </si>
  <si>
    <t xml:space="preserve">PDPL IT Pty Ltd - Monthly Accounting link cost </t>
  </si>
  <si>
    <t>Murray Heating &amp; Cooling - TSM Evolution Subscription:
4 back office &amp; 4 mobile licenses @ $395.00 per month</t>
  </si>
  <si>
    <t>Murray Heating &amp; Cooling - EOFY 50% off Promotion discount – first 3 months only</t>
  </si>
  <si>
    <t>Murray Heating &amp; Cooling - Evolution Accounting Link (desktop Reckon)</t>
  </si>
  <si>
    <t>Murray Heating &amp; Cooling - EOFY 50% off Promotion discount – first 3 months only.</t>
  </si>
  <si>
    <t>Australian Compressor Services - TSM Quarterly Evolution Subscription:
2 Back Office &amp; 2 Mobile Licenses @ $300.00 per month</t>
  </si>
  <si>
    <t>Australian Compressor Services - TSM Maintenance:
Accounting Link to Reckon @ $25.00 per month</t>
  </si>
  <si>
    <t>Australian Compressor Services - ADP auto attach docs to TSM @ $10.00 per month</t>
  </si>
  <si>
    <t>01/02/2022 - 3/04/2022 TSM Quarterly Evolution Subscription</t>
  </si>
  <si>
    <t>Total Commercial Equipment (TCE) trading as Gecko Trading - TSM Quarterly Evolution Subscription.
Subscription start date 02/11/2020.
5 Back Office &amp; 0 Mobile Licenses @ $400.00 per month</t>
  </si>
  <si>
    <t>Total Commercial Equipment (TCE) trading as Gecko Trading - TSM Maintenance Accounting Link License Quarterly Subscription @ $25.00 per month</t>
  </si>
  <si>
    <t>Total Commercial Equipment (TCE) trading as Gecko Trading - 11/08/2021 INV 4947 Additional mobile license x 1 @ $45.00 per month per license.</t>
  </si>
  <si>
    <t>Total Commercial Equipment (TCE) trading as Gecko Trading - 19/10/2021 INV 5140
Additional back office license x 1 @ $100.00 per month per license</t>
  </si>
  <si>
    <t>Total Commercial Equipment (TCE) trading as Gecko Trading - 13/11/2021 INV 5232
Additional mobile licenses x 5 @ $45.00 per month per license</t>
  </si>
  <si>
    <t>01/02/2022 - 31/01/2023 Renewal TSM Annual Maintenance</t>
  </si>
  <si>
    <t>Probis P/L T/as Vision Technology Systems - TSM Maintenance &amp; Support PRO Licence - 12 months</t>
  </si>
  <si>
    <t>Probis P/L T/as Vision Technology Systems - TSM Maintenance &amp; Support Accounting Post - 12 months
@ $300.00 p/a</t>
  </si>
  <si>
    <t>01/02/2022-31/01/2023  Renewal TSM Annual Maintenance</t>
  </si>
  <si>
    <t>Chatfield Air Conditioning &amp; Electrical - TSM Maintenance &amp; Support PRO Licence - 12 months</t>
  </si>
  <si>
    <t>Chatfield Air Conditioning &amp; Electrical - TSM Maintenance &amp; Support Accounting Post - 12 months
@ $300.00 p/a
** RRP increased 1/7/19 only passed onto existing customers on renewal</t>
  </si>
  <si>
    <t>Chatfield Air Conditioning &amp; Electrical - TSM Maintenance &amp; Support Contract Jobs - 12 months
@ 300.00 p/a
** RRP increased 1/7/19 only passed onto existing customers on renewal</t>
  </si>
  <si>
    <t>FEBRUARY 2022 TSM EVOLUTION Monthly Subscription</t>
  </si>
  <si>
    <t>The Hydraulic Shop - TSM Evolution monthly subscription: FEBRUARY 2022
8 Back office licenses</t>
  </si>
  <si>
    <t>The Hydraulic Shop - Monthly surcharge 2.5%</t>
  </si>
  <si>
    <t>FEBRUARY 2022 Monthly Evolution Subscription</t>
  </si>
  <si>
    <t>North Australian Electrical - TSM Evolution Subscription
36 months from 01/11/2018 - 31/10/2021.
7 BO 10 MO
Total 17 Licences
Monthly cost $798.00</t>
  </si>
  <si>
    <t>North Australian Electrical - Monthly payment fee 6.8%</t>
  </si>
  <si>
    <t>JANUARY 2022 Evolution Monthly Subscription</t>
  </si>
  <si>
    <t>National Management Group - TSM Evolution Monthly Subscription 
22 Back Office Licenses
20 Mobile Licences</t>
  </si>
  <si>
    <t>National Management Group - Additional Mobile License Subscription x 1 added 11/09/20</t>
  </si>
  <si>
    <t>National Management Group - TSM Maintenance:
Accounting Link License  Subscription</t>
  </si>
  <si>
    <t>Regethermic - TSM Evolution Subscription:
4 back office licenses @ $300.00 per month</t>
  </si>
  <si>
    <t>QED Environmental Services - TSM Quarterly Evolution Subscription:
10 Back Office Licenses</t>
  </si>
  <si>
    <t>QED Environmental Services - TSM Maintenance Accounting Link License Monthly Subscription:
Accounting Link MYOB - Monthly cost $ 25.00 
TOTAL MONTHLY SUBSCRIPTION $ 495.00 (first quarterly invoice $ 730 incl disc)</t>
  </si>
  <si>
    <t>01/02/2022-30/04/2022 TSM Evolution Quarterly Subscription</t>
  </si>
  <si>
    <t>JUSTLEC SERVICES - TSM Evolution Subscription:
3 back office licenses @ $100.00 per month per license, &amp; 3 mobile licenses @ $45.00 per month per license.
$389.00 per month.
Contract signed 15/03/2021</t>
  </si>
  <si>
    <t>JUSTLEC SERVICES - 28/04/2021 INV 4487, additional mobile licenses x 1 @ $45.00 per month per license.</t>
  </si>
  <si>
    <t>JUSTLEC SERVICES - 29/07/2021 INV 4862 Additional mobile license x1 @ $45.00 per month per license</t>
  </si>
  <si>
    <t>ALL CATERING MAINTENANCE PTY LTD - TSM Evolution Quarterly Subscription.
3 back office &amp; 0 mobile licenses @ $225.00 per month.
Contract signed 14/12/2020</t>
  </si>
  <si>
    <t>ALL CATERING MAINTENANCE PTY LTD - TSM Maintenance Accounting Link License Monthly Subscription</t>
  </si>
  <si>
    <t>Encore Monitoring Pty Ltd - TSM Quarterly Evolution Subscription.
7 Back Office &amp; 3 Mobile Licenses @ $930.00 per month.</t>
  </si>
  <si>
    <t>Encore Monitoring Pty Ltd - TSM Maintenance Accounting Link License Monthly Subscription @ $25.00 per month</t>
  </si>
  <si>
    <t>Encore Monitoring Pty Ltd - 11/05/2021 Credit given for 3 mobile licenses as customer is not using mobile</t>
  </si>
  <si>
    <t>Encore Monitoring Pty Ltd - 11/05/2021 Additional back office license x 1 @ $100.00 per license per month</t>
  </si>
  <si>
    <t>Highlands Gas and Hot Water - TSM Quarterly Evolution Subscription
1 x Back Office License @ $150.00 per month.
Contract start date 01/08/2020</t>
  </si>
  <si>
    <t>AE Roberts Electrical - TSM Evolution monthly Subscription:
FEBRUARY 2022
Contract start date 1/05/2020
2 Back office licenses</t>
  </si>
  <si>
    <t xml:space="preserve">AE Roberts Electrical - TSM Maintenance monthly
Accounting Link </t>
  </si>
  <si>
    <t>01/02/2022 - 30/04/2022 TSM Quarterly maintenance and support Subscription</t>
  </si>
  <si>
    <t>Locksmith Services Pty Ltd - TSM Maintenance &amp; Support Subscription
1 PRO Back office license</t>
  </si>
  <si>
    <t>Locksmith Services Pty Ltd - TSM Maintenance Accounting Link Licence Quarterly subscription</t>
  </si>
  <si>
    <t>ALLSTATE REFRIGERATION SERVICES - TSM Evolution Quarterly Subscription: 
5 Back Office &amp; 14 Mobile licenses.
Contract signed 17/04/2020</t>
  </si>
  <si>
    <t>ALLSTATE REFRIGERATION SERVICES - TSM Maintenance Accounting Link Licence Monthly Subscription</t>
  </si>
  <si>
    <t>JANUARY 2022 TSM Evolution Subscription, reduced cost due to COVID-19</t>
  </si>
  <si>
    <t xml:space="preserve">KEPLER ANALYTICS - TSM Evolution Subscription
JANUARY 2022
5 BO &amp; 10 Mobile </t>
  </si>
  <si>
    <t>Strathbrook Industrial Pty Ltd - TSM Evolution Subscription:
FEBRUARY 2022
5 Back office licenses &amp; 6 Mobile licenses
@ $668.00 per month</t>
  </si>
  <si>
    <t>Strathbrook Industrial Pty Ltd - 14/12/20 Additional Mobile licenses added x 8 @ $45.00 per month per license = $360.00.
01/01/2021 - 31/03/2021. Please note the additional licenses were invoiced for the period 14/12/2020 - 31/12/20.</t>
  </si>
  <si>
    <t>Strathbrook Industrial Pty Ltd - 07/01/2021 Additional Mobile licenses added x 5 Mobile @ $45.00 per month per license</t>
  </si>
  <si>
    <t>Strathbrook Industrial Pty Ltd - 12/01/2021 Additional Back Office licenses x 2 @ $100.00 per licenses per month</t>
  </si>
  <si>
    <t>Strathbrook Industrial Pty Ltd - INV 4728 21/06/2021, Additional Mobile Licenses added @ $45.00 per license per month</t>
  </si>
  <si>
    <t>FEBRUARY 2022 TSM Mobile monthly subscription</t>
  </si>
  <si>
    <t>Mawes Nominess Pty Ltd t/a Lally Plumbers - TSM Mobile License 
Subscription
FEBRUARY 2022</t>
  </si>
  <si>
    <t>Mawes Nominess Pty Ltd t/a Lally Plumbers - Direct debit surcharge 6.8%</t>
  </si>
  <si>
    <t>JANUARY 2022 TSM  Evolution Subscription</t>
  </si>
  <si>
    <t>Arrowsmith &amp; Grant - TSM Evolution Subscription Period:
JANUARY 2022
7 back office &amp; 6 mobile licenses</t>
  </si>
  <si>
    <t>Arrowsmith &amp; Grant - 01/05/2020 TSM Evolution Subscription
Additional Mobile licenses x 2 @ $45.00 per license per month.</t>
  </si>
  <si>
    <t>FEBRUARY 2022 TSM Monthly maintenance renewal</t>
  </si>
  <si>
    <t>Stanley Security Solutions Australia Pty Ltd - TSM Maintenance &amp; Support PRO Licence
3 PRO for Stanley
2 PRO for Sielox
@ $378/year/license</t>
  </si>
  <si>
    <t>Stanley Security Solutions Australia Pty Ltd - TSM Maintenance &amp; Support Contract Jobs</t>
  </si>
  <si>
    <t>01/02/2022 - 30/04/2022 TSM Quarterly Support and Maintenance Subscription</t>
  </si>
  <si>
    <t>CONTACT ELECTRICAL PTY LTD - TSM Maintenance &amp; Support Enterprise License - 3 months
1 back office license</t>
  </si>
  <si>
    <t>CONTACT ELECTRICAL PTY LTD - TSM Maintenance &amp; Support Accounting Post - 3 months</t>
  </si>
  <si>
    <t>01/02/2022 - 31/01/2023 TSM Evolution Annual Subscription</t>
  </si>
  <si>
    <t>Ashton Engineering - TSM Evolution Subscription Period:
01/02/2021 - 31/01/2022 Monthly amount $495.00.
Contract signed 12/12/2018
10 back office licenses and 1 Mobile</t>
  </si>
  <si>
    <t>SubZero Projects Pty Ltd - TSM Evolution Subscription
4 back-office, and 8 mobiles at $659/month</t>
  </si>
  <si>
    <t>SubZero Projects Pty Ltd - 1/04/2020 Reduced licenses to 3 BO &amp; 4 MO @ $434.00 per month</t>
  </si>
  <si>
    <t>SubZero Projects Pty Ltd - 29/04/2020 Additional Mobile License added @ $45.00 per month per license</t>
  </si>
  <si>
    <t xml:space="preserve">SubZero Projects Pty Ltd - 19/08/20 2 Additional Mobile licenses added @ $45.00 per month per license </t>
  </si>
  <si>
    <t>SubZero Projects Pty Ltd - 12/01/2021 1 Additional Mobile License @ $45.00 per month per license</t>
  </si>
  <si>
    <t>SubZero Projects Pty Ltd - TSM Evolution Subscription30/03/2021
reduced mobile licenses x 2</t>
  </si>
  <si>
    <t>SubZero Projects Pty Ltd - 01/07/2021 INV 4721, additional back office license x 1 @ $100.00 per month</t>
  </si>
  <si>
    <t>SubZero Projects Pty Ltd - 01/07/2021 INV 4721, additional mobile license x 2 @ $45.00 per month</t>
  </si>
  <si>
    <t>SubZero Projects Pty Ltd - Direct debit surcharge 6.8%</t>
  </si>
  <si>
    <t>SubZero Projects Pty Ltd - INV 4835 8/07/2021 
Additional Mobile license x 1 @ $45.00 per month.</t>
  </si>
  <si>
    <t>SubZero Projects Pty Ltd - 12/10/2021 Reduced mobile licenses x 2 @ $45.00</t>
  </si>
  <si>
    <t>01/02/2022 - 31/07/2022  6 Months TSM Maintenance Renewal</t>
  </si>
  <si>
    <t>DE Maintenance Pty Ltd - Minimum TSM Maintenance as agreed as TSM still being used for archiving and history</t>
  </si>
  <si>
    <t>Diverse Mechanical Solutions Pty Ltd - TSM Evolution Subscription: FEBRUARY 2022, 3 BO 1 MO</t>
  </si>
  <si>
    <t>01/02/2022 - 30/04/2022 TSM QUARTERLY TSM maintenance and support renewal</t>
  </si>
  <si>
    <t>HK Group Services - TSM Maintenance &amp; Support Enterprise - 3 Months
Total Licenses 8</t>
  </si>
  <si>
    <t>HK Group Services - TSM Maintenance &amp; Support Accounting Post - 3 months</t>
  </si>
  <si>
    <t>HK Group Services - TSM Maintenance &amp; Support Contract Jobs - 3 months</t>
  </si>
  <si>
    <t>HK Group Services - TSM Mobile License Subscription
$540.00 per year per license</t>
  </si>
  <si>
    <t>HK Group Services - TSM Maintenance Accounting Link License Quarterly Subscription @ $450.00 per year</t>
  </si>
  <si>
    <t>Precision Pest Control Pty Ltd - TSM Evolution - Subscription
5 Back Office and 8 Mobile</t>
  </si>
  <si>
    <t>Precision Pest Control Pty Ltd - Evolution licenses reduced to 0 Mobile and 3 Back office licenses only.
27/04/2020</t>
  </si>
  <si>
    <t>Airforce Pty Ltd - TSM Evolution Subscription Period: FEBRUARY 2022 @389/month
3 back Office Licenses
3 Mobile Licenses</t>
  </si>
  <si>
    <t>Airforce Pty Ltd - DIRECT DEBIT SURCHARGE 2.5%</t>
  </si>
  <si>
    <t>Consolidated Fire &amp; Steam Pty Ltd - TSM Evolution Subscription 
Minimum agreed package including 2 x back office Licences for archiving use only
at $200.00 p/m</t>
  </si>
  <si>
    <t>Consolidated Fire &amp; Steam Pty Ltd - DIRECT DEBIT SURCHARGE 2.5%</t>
  </si>
  <si>
    <t>01/02/2022 - 30/04/2022 TSM quarterly evolution Subscription</t>
  </si>
  <si>
    <t>MT Data - TSM Evolution Subscription 12 back-office licenses @55/month</t>
  </si>
  <si>
    <t>MT Data - TSM Evolution Subscription  25 Mobile licenses @55/month</t>
  </si>
  <si>
    <t>MT Data - TSM Self Service License Subscription- 3 months  @ $110/month</t>
  </si>
  <si>
    <t>MT Data - TSM Evolution Subscription 
2 x additional back office licenses @ $55/ month</t>
  </si>
  <si>
    <t>MT Data - TSM Evolution Subscription 
2 x additional mobile licenses @ $55/ month</t>
  </si>
  <si>
    <t>MT Data - TSM Evolution Subscription Additional Back office license added 02/03/2020 x 1</t>
  </si>
  <si>
    <t>MT Data - 24/05/2021 INV 4616 Additional Mobile Licenses x 2 @ $55.00 per month per license</t>
  </si>
  <si>
    <t>JANUARY 2022 TSM Evolution Subscription</t>
  </si>
  <si>
    <t>Rencomp Pty Ltd t/as Sci-Tek Systems - TSM Evolution Monthly  Subscription: JANUARY 2022</t>
  </si>
  <si>
    <t>Rencomp Pty Ltd t/as Sci-Tek Systems - TSM Evolution Additional Mobile licenses
License added 16/07/19</t>
  </si>
  <si>
    <t>Australian Graphic Servicing Pty Ltd - TSM Evolution Monthly Subscription
7 Back Office, and 8 Mobiles @ $708.00 p/m
Reduced by 2 MO from November 1'st reduced by $90.00</t>
  </si>
  <si>
    <t>Australian Graphic Servicing Pty Ltd - 25/08/2020 Reduced mobile licenses by 1</t>
  </si>
  <si>
    <t>16/02/2022 - 15/02/2023 TSM Evolution Annual Subscription</t>
  </si>
  <si>
    <t>Mick Martin Electronic Security - TSM Evolution Annual Subscription
3*BO and 6*MO
Includes 1 free license</t>
  </si>
  <si>
    <t>Mick Martin Electronic Security - Additional TSM Evolution Subscription for 1 x Mobile license added 22/07/2020 @ $55.00 per month per license</t>
  </si>
  <si>
    <t>1/02/2022-31/01/2023 TSM Evolution Annual Subscription</t>
  </si>
  <si>
    <t>M E Ward Pty Ltd - Evolution Annual Subscription for 1*BO &amp; 0*MO
@ $100.00 per month per license.</t>
  </si>
  <si>
    <t>FEBRUARY 2022 Evolution Monthly Subscription</t>
  </si>
  <si>
    <t>TRIDAN Electrical Contractors Pty Ltd - TSM Evolution Subscription 
FEBRUARY 2022
3 Back Office Licenses
3 Mobile Licenses</t>
  </si>
  <si>
    <t>JANUARY 2022 - TSM Monthly Subscription</t>
  </si>
  <si>
    <t>Moore Bros Plumbing Services - TSM Evolution Subscription - JANUARY 2022</t>
  </si>
  <si>
    <t>16/01/2022 - 15/04/2022 Quarterly TSM Evolution Subscription</t>
  </si>
  <si>
    <t>Casa Security Pty Ltd - Quarterly TSM Evolution Subscription:
Original Contract: 5 Back Office Licences plus 3 Mobile Licences at $580.00 p/m</t>
  </si>
  <si>
    <t>JANUARY 2022 - TSM Evolution monthly Subscription</t>
  </si>
  <si>
    <t>Cafequip - TSM Evolution monthly subscription -JANUARY 2022
4 Back Office licenses @ $55.00 per month per license</t>
  </si>
  <si>
    <t>Cafequip - 11 Mobile licenses @ $55.00 per license.</t>
  </si>
  <si>
    <t>JANUARY 2022 TSM Evolution monthly Subscription</t>
  </si>
  <si>
    <t>AUSTRALIAN INTEGRATED SECURITY PTY LTD - TSM Evolution Subscription 
10 back-office and 18 mobile licenses @ $1,504 per month</t>
  </si>
  <si>
    <t>AUSTRALIAN INTEGRATED SECURITY PTY LTD - INV 4708 01/06/2021 TSM Evolution additional back office licenses subscription x 2 @ $100.00 per license per month.</t>
  </si>
  <si>
    <t>AUSTRALIAN INTEGRATED SECURITY PTY LTD - Direct debit surcharge 2.5%</t>
  </si>
  <si>
    <t>FEBRUARY 2022 - TSM Evolution Monthly Subscription</t>
  </si>
  <si>
    <t>Force One Electrical Pty Ltd - TSM Evolution Subscription
Period: FEBRUARY 2022</t>
  </si>
  <si>
    <t>FEBRUARY 01/02/2022 - 28/02/2022 TSM Monthly maintenance and support renewal</t>
  </si>
  <si>
    <t>Evotec Pty Ltd - TSM Maintenance &amp; Support PRO License</t>
  </si>
  <si>
    <t>Evotec Pty Ltd - TSM Maintenance &amp; Support Accounting Post 
@ $300.00 p/a</t>
  </si>
  <si>
    <t>Evotec Pty Ltd - TSM Maintenance &amp; Support Contract Jobs - 
@ 300.00 p/a</t>
  </si>
  <si>
    <t>15/01/2022 - 14/02/2022 TSM Evolution Monthly Subscription</t>
  </si>
  <si>
    <t>Nqpetro WA Pty Ltd - TSM Evolution Subscription:
6 back office licenses &amp; 0 mobile licenses @ $625.00 per month per license.</t>
  </si>
  <si>
    <t>01/02/2022 - 30/04/2022 TSM Evolution Subscription</t>
  </si>
  <si>
    <t>J &amp; R REFRIGERATION PTY LTD - TSM Evolution Subscription:
10 Back office &amp; 0 Mobile Licenses @ $495.00 per month.
Contract start date 01/08/2021</t>
  </si>
  <si>
    <t>J &amp; R REFRIGERATION PTY LTD - EOFY 50% off promotion for the first 3 months</t>
  </si>
  <si>
    <t>J &amp; R REFRIGERATION PTY LTD - Emails from Pronto. 
$ 300 per annum +GST</t>
  </si>
  <si>
    <t>01/02/2022 - 28/02/2022  TSM Quarterly Evolution Subscription</t>
  </si>
  <si>
    <t>CJ Pearce Pty Ltd - TSM Evolution Quarterly Subscription
8 Back office &amp; 1 mobile licenses
Monthly cost = $442.00</t>
  </si>
  <si>
    <t>CJ Pearce Pty Ltd - Quarterly surcharge 2.5%</t>
  </si>
  <si>
    <t>PQI Group Pty Ltd - TSM Evolution Subscription:
5 back office licenses &amp; 0 mobile licenses @ $515.00 per month</t>
  </si>
  <si>
    <t>PQI Group Pty Ltd - XML Fee
$300.00 per year, $25.00 per month</t>
  </si>
  <si>
    <t>10/01/2022</t>
  </si>
  <si>
    <t>23/12/2021 - 30/04/2022 TSM Additional Evolution Mobile Licenses x 2</t>
  </si>
  <si>
    <t>Nqpetro Pty Ltd - Additional Evolution Mobile Licenses x 2 @ $45.00 per month per license</t>
  </si>
  <si>
    <t>Establishment Upfront Charges (44000)</t>
  </si>
  <si>
    <t>10/01/2022 - 28/02/2022 TSM Additional Evolution licenses, 1 x Mobile, 1 x Back Office.</t>
  </si>
  <si>
    <t>SubZero Projects Pty Ltd - Set-up fee:
1 @ additional back office &amp; 1 x mobile license</t>
  </si>
  <si>
    <t>SubZero Projects Pty Ltd - 1 @ additional mobile license @ $45.00 per month per license</t>
  </si>
  <si>
    <t>SubZero Projects Pty Ltd - 1 @ additional back office license @ $100.00 per month per license</t>
  </si>
  <si>
    <t>10/01/2022 - 30/04/2022 TSM Evolution Additional Licenses, 1 x Back Office &amp; 1 x Mobile License</t>
  </si>
  <si>
    <t>ALLSTATE REFRIGERATION SERVICES - Set-up fee:
1 x back office &amp; 1 x mobile license</t>
  </si>
  <si>
    <t>ALLSTATE REFRIGERATION SERVICES - Additional, 1 x back office license @ $100.00 per month per license</t>
  </si>
  <si>
    <t>ALLSTATE REFRIGERATION SERVICES - Additional, 1 x mobile license @ $45.00 per month per license</t>
  </si>
  <si>
    <t>Professional Services (43000)</t>
  </si>
  <si>
    <t>TSM Professional Services</t>
  </si>
  <si>
    <t>Modus Projects - TSM Professional Services:
JDE Viva API link project - Development stage</t>
  </si>
  <si>
    <t>January TSM Additional Evolution Mobile Licenses x 12</t>
  </si>
  <si>
    <t>BEMS Pty Ltd - Additional mobile licenses x 12 @ $45.00 per month per license</t>
  </si>
  <si>
    <t>BEMS Pty Ltd - Set-up fee:
12 additional mobile licenses</t>
  </si>
  <si>
    <t>11/01/2022</t>
  </si>
  <si>
    <t>09/12/2021 - 31/12/2022 Additional Maintenance</t>
  </si>
  <si>
    <t xml:space="preserve">Spearhead Software Pty Ltd - Increased TSM BO licenses of Pilbara Glazing Services from 3 to 4, and extend their TSM maintenance from 09/12/2021 to 09/12/2022 </t>
  </si>
  <si>
    <t xml:space="preserve">Spearhead Software Pty Ltd - Increased TSM BO licenses of PGS Security Pty Ltd from 3 to 4, and extend their TSM maintenance from 09/12/2021 to 09/12/2022 </t>
  </si>
  <si>
    <t>SD-51 TSM Professional Services</t>
  </si>
  <si>
    <t>Good Sight Australia Pty Ltd - TSM Professional Services:
Cancelled requisitions</t>
  </si>
  <si>
    <t>INV 5262 (Overcharged for ADP)</t>
  </si>
  <si>
    <t>Tri Tech Refrigeration Holdings P/L as trustee for TTR HOLDINGS UNIT TRUST - Credit for Automatic Document Processing.
Should be $10.00 per month not $120.00</t>
  </si>
  <si>
    <t>12/01/2022</t>
  </si>
  <si>
    <t>Modus Projects - TSM Professional Services:
"API link to Expense Manager project - Scoping phase "</t>
  </si>
  <si>
    <t>Modus Projects - TSM Professional Services:
"API link to Expense Manager project - Discover phase (completed)"</t>
  </si>
  <si>
    <t>17/01/2022</t>
  </si>
  <si>
    <t>18/02/202 - 17/05/2022 TSM Quarterly Evolution Subscription</t>
  </si>
  <si>
    <t>Eagle Air Conditioning Pty Ltd - TSM Quarterly Evolution Subscription:
3 back office &amp; 5 Mobile Licenses @ $260.00 per month for the next 12 months.
MYOB accounting link fee has been waived and included in above amounts.</t>
  </si>
  <si>
    <t>18/01/2022</t>
  </si>
  <si>
    <t>SD-73 TSM Professional Services</t>
  </si>
  <si>
    <t>MT Data - TSM Professional Services:
Modify VAT report to add additional fields  - IMEI number, Security Tag no and Checklist. Expected delivery 3/Feb/22</t>
  </si>
  <si>
    <t>SD-71 TSM Professional Services</t>
  </si>
  <si>
    <t>Tri Tech Refrigeration Holdings P/L as trustee for TTR HOLDINGS UNIT TRUST - TSM Professional Services:
Data Export for squeezing 9 hrs @ $185/hr. ETD 2/Feb/22</t>
  </si>
  <si>
    <t>SD-72 TSM Professional Services</t>
  </si>
  <si>
    <t>Tri Tech Refrigeration Holdings P/L as trustee for TTR HOLDINGS UNIT TRUST - TSM Professional Services:
Job status change log - Job status change log – need a spreadsheet which details the status changes for each job</t>
  </si>
  <si>
    <t>19/01/2022</t>
  </si>
  <si>
    <t>SD-74 TSM Professional Services</t>
  </si>
  <si>
    <t xml:space="preserve">GEC Communications Pty Ltd - TSM Professional Services:
TSM Professional Services to implement a Script to link customer documents as scoped and agreed on in PS Request document. </t>
  </si>
  <si>
    <t>20/01/2022</t>
  </si>
  <si>
    <t>TSM 20,000 SMS</t>
  </si>
  <si>
    <t>Modus Projects - Smart Intelli Messages - 20,000</t>
  </si>
  <si>
    <t>TSM 5,000 SMS</t>
  </si>
  <si>
    <t>Modus Projects - Smart Intelli Messages - 5000</t>
  </si>
  <si>
    <t>01/03/2022 - 31/05/2022 TSM Quarterly Evolution Subscription</t>
  </si>
  <si>
    <t>CJ Pearce Pty Ltd - TSM Evolution Subscription:
History Purpose only
1 x Back Office License @ $100.00 per month per license</t>
  </si>
  <si>
    <t>21/01/2022</t>
  </si>
  <si>
    <t>State Govt Grants (50200)</t>
  </si>
  <si>
    <t>EAG Service NSW - State Government Grant</t>
  </si>
  <si>
    <t>Electro-Mechanical Services Pty Ltd - TSM Professional Services:
TSM / Xero Accounting Link set up/configuration set up fee $ 795</t>
  </si>
  <si>
    <t>1/01/2022 - 31/03/2022 TSM Quarterly Evolution Subscription</t>
  </si>
  <si>
    <t>Lawson Air - TSM Evolution Subscription:
1 x back office license @ $150.00 per month</t>
  </si>
  <si>
    <t>SD-69 TSM Professional Services</t>
  </si>
  <si>
    <t>Matthews Australasia - TSM Professional Services:
Update labor rates PO 015741</t>
  </si>
  <si>
    <t>24/01/2022</t>
  </si>
  <si>
    <t>01/02/2022</t>
  </si>
  <si>
    <t>15/02/2022 - 14/05/2022  TSM quarterly Evolution Subscription</t>
  </si>
  <si>
    <t>Ellis Airconditioning (QLD) Pty Ltd - TSM Evolution Subscription:
a.Evolution Subscription: Minimal platform as required for full archive access and minimal processing,  including pre-existing Live Data and access for up to 4 back-office users and nil Mobile users:                $115.00.00 per month.</t>
  </si>
  <si>
    <t>Ellis Airconditioning (QLD) Pty Ltd - 07/12/2021 INV 5316
Additional mobile license x 1 @ $45.00 per month per license</t>
  </si>
  <si>
    <t>01/03/2022 - 31/05/2022 TSM Quarterly Evolution Tariff.</t>
  </si>
  <si>
    <t>Pharo Cleaning Services Pty Ltd - TSM Evolution Quarterly Subscription
Contract signed 22/05/2020.
3 Back office &amp; 0 Mobile licenses @ $200.00 per month.</t>
  </si>
  <si>
    <t>Pharo Cleaning Services Pty Ltd - TSM Maintenance Accounting Link Licence Quarterly Subscription</t>
  </si>
  <si>
    <t>Pharo Cleaning Services Pty Ltd - 16/06/2021 20 G1 Licenses added @ $15.00 per license per month = $300.00 per month</t>
  </si>
  <si>
    <t>Pharo Cleaning Services Pty Ltd - 28/05/2021 INV 4622 
TSM Evolution Additional G1 Lite Mobile license x 1 @ 25.00 per month</t>
  </si>
  <si>
    <t>01/03/2022-28/02/2023  TSM Annual Maintenance Renewa.2020</t>
  </si>
  <si>
    <t>CORPORATE AIR VIC PTY LTD - TSM Maintenance &amp; Support PRO Licence - 12 months
3 licenses Corporate Air VIC</t>
  </si>
  <si>
    <t>CORPORATE AIR VIC PTY LTD - TSM Maintenance &amp; Support PRO Licence - 12 months
3 licenses Corporate Air Service VIC
**Total Group license count - 6 licenses @378/year</t>
  </si>
  <si>
    <t>CORPORATE AIR VIC PTY LTD - TSM Maintenance &amp; Support Accounting Post - 12 months</t>
  </si>
  <si>
    <t>CORPORATE AIR VIC PTY LTD - TSM Maintenance &amp; Support Contract Jobs - 12 months</t>
  </si>
  <si>
    <t>01/03/2022 - 31/05/2022  TSM Quarterly maintenance and support renewal</t>
  </si>
  <si>
    <t>PRIORITY PLUS PLUMBING - TSM Maintenance &amp; Support PRO License - 12 months
7 PRO licenses @ $378/license/year</t>
  </si>
  <si>
    <t>PRIORITY PLUS PLUMBING - TSM Maintenance &amp; Support Contract Jobs - 12 months
@ 300.00 p/a</t>
  </si>
  <si>
    <t>PRIORITY PLUS PLUMBING - TSM Maintenance &amp; Support Accounting Post - @ $300.00 p/a</t>
  </si>
  <si>
    <t>PRIORITY PLUS PLUMBING - TSM Maintenance &amp; Support PRO Licence - 12 months
4/06/19 1 additional back office licenses added (dated the 01/06/19)</t>
  </si>
  <si>
    <t>PRIORITY PLUS PLUMBING - API License subscription chargeable from “1st June 2021 after being provided FOC for extended period. $110.00 per month</t>
  </si>
  <si>
    <t>MARCH 2022 TSM Monthly Evolution Subscription</t>
  </si>
  <si>
    <t>AE Roberts Electrical - TSM Evolution monthly Subscription:
MARCH 2022
Contract start date 1/05/2020
2 Back office licenses</t>
  </si>
  <si>
    <t>01/03/2022 - 31/05/2022 TSM Evolution Quarterly Subscription</t>
  </si>
  <si>
    <t>Protech Air Conditioning &amp; Electrical Pty Ltd - TSM Evolution Subscription
31/05/2021
reduced to 1 BO &amp; 1 MO 
Minimum Evolution Package fee</t>
  </si>
  <si>
    <t>01/02/2022 - 31/01/2023  TSM Annually  Evolution Subscription</t>
  </si>
  <si>
    <t xml:space="preserve">Planet Security Pty Ltd - Evolution Subscription
As requested 05/06/20 we have reduced your TSM Evolution Quarterly Subscription to 1 Back Office and 2 Mobile including Accounting Link for $200 per month + GST </t>
  </si>
  <si>
    <t>Planet Security Pty Ltd - TSM Evolution Subscription discount of 10% for paying 12 months in advance</t>
  </si>
  <si>
    <t>MARCH TSM Monthly Maintenance and Support renewal</t>
  </si>
  <si>
    <t>Evotec Pty Ltd - TSM Maintenance &amp; Support Contract Jobs 
@ 300.00 p/a</t>
  </si>
  <si>
    <t>Modus Projects - TSM Evolution Subscription
As per signed TSM Evolution Software Subscription Master Agreement 27/Feb/2020
60 Back Office Licenses
60 x $80.00 x 3 months.</t>
  </si>
  <si>
    <t>Modus Projects - "Addition of basic ADP Automatic Document Processor" for attaching documents from emails to jobs and purchase orders."
Maintenance: $120 pa</t>
  </si>
  <si>
    <t>Modus Projects - TSM Evolution Subscription Additional BO licenses x 10 @ $100.00 per month</t>
  </si>
  <si>
    <t>Modus Projects - TSM Evolution Subscription Mobile liceneses x 161 @ $45.00 per month per license.</t>
  </si>
  <si>
    <t>Modus Projects - 1/06/2021 INV 4709
Additional Evolution Back Office Subscription.
8 x $100.00 per month per license.</t>
  </si>
  <si>
    <t>Modus Projects - 13/08/2021 INV 4950
Additional Mobile Licenses x 5 @ $45.00 per month per license.</t>
  </si>
  <si>
    <t>Modus Projects - 02/09/2021 INV 5036
Additional Back Office Licenses x 6 @ $100.00 per month per license.</t>
  </si>
  <si>
    <t>Modus Projects - 30/09/2021 INV 5057
Additional Mobile Licenses x 5 @ $45.00 per month per license.</t>
  </si>
  <si>
    <t>Modus Projects - 22/10/2021 INV 5146
Additional Mobile Licenses x 3 @ $45.00 per month per license.</t>
  </si>
  <si>
    <t>Modus Projects - 17/11/2021 INV 5230
Additional Mobile Licenses x 13 @ $45.00 per month per license</t>
  </si>
  <si>
    <t>Modus Projects - 26/11/2021 INV 5233 Additional  Mobile Licenses x 5 @ $45.00 per month per license</t>
  </si>
  <si>
    <t>01/03/2021 -31/05/2022 TSM Quarterly Evolution Subscription</t>
  </si>
  <si>
    <t>Electro-Mechanical Services Pty Ltd - TSM Evolution Subscription 
Contract signed 30/04/2020
9 Back Office &amp; 20 Mobile Licenses @ $969.84 per month.</t>
  </si>
  <si>
    <t>Electro-Mechanical Services Pty Ltd - TSM  Accounting Link Licence Monthly Subscription</t>
  </si>
  <si>
    <t>01/03/2022 - 31/05/2022  TSM Quarterly Evolution Subscription</t>
  </si>
  <si>
    <t>Compressors Australia Pty Ltd - TSM Evolution TARIFF 
Contract signed 27/04/2020
5 Back Office &amp; 0 Mobile Licenses</t>
  </si>
  <si>
    <t>Compressors Australia Pty Ltd - Accounting Link Licence Monthly Subscription</t>
  </si>
  <si>
    <t>GEC Communications Pty Ltd - TSM Evolution Subscription:
3 back office &amp; 1 mobile license @ $300.00 per month</t>
  </si>
  <si>
    <t>GEC Communications Pty Ltd - TSM Maintenance Accounting Link Licence Monthly Subscription</t>
  </si>
  <si>
    <t>GEC Communications Pty Ltd - System hosting and licensing.</t>
  </si>
  <si>
    <t>Good Sight Australia Pty Ltd - TSM Evolution Monthly Subscription Period: MARCH 2022
10 back-office, &amp; 22 mobiles @$2,850/month - as per initial contract</t>
  </si>
  <si>
    <t>Daark Investments Pty Ltd - TSM Evolution TARIFF
Contract Start date 10/07/2020
2 Back Office &amp;  Mobile Licenses @ $200.00 per month.</t>
  </si>
  <si>
    <t>Daark Investments Pty Ltd - TSM Maintenance Accounting Link License Monthly Subscription @ $25.00 per month.</t>
  </si>
  <si>
    <t>Daark Investments Pty Ltd - 28/08/2020 TSM Additional Evolution Mobile License x 1 @ $45.00 per month per license.
1/12/2020 - 31/05/2021.</t>
  </si>
  <si>
    <t>Daark Investments Pty Ltd - 23/09/2020 TSM Additional Evolution Mobile License x 1 @ $45.00 per month per license.
1/12/2020 - 31/05/2021.</t>
  </si>
  <si>
    <t>01/03/2022 - 31/05/2022 TSM Quarterly Maintenance and Support Renewal</t>
  </si>
  <si>
    <t>CBT (Credible Building Technologies P/L) - TSM Maintenance &amp; Support PRO License
**4 PRO back-office licenses @405/year as below:
Credible Building Technologies: 1 users
Network Fire Solutions: 1 user
Credible Security and Vision Pty Ltd:  2 user  + 1 MYOB</t>
  </si>
  <si>
    <t>CBT (Credible Building Technologies P/L) - TSM Maintenance &amp; Support Accounting Post 
**Credible Security and Vision</t>
  </si>
  <si>
    <t>1/03/2022 - 31/05/2022 TSM Evolution Quarterly Tariff</t>
  </si>
  <si>
    <t>Pioneer Pty Ltd - TSM Evolution TARIFF 
Minimum Evolution Package including 2 Back Office licences = 175.00 +gst p/m</t>
  </si>
  <si>
    <t>MARCH 2022 TSM Mobile monthly subscription</t>
  </si>
  <si>
    <t>Mawes Nominess Pty Ltd t/a Lally Plumbers - TSM Mobile License 
Subscription
MARCH 2022</t>
  </si>
  <si>
    <t>15/02/2022 - 14/05/2022 TSM Evolution Quarterly Subscription</t>
  </si>
  <si>
    <t>Ellis Airconditioning Pty Ltd - TSM Evolution Subscription:
Minimal platform as required for full archive access and minimal processing,  including pre-existing Live Data and access for up to 4 back-office users and nil Mobile users:                $185.00.00 per month.</t>
  </si>
  <si>
    <t>01/03/2022 - 31/05/2022 TSM Quarterly evolution tariff</t>
  </si>
  <si>
    <t>Alpine Refrigeration and Air Conditioning - TSM Evolution Subscription   3 back-office and 2 mobile licenses @ $280/month plus GST</t>
  </si>
  <si>
    <t xml:space="preserve">Alpine Refrigeration and Air Conditioning - Third mobile added 25/01/19 </t>
  </si>
  <si>
    <t>Alpine Refrigeration and Air Conditioning - TSM Evolution TARIFF
20/08/19 4'th additional mobile license
$45.00 per month per license</t>
  </si>
  <si>
    <t>Rencomp Pty Ltd t/as Sci-Tek Systems - TSM Evolution Monthly  Subscription: FEBRUARY 2022</t>
  </si>
  <si>
    <t>MARCH 2022 Evolution Monthly Subscription</t>
  </si>
  <si>
    <t>TRIDAN Electrical Contractors Pty Ltd - TSM Evolution Subscription 
MARCH 2022
3 Back Office Licenses
3 Mobile Licenses</t>
  </si>
  <si>
    <t>FEBRUARY 2022 TSM Evolution monthly Subscription</t>
  </si>
  <si>
    <t>08/03/2022 - 07/03/2023 TSM Evolution Tariff</t>
  </si>
  <si>
    <t>SE SECURITY - TSM Evolution TARIFF @524/month
3 back-office, and 6 mobiles</t>
  </si>
  <si>
    <t>SE SECURITY - TSM Evolution additional Mobile license added 27/06/2019.
1 x $45.00 per month per license</t>
  </si>
  <si>
    <t>SE SECURITY - 02/02/2022 Reduced mobile licenses by 3.
3 x $45.00 per license per month</t>
  </si>
  <si>
    <t>Print &amp; Pack Australia Pty Ltd - TSM Quarterly Evolution Subscription: 01/03/2022 - 31/05/2022
3 back Office and 7 Mobile licenses @769/month</t>
  </si>
  <si>
    <t>Print &amp; Pack Australia Pty Ltd - TSM Evolution additional mobile license added 20/09/2019 @ $45.00 per month</t>
  </si>
  <si>
    <t>17/03/2022 - 16/06/2022 TSM Evolution quarterly tariff</t>
  </si>
  <si>
    <t>Southern Cross Crane Service - TSM Evolution Quarterly TARIFF
5 Back office licenses &amp; 11 Mobile licenses.
Including accounting post 2 $794.00 per month</t>
  </si>
  <si>
    <t>Southern Cross Crane Service - Reduce Subscription by 1 Mobile to 10</t>
  </si>
  <si>
    <t>FEBRUARY 2022 TSM Evolution Subscription, reduced cost due to COVID-19</t>
  </si>
  <si>
    <t xml:space="preserve">KEPLER ANALYTICS - TSM Evolution Subscription
FEBRUARY 2022
5 BO &amp; 10 Mobile </t>
  </si>
  <si>
    <t>FEBRUARY 2022 TSM Monthly Evolution Tariff</t>
  </si>
  <si>
    <t>Eastern Suburbs Garage Doors - TSM Monthly Evolution Subscription FEBRUARY 2022
2 Back Office &amp; 1 Mobile license</t>
  </si>
  <si>
    <t>11/03/2021 - 10/06/2022 TSM Evolution Quarterly Subscription</t>
  </si>
  <si>
    <t>Finsbury Service Doc Pump pty Ltd - TSM Quarterly Evolution Subscription
Contract signed 11/09/2020
5 Back Office Licenses &amp; 0 Mobile @ $700.00 per month</t>
  </si>
  <si>
    <t>Finsbury Service Doc Pump pty Ltd - 15/11/2021 INV 5226
TSM Evolution Subscription
2 x mobile licenses @ $45.00 per month per license</t>
  </si>
  <si>
    <t>Ken Barnes - TSM Evolution Quarterly Subscription
Contract signed 30/04/2020
Subscription starts 01/06/2020
1 Back Licenses &amp; 0 Mobile</t>
  </si>
  <si>
    <t>Strathbrook Industrial Pty Ltd - TSM Evolution Subscription:
MARCH 2022
5 Back office licenses &amp; 6 Mobile licenses
@ $668.00 per month</t>
  </si>
  <si>
    <t>MARCH 2022 TSM monthly maintenance and support subscription</t>
  </si>
  <si>
    <t>Appliance Services Australia - TSM Quarterly Evolution 1
1 Back office</t>
  </si>
  <si>
    <t>MARCH 2022 TSM Evolution Monthly Subscription</t>
  </si>
  <si>
    <t>TRIWEST Forklifts Services - TSM Evolution Monthly Subscription: MARCH 2022
3 Back Office &amp; 4 Mobile Licenses @ $ 300.00 per month</t>
  </si>
  <si>
    <t>FEBRUARY 2022 TSM  Evolution Subscription</t>
  </si>
  <si>
    <t>Arrowsmith &amp; Grant - TSM Evolution Subscription Period:
FEBRUARY 2022
7 back office &amp; 6 mobile licenses</t>
  </si>
  <si>
    <t>01/03/2022 - 31/05/2022 Quarterly TSM Backup Cloud Hosting</t>
  </si>
  <si>
    <t>Floyd Industries Pty Ltd - TSM Professional Fee
$75.00 per month x 3 months cloud hosting</t>
  </si>
  <si>
    <t>MARCH 2022  PURCHASER - Alison Kay (National Service Co-ordinator) - TSM Monthly Mobile Renewal</t>
  </si>
  <si>
    <t>Chute Services Australia - TSM Evolution Subscription reduced to one back office license only, minimal platform.</t>
  </si>
  <si>
    <t>MARCH 2022 TSM Monthly maintenance renewal</t>
  </si>
  <si>
    <t>MARCH 2022 TSM Evolution Subscription</t>
  </si>
  <si>
    <t>SubZero Projects Pty Ltd - 10/01/2022 INV 5400
Additional Mobile license x 1 @ $100.00 per license per month</t>
  </si>
  <si>
    <t>SubZero Projects Pty Ltd - 10/01/2022 INV 5400
Additional Back office license x 1 @ $45.00 per month per license</t>
  </si>
  <si>
    <t>MARCH 2022 Monthly Evolution Subscription</t>
  </si>
  <si>
    <t>Professional Security Engineering Pty Ltd - TSM Evolution Subscription Period: MARCH 2022
3 Back Office Licenses</t>
  </si>
  <si>
    <t>FEBRUARY 2022 - TSM Evolution monthly Subscription</t>
  </si>
  <si>
    <t>Cafequip - TSM Evolution monthly subscription -FEBRUARY 2022
4 Back Office licenses @ $55.00 per month per license</t>
  </si>
  <si>
    <t>01/03/2022 - 31/04/2022 TSM Evolution Tariff</t>
  </si>
  <si>
    <t>BEMS Pty Ltd - TSM Evolution Subscription:
Reduced licenses as requested.
3 back office &amp; 10 mobile licenses @ $1,150.00</t>
  </si>
  <si>
    <t>BEMS Pty Ltd - 10/01/2022 INV 5401
Additional Mobile licenses x 12 @ $45.00 per month per license</t>
  </si>
  <si>
    <t>01/03/2022 - 28/02/2023 - TSM Evolution tariff</t>
  </si>
  <si>
    <t>Tiger Coffee Pty Ltd - TSM Evolution TARIFF
**6 Back Office and 15 mobiles @1,265/month
**Upgrade from PRO to ENTERPRISE licenses @125/month
**Total cost per month $1,390</t>
  </si>
  <si>
    <t>Tiger Coffee Pty Ltd - INV 2879 09/03/2020
TSM Additional Evolution Mobile license @ $45.00 per month per license.
Added 3/02/2020</t>
  </si>
  <si>
    <t>Tiger Coffee Pty Ltd - INV 4265 11/02/2021
TSM Additional Evolution Mobile License x 1 @ $45.00 per month per license</t>
  </si>
  <si>
    <t>01/03/2022 - 31/05/2022 TSM Quarterly  Evolution Subscription</t>
  </si>
  <si>
    <t>Dean Tapp Maintenance - TSM Evolution Subscription:
3 Back Office &amp; 1 Mobile License @ $295.00 per month</t>
  </si>
  <si>
    <t>Dean Tapp Maintenance - Evolution Accounting Link @ $25.00 per month</t>
  </si>
  <si>
    <t>15/02/2022 - 14/03/2022 TSM Evolution Monthly Subscription</t>
  </si>
  <si>
    <t>01/03/2022 - 31/05/2022 TSM Evolution Subscription</t>
  </si>
  <si>
    <t>Centre State Computer Maintenance Pty Ltd - TSM Evolution Subscription:
5 Back office &amp; 6 mobile Licenses @ $570.00 per month</t>
  </si>
  <si>
    <t>Catering Equipment Repairs - TSM Quarterly Evolution Subscription:
4 x back office &amp; 4 x mobile licenses @ $479.00 per month.</t>
  </si>
  <si>
    <t>Wilson Refrigeration &amp; Air conditioning Pty Ltd - TSM Evolution Subscription:
Contract signed 19/04/2021
2 back office &amp; 2 mobile licenses @ $225.00 per month.</t>
  </si>
  <si>
    <t>Wilson Refrigeration &amp; Air conditioning Pty Ltd - Reckon accounting link monthly cost @ $25.00</t>
  </si>
  <si>
    <t>RW Palmer Electrical - TSM Evolution TARIFF:
Contract signed 15/06/2020
6 Back Office &amp; 0 Mobile licenses @ $300.00 per month.
Contract to start on the 1/09/20</t>
  </si>
  <si>
    <t>RW Palmer Electrical - TSM Maintenance Accounting Link Licence Monthly Subscription</t>
  </si>
  <si>
    <t>01/03/2022 - 28/02/2023 TSM Annual Evolution Subscription</t>
  </si>
  <si>
    <t>Gee Jay Gee Pty Limited - TSM Evolution Subscription 
Contract signed 15/12/2016 
5 back office licenses @ $495.00 per month</t>
  </si>
  <si>
    <t>Gee Jay Gee Pty Limited - 13/03/2021 Additional TSM Evolution Back Office License x 1 @ $85.00 per month per License.</t>
  </si>
  <si>
    <t>Gee Jay Gee Pty Limited - 31/08/2020 TSM Evolution GI Licenses x 6 @ $15.00 per month per License</t>
  </si>
  <si>
    <t>Gee Jay Gee Pty Limited - 31/08/2020 TSM Evolution GI Licenses x 2 @ $15.00 per month per License.</t>
  </si>
  <si>
    <t>Clem Tech Pty Ltd - TSM Evolution Subscription
MARCH 2022
4 Back Office &amp; 6 Mobile Licenses
Contract signed 5/02/2020
Agreed contract start date 01/05/2020</t>
  </si>
  <si>
    <t>MARCH 2022 TSM Monthly Subscription</t>
  </si>
  <si>
    <t>MARCH 2022 TSM EVOLUTION Monthly Subscription</t>
  </si>
  <si>
    <t>The Hydraulic Shop - TSM Evolution monthly subscription: MARCH 2022
8 Back office licenses</t>
  </si>
  <si>
    <t>01/03/2022  - 28/02/2023 TSM Pro Maintenance BO Licenses</t>
  </si>
  <si>
    <t xml:space="preserve">Climate Control - TSM Maintenance &amp; Support PRO License - 12 months 01/03/2021 - 28/02/2022
3 BO licenses $443.00 per year </t>
  </si>
  <si>
    <t>Climate Control - TSM Maintenance &amp; Support Accounting Post - 12 months</t>
  </si>
  <si>
    <t>Climate Control - TSM Maintenance &amp; Support Contract Jobs - 12 months</t>
  </si>
  <si>
    <t>01/03/2022 - 28/02/2023  TSM Evolution Tariff</t>
  </si>
  <si>
    <t>Sydney Pumps - TSM Evolution Subscription**2 back Office and 3 Mobiles @300/month</t>
  </si>
  <si>
    <t>Diverse Mechanical Solutions Pty Ltd - TSM Evolution Subscription: MARCH 2022, 3 BO 1 MO</t>
  </si>
  <si>
    <t>01/03/2022 - 31/05/2022  TSM Quarterly Mobile Renewal</t>
  </si>
  <si>
    <t>PRIORITY PLUS PLUMBING - TSM Mobile License : 
6 mobile licenses - 3 months @ $45.00 per month</t>
  </si>
  <si>
    <t>Airforce Pty Ltd - TSM Evolution Subscription Period: MARCH 2022 @389/month
3 back Office Licenses
3 Mobile Licenses</t>
  </si>
  <si>
    <t>FEBRUARY 2022 - TSM Monthly Subscription</t>
  </si>
  <si>
    <t>Moore Bros Plumbing Services - TSM Evolution Subscription - FEBRUARY 2022</t>
  </si>
  <si>
    <t>MARCH 2022 - TSM Evolution Monthly Subscription</t>
  </si>
  <si>
    <t>Force One Electrical Pty Ltd - TSM Evolution Subscription
Period: MARCH 2022</t>
  </si>
  <si>
    <t>01/03/2022 - 31/05/22 TSM Quarterly Evolution Subscription</t>
  </si>
  <si>
    <t>INCITE SECURITY - TSM Evolution Subscription 
1 Back office license @ $85.00 per month</t>
  </si>
  <si>
    <t>02/02/2022</t>
  </si>
  <si>
    <t>TD-5358 TSM Professional Services</t>
  </si>
  <si>
    <t xml:space="preserve">CMS Engineering Pty Ltd - TSM Professional Services:
To implement Consolidated Invoices Breakdown as scoped and agreed on in PS Request document. </t>
  </si>
  <si>
    <t>21/01/2022 - 20/01/2023 TSM Annual Maintenance &amp; Support</t>
  </si>
  <si>
    <t>T and T Plumbing - TSM Maintenance &amp; Support.
1 x Pro Back Office License @ $453.00 per license per year.</t>
  </si>
  <si>
    <t>T and T Plumbing - TSM Maintenance Accounting Link License Annual Subscription @ $300.00 per year.</t>
  </si>
  <si>
    <t>01/02/2022 - 31/01/2023 TSM Annual Evolution Subscription</t>
  </si>
  <si>
    <t>PETROLEUM CONSTRUCTIONS PTY LTD - TSM Evolution Subscription:
1 x back office licenses @ $300.00 per year</t>
  </si>
  <si>
    <t>TD-3641 Professional Services</t>
  </si>
  <si>
    <t>Tri Tech Refrigeration Holdings P/L as trustee for TTR HOLDINGS UNIT TRUST - TSM Professional Services:
 Reverse the Closing Journal for correct Scala workflow</t>
  </si>
  <si>
    <t>03/02/2022</t>
  </si>
  <si>
    <t>03/02/2022 - 30/04/2022 TSM Evolution Additional Back Office Licenses x 2</t>
  </si>
  <si>
    <t>Encore Monitoring Pty Ltd - Set-up fee:
2 x additional back office licenses</t>
  </si>
  <si>
    <t>Encore Monitoring Pty Ltd - Additional back office licenses x 2 @ $100.00 per month per license.</t>
  </si>
  <si>
    <t>SD-48 TSM Professional Services</t>
  </si>
  <si>
    <t>Good Sight Australia Pty Ltd - TSM Professional Services:
Modify the WPCG form to accommodate the latest changes</t>
  </si>
  <si>
    <t>TD-5356 TSM Professional Services</t>
  </si>
  <si>
    <t>National Management Group - TSM Professional Services:
To provide a feature that locks the quantity of parts used if the part is received from an order</t>
  </si>
  <si>
    <t>SD-46 TSM Professional Services</t>
  </si>
  <si>
    <t>National Management Group - TSM Professional Services:
Create user defined fields in anticipation of Hubspot integration</t>
  </si>
  <si>
    <t>TD-5357 TSM Professional Services</t>
  </si>
  <si>
    <t>Modus Projects - TSM Professional Services:
Create more  conditions when SMS messages are to be sent.</t>
  </si>
  <si>
    <t>04/02/2022</t>
  </si>
  <si>
    <t>SD-54 TSM Professional Services</t>
  </si>
  <si>
    <t>Tri Tech Refrigeration Holdings P/L as trustee for TTR HOLDINGS UNIT TRUST - TSM Professional Services:
Scripting to control the updating of POs raised on mobile</t>
  </si>
  <si>
    <t>TSM Professional Sevices</t>
  </si>
  <si>
    <t xml:space="preserve">Civilcraft Pty Ltd - TSM Professional Services:
TSM / Xero Accounting Link set up/configuration set up fee </t>
  </si>
  <si>
    <t>Civilcraft Pty Ltd - TSM Maintenance Accounting Link License Annual Subscription @ $300.00 per year.
04/02/2022 - 31/07/2022</t>
  </si>
  <si>
    <t>Civilcraft Pty Ltd - Credit given for accounting link paid in advance.</t>
  </si>
  <si>
    <t>TD-5360 TSM Professional Services</t>
  </si>
  <si>
    <t>Applied Air Services - TSM Professional Services:
Deliver an Excel spreadsheet via sFTP
Pt.A Develop spreadsheet     2 hrs @ $185/hr
Pt.B Option 2 Transfer via sFTP  3 hrs @ $185/hr</t>
  </si>
  <si>
    <t>07/02/2022</t>
  </si>
  <si>
    <t>07/02/2022 - 14/05/2022 TSM Evolution Additional Mobile License x 1</t>
  </si>
  <si>
    <t>Ellis Airconditioning (QLD) Pty Ltd - Set-up fee:
Additional mobile license x 1</t>
  </si>
  <si>
    <t>Ellis Airconditioning (QLD) Pty Ltd - TSM Evolution Subscription:
Additional mobile license x 1 @ $45.00 per month per license</t>
  </si>
  <si>
    <t>09/02/2022</t>
  </si>
  <si>
    <t>Bad Debts (69100)</t>
  </si>
  <si>
    <t>09/02/2022 - 08/05/2022 PROMO TSM Additional Evolution Licenses. 2 x Mobile Licenses</t>
  </si>
  <si>
    <t>ALLSTATE REFRIGERATION SERVICES - Set-up fee:
2 x Additional mobile licenses</t>
  </si>
  <si>
    <t>ALLSTATE REFRIGERATION SERVICES - February PROMOTION
Free (No set up fee)</t>
  </si>
  <si>
    <t>ALLSTATE REFRIGERATION SERVICES - TSM Evolution Subscription:
2 x Additional mobile licenses @ $45.00 per month per license</t>
  </si>
  <si>
    <t>ALLSTATE REFRIGERATION SERVICES - February PROMOTION
3 months @ no charge</t>
  </si>
  <si>
    <t>11/02/2022</t>
  </si>
  <si>
    <t>11/02/2022 - 12/05/2022 TSM Quarterly Maintenance Subscription</t>
  </si>
  <si>
    <t>ASV Computing Solutions Pty Ltd - TSM Maintenance &amp; Support Enterprise Back Office Licenses x 2 @ $650.00 per license per year.
($325.00 per quarter)</t>
  </si>
  <si>
    <t>INV 5243 Credit for Evolution Subscription paid in advance.</t>
  </si>
  <si>
    <t>ASV Computing Solutions Pty Ltd - Credit TSM Evolution Subscription ref invoice 5243. 11/02/2022 - 31/03/2022</t>
  </si>
  <si>
    <t>14/02/2022</t>
  </si>
  <si>
    <t>14/02/2022 - 31/07/2022 TSM  Evolution Additional Back Office License x 1</t>
  </si>
  <si>
    <t>Technology Core - Set-up fee:
Additional Evolution back office license x 1</t>
  </si>
  <si>
    <t>Technology Core - TSM Evolution Subscription:
Additional back office license @ $100.00 per month per license</t>
  </si>
  <si>
    <t>HK Group Services - TSM Professional Services:
Look at combining reports, report button, etc</t>
  </si>
  <si>
    <t>HK Group Services - TSM Professional Services:
Additional hours of Professional Services as requested by Susan on 13/2/22</t>
  </si>
  <si>
    <t>15/02/2022</t>
  </si>
  <si>
    <t>TSM Establishment Fee</t>
  </si>
  <si>
    <t>Eastaway Services Pty Ltd - TSM Evolution Establishment Fee:
4 back office &amp; 8 mobile licenses</t>
  </si>
  <si>
    <t xml:space="preserve">Eastaway Services Pty Ltd - Returning Customer Loyalty Bonus 10% </t>
  </si>
  <si>
    <t>Eastaway Services Pty Ltd - Set-up fee:
Accounting Link Set up (XERO)</t>
  </si>
  <si>
    <t xml:space="preserve">Eastaway Services Pty Ltd - Set-up fee:
Mobile set up &amp; configuration </t>
  </si>
  <si>
    <t>01/04/2022 - 30/06/2022 TSM Quarterly Evolution Subscription</t>
  </si>
  <si>
    <t>Eastaway Services Pty Ltd - TSM Evolution Subscription:
4 Back office &amp; 8 Mobile licenses @ $760.00 per month</t>
  </si>
  <si>
    <t>Eastaway Services Pty Ltd - TSM Maintenance Accounting Link Subscription @ $25.00 per month</t>
  </si>
  <si>
    <t>16/02/2022</t>
  </si>
  <si>
    <t>09/02/2022 - 08/05/2022 PROMO TSM Additional Evolution Mobile License x 1</t>
  </si>
  <si>
    <t>Total Commercial Equipment (TCE) trading as Gecko Trading - Set-up fee:
1 x Additional mobile license</t>
  </si>
  <si>
    <t>Total Commercial Equipment (TCE) trading as Gecko Trading - February PROMOTION Free (No set up fee)</t>
  </si>
  <si>
    <t>Total Commercial Equipment (TCE) trading as Gecko Trading - TSM Evolution Subscription:
1 x Additional mobile license @ $45.00 per month per license</t>
  </si>
  <si>
    <t>Total Commercial Equipment (TCE) trading as Gecko Trading - February PROMOTION 3 months @ no charge</t>
  </si>
  <si>
    <t>11/02/2022 - 10/05/2022 PROMO TSM Additional Evolution Back Office License x 1</t>
  </si>
  <si>
    <t>Cool-Time Refrigeration and Air - Set-up fee:
1 x Additional back office license</t>
  </si>
  <si>
    <t>Cool-Time Refrigeration and Air - 
February PROMOTION Free (No set up fee)</t>
  </si>
  <si>
    <t>Cool-Time Refrigeration and Air - TSM Evolution Subscription:
1 x Additional back office license @ $100.00 per month per license</t>
  </si>
  <si>
    <t>Cool-Time Refrigeration and Air - February PROMOTION 3 months @ no charge</t>
  </si>
  <si>
    <t>17/02/2022</t>
  </si>
  <si>
    <t>Good Sight Australia Pty Ltd - TSM Professional Services:
 Item 29A warning on approaching limit</t>
  </si>
  <si>
    <t>TD-5405 TSM Professional Sevices</t>
  </si>
  <si>
    <t xml:space="preserve">CMS Engineering Pty Ltd - TSM Professional Services:
Updates to EF integration on Timesheet submission as scoped and agreed on in PS Request document. </t>
  </si>
  <si>
    <t>TD-5403 TSM Professional Services</t>
  </si>
  <si>
    <t xml:space="preserve">JMH Group Pty Ltd - TSM Professional Services:
Customers Rating Report as scoped and agreed on in PS Request document. </t>
  </si>
  <si>
    <t>TSM Evolution Establishment Fee</t>
  </si>
  <si>
    <t xml:space="preserve">Northernair Pty Ltd - TSM Evolution Establishment Fee:
7 back office &amp; 1 mobile license.
Set up for a new dedicated Reckon hosting as part of Evolution environment </t>
  </si>
  <si>
    <t>01/04/2022 - 30/06/2022 TSM Evolution Subscription</t>
  </si>
  <si>
    <t>Northernair Pty Ltd - TSM Evolution Subscription:
7 Back Office + 1 Mobile license @ $395.00 per month (Including Accounting Link Monthly cost)</t>
  </si>
  <si>
    <t>Under-run of two (2) hours as a credit</t>
  </si>
  <si>
    <t>Modus Projects - TSM Professional Services:
"JDE Viva API link project - scoping stage"
Under-run of two (2) hours as a credit</t>
  </si>
  <si>
    <t>INV 4690 Maintenance &amp; Accounting Link Paid in Advance</t>
  </si>
  <si>
    <t>Northernair Pty Ltd - Maintenance 01/04/2022 - 30/06/2022</t>
  </si>
  <si>
    <t>Northernair Pty Ltd - Accounting link paid in advance</t>
  </si>
  <si>
    <t>17/02/2022 - 16/05/2022 PROMO TSM Additional Mobile Licenses x 3</t>
  </si>
  <si>
    <t>National Management Group - Set-up fee:
Additional mobile licenses x 3</t>
  </si>
  <si>
    <t>National Management Group - February PROMOTION Free (No set up fee)</t>
  </si>
  <si>
    <t>National Management Group - TSM Evolution Subscription:
3 x Additional mobile licenses @ $45.00 per month per license</t>
  </si>
  <si>
    <t>National Management Group - February PROMOTION 3 months @ no charge</t>
  </si>
  <si>
    <t>TD-5402 TSM Professional Services</t>
  </si>
  <si>
    <t>Mathiou Services - TSM Professional Services:
To speed up maintenance job production by creating an asynchronous email queue</t>
  </si>
  <si>
    <t>TD-5401 TSM Professional Services</t>
  </si>
  <si>
    <t>Good Sight Australia Pty Ltd - TSM Professional Services:
To modify '09 Jobs not completed report</t>
  </si>
  <si>
    <t>18/02/2022</t>
  </si>
  <si>
    <t>18/02/2022 - 17/05/2022 PROMO TSM Additional Mobile License x 1</t>
  </si>
  <si>
    <t>Serve Tech Pty Ltd - Set-up fee:
1 x Additional mobile license</t>
  </si>
  <si>
    <t>Serve Tech Pty Ltd - February PROMOTION Free (No set up fee)</t>
  </si>
  <si>
    <t>Serve Tech Pty Ltd - TSM Evolution Subscription:
 1 x Additional mobile license @ $45.00 per month per license</t>
  </si>
  <si>
    <t>Serve Tech Pty Ltd - February PROMOTION 3 months @ no charge</t>
  </si>
  <si>
    <t>21/02/2022</t>
  </si>
  <si>
    <t>Allcom Communications - TSM Professional Services:
TSM / MYOB Accounting Link set up/configuration set up fee $ 795</t>
  </si>
  <si>
    <t>Allcom Communications - TSM Maintenance:
Accounting Link MYOB</t>
  </si>
  <si>
    <t>23/02/2022</t>
  </si>
  <si>
    <t>PO#016392 FEBUARY PROMO 23/02/2022 - 22/05/2022 TSM Additional Back Office Licenses x 3</t>
  </si>
  <si>
    <t>Matthews Australasia - 3 x Additional Back Office Licenses @ $2,565.00 per license</t>
  </si>
  <si>
    <t>Matthews Australasia - February PROMOTION 3 x Additional Back Office Licenses @ $0 (no charge)</t>
  </si>
  <si>
    <t>Matthews Australasia - TSM Maintenance &amp; Support Enterprise Licenses 3 x $513.00 per year per license</t>
  </si>
  <si>
    <t>Matthews Australasia - February PROMOTION 3 x Additional Back Office Licenses no charge for 3 months</t>
  </si>
  <si>
    <t>24/02/2022</t>
  </si>
  <si>
    <t>FEBUARY PROMO 24/02/2022 - 23/05/2022 TSM Additional Back Office licenses x 2 &amp; Mobile licenses x 2</t>
  </si>
  <si>
    <t>TGC (Aust) Pty Ltd - 2 x Additional Back Office Licenses x 2 @ $2,970.00 per license.</t>
  </si>
  <si>
    <t>TGC (Aust) Pty Ltd - February PROMOTION 2 x Additional Back Office Licenses @ $0 (no charge)</t>
  </si>
  <si>
    <t>TGC (Aust) Pty Ltd - TSM Maintenance &amp; Support Enterprise Licenses x 2 @ $49.50 per license per month</t>
  </si>
  <si>
    <t>TGC (Aust) Pty Ltd - February PROMOTION 3 x Additional Back Office Licenses no charge for 3 months</t>
  </si>
  <si>
    <t>TGC (Aust) Pty Ltd - 2x TSM Mobile License Subscription @ $45.00 per month per license</t>
  </si>
  <si>
    <t>TGC (Aust) Pty Ltd - February PROMOTION 2 x Mobile licenses @ no charge for 3 months</t>
  </si>
  <si>
    <t>25/02/2022</t>
  </si>
  <si>
    <t>PO#016392 FEBUARY PROMO 25/02/2022 - 30/05/2022 TSM Additional Back Office Licenses x 2</t>
  </si>
  <si>
    <t>Matthews Australasia - 2 x Additional Back Office Licenses @ $2,565.00 per license</t>
  </si>
  <si>
    <t>Matthews Australasia - February PROMOTION 2 x Additional Back Office Licenses @ $0 (no charge)</t>
  </si>
  <si>
    <t>Matthews Australasia - TSM Maintenance &amp; Support Enterprise Licenses 2 x $513.00 per year per license</t>
  </si>
  <si>
    <t>FEBRUARY PROMO 25/02/2022 - 30/05/2022 TSM Additional Evolution Back Office Licenses x 2</t>
  </si>
  <si>
    <t>MELBOURNE REFRIGERATION SERVICES - Set-up fee:
2 x additional back office licenses x 2</t>
  </si>
  <si>
    <t>MELBOURNE REFRIGERATION SERVICES - FEB PROMO, no charge for set up</t>
  </si>
  <si>
    <t>MELBOURNE REFRIGERATION SERVICES - TSM Evolution Subscription:
2 x additional mobile licenses @ $100.00 per month per license</t>
  </si>
  <si>
    <t>MELBOURNE REFRIGERATION SERVICES - FEB PROMO no charge for 3 months.</t>
  </si>
  <si>
    <t>One-off License (40000)</t>
  </si>
  <si>
    <t>FEBUARY PROMO 25/02/2022  - 30/05/2022  TSM Additional Pro Back Office Licenses x 5</t>
  </si>
  <si>
    <t xml:space="preserve">Eilbeck Cranes - 5 x Additional PRO back office licenses x $1,701.00 per license </t>
  </si>
  <si>
    <t>Eilbeck Cranes - February PROMOTION 5 x Additional Back Office Licenses @ $0 (no charge)</t>
  </si>
  <si>
    <t>Eilbeck Cranes - TSM Maintenance &amp; Support PRO Licenses x 5 
@ $324.00 per license per year.</t>
  </si>
  <si>
    <t>Eilbeck Cranes - February PROMOTION 5 x Additional Back Office Licenses no charge for 3 months</t>
  </si>
  <si>
    <t>FEBUARY PROMO 25/02/2022 -  24/05/2022 TSM Additional PRO Back Office Licenses x 2 &amp; 1 x Mobile License</t>
  </si>
  <si>
    <t>Bourke Air Pty Ltd - 2 x Additional PRO back office licenses x 2 @ $2,214.00 per license</t>
  </si>
  <si>
    <t>Bourke Air Pty Ltd - February PROMOTION 2 x Additional Back Office Licenses @ $0 (no charge)</t>
  </si>
  <si>
    <t>Bourke Air Pty Ltd - TSM Maintenance &amp; Support 2 x Pro back office licenses @ $34.65 per licenses per month</t>
  </si>
  <si>
    <t>Bourke Air Pty Ltd - February PROMOTION 2 x Additional Back Office Licenses no charge for 3 months</t>
  </si>
  <si>
    <t>Bourke Air Pty Ltd - 1 x TSM Mobile License Subscription @ $45.00 per month per license</t>
  </si>
  <si>
    <t>Bourke Air Pty Ltd - February PROMOTION 1 x Mobile licenses @ no charge for 3 months</t>
  </si>
  <si>
    <t>28/02/2022</t>
  </si>
  <si>
    <t>FEBUARY PROMO 01/03/2022 - 31/05/2022 TSM Additional Back Office Licenses x 2</t>
  </si>
  <si>
    <t>Modus Projects - TSM Professional Services:
JDE Viva API link project - Testing  stage</t>
  </si>
  <si>
    <t>FEBRUARY PROMO 01/03/2022 - 31/05/2022 TSM Evolution Additional Mobile License x 1</t>
  </si>
  <si>
    <t xml:space="preserve">SubZero Projects Pty Ltd - Set-up fee:
1 x additional mobile license </t>
  </si>
  <si>
    <t>SubZero Projects Pty Ltd - FEB PROMO no charge for set up fee</t>
  </si>
  <si>
    <t>SubZero Projects Pty Ltd - TSM Evolution Subscription:
1 x additional mobile license @ $45.00 per month per license</t>
  </si>
  <si>
    <t>SubZero Projects Pty Ltd - FEB PROMO no charge for 3 months</t>
  </si>
  <si>
    <t>Modus Projects - TSM Professional Services:
"JDE Viva API link project - Development stage
As outlined in our Project Highlights document of 21/Feb, this phase has overrun due to JDE site naming changes. At 21/Feb, the overrun was 24 hours, and it is anticipated that the overrun will finalize at 40 to 60 hours overrun."</t>
  </si>
  <si>
    <t>Modus Projects - TSM Professional Services:
API link to Expense Manager project - Development phase</t>
  </si>
  <si>
    <t>FEBRUARY PROMO 01/03/2022 - 31/05/2022 Additional 7 Mobile Licenses</t>
  </si>
  <si>
    <t xml:space="preserve">JMH Group Pty Ltd - Set-up fee:
7x additional mobile licenses </t>
  </si>
  <si>
    <t>JMH Group Pty Ltd - FEB PROMO no charge for set up fees</t>
  </si>
  <si>
    <t>JMH Group Pty Ltd - Additional mobile licenses x 7 @ $45.00 per month per license.</t>
  </si>
  <si>
    <t>JMH Group Pty Ltd - FEB PROMO 
7 x additional mobile licenses, no charge for the first 3 months.</t>
  </si>
  <si>
    <t>FEBRUARY PROMO 01/03/2022 - 31/05/2022 TSM Evolution Additional Back Office Licenses x 1</t>
  </si>
  <si>
    <t>Clem Tech Pty Ltd - Set-up fee:
1 x additional back office license x 1</t>
  </si>
  <si>
    <t>Clem Tech Pty Ltd - FEB PROMO no charge for set up fee</t>
  </si>
  <si>
    <t>Clem Tech Pty Ltd - Additional back office license x 1 @ $100.00 per month per license</t>
  </si>
  <si>
    <t>Clem Tech Pty Ltd - FEB PROMO no charge for 3 months</t>
  </si>
  <si>
    <t>01/03/2022</t>
  </si>
  <si>
    <t>APRIL 2022 - TSM Evolution Monthly Subscription</t>
  </si>
  <si>
    <t>Force One Electrical Pty Ltd - TSM Evolution Subscription
Period: APRIL 2022</t>
  </si>
  <si>
    <t>25/04/2022 - 24/07/2022 TSM Quarterly Evolution Subscription</t>
  </si>
  <si>
    <t>Northern Sydney LHD - TSM Evolution Subscription:
11 Back Office Licenses @ $1,600.00 per month.</t>
  </si>
  <si>
    <t>APRIL 2022 TSM Evolution Monthly Subscription</t>
  </si>
  <si>
    <t>Airforce Pty Ltd - TSM Evolution Subscription Period: APRIL 2022 @389/month
3 back Office Licenses
3 Mobile Licenses</t>
  </si>
  <si>
    <t>Airtron Services Pty Ltd - TSM Quarterly Evolution Subscription
3 back office $250.00 p/m</t>
  </si>
  <si>
    <t>Airtron Services Pty Ltd - TSM Evolution Mobile licenses x 7 @ $45.00 p/l, $315.00 p/m</t>
  </si>
  <si>
    <t>Airtron Services Pty Ltd - 21/09/20 Additional TSM Mobile License x 1 @ $45.00 per license per month</t>
  </si>
  <si>
    <t>Airtron Services Pty Ltd - 30/04/2021 INV 4501 Additional back office license x 1 @ $100.00 per month per license.</t>
  </si>
  <si>
    <t>01/04/2022 - 30/06/2022 TSM Evolution Quarterly Subscription</t>
  </si>
  <si>
    <t xml:space="preserve">Palm Air Pty Ltd - TSM Evolution Subscription:
Monthly cost $300.00
2 Back Office &amp; 2 Mobile Licenses </t>
  </si>
  <si>
    <t>15/04/2022 - 14/07/2022 TSM Quarterly Evolution Subscription</t>
  </si>
  <si>
    <t>Sparken Industries - TSM Quarterly Evolution Subscription.
1 x Back Office License @ $150.00 per month.
 Accounting Link included</t>
  </si>
  <si>
    <t>Clem Tech Pty Ltd - TSM Evolution Subscription
APRIL 2022
4 Back Office &amp; 6 Mobile Licenses
Contract signed 5/02/2020
Agreed contract start date 01/05/2020</t>
  </si>
  <si>
    <t>April 2022 TSM Evolution Monthly Subscription</t>
  </si>
  <si>
    <t>Professional Security Engineering Pty Ltd - TSM Evolution Subscription Period: April 2022
3 Back Office Licenses</t>
  </si>
  <si>
    <t>01/04/2022 - 30/06/2022 TSM Quarterly Maintenance and Mobile subscription</t>
  </si>
  <si>
    <t>TGC (Aust) Pty Ltd - TSM Maintenance &amp; Support ENT License
Upgraded from PRO to ENT Feb 2019
Enterprise Support and Maintenance = $594.00 p/a or $148.50/quarter per license”</t>
  </si>
  <si>
    <t>TGC (Aust) Pty Ltd - TSM Mobile License Subscription</t>
  </si>
  <si>
    <t>TGC (Aust) Pty Ltd - TSM Maintenance:
Accounting Link to ABM License</t>
  </si>
  <si>
    <t>TGC (Aust) Pty Ltd - 01/02/2021 Additional Mobile License added  x 1 @ $45.00 per month</t>
  </si>
  <si>
    <t>15/03/2022 - 14/04/2022 TSM Evolution Monthly Subscription</t>
  </si>
  <si>
    <t>Multiphase Pty Ltd - TSM Evolution Subscription:
5 Back Office &amp; 6 Mobile Licenses @ $569.00 per month</t>
  </si>
  <si>
    <t>Multiphase Pty Ltd - Nightly FTP incremental download subscription</t>
  </si>
  <si>
    <t>Paul Baker Electrical Services - TSM Evolution Subscription 
6 Back office &amp; 6 Mobile licenses @ $605.00 per month.</t>
  </si>
  <si>
    <t>Trevor Davern Electrical P/L - TSM Evolution Subscription 
Contract signed 25/04/2020
1 Back Office &amp; 1 Mobile license.</t>
  </si>
  <si>
    <t>Trevor Davern Electrical P/L - Evolution Subscription monthly cost, "COVID" assistance package discounted by 28% ($49.00) to $126.00</t>
  </si>
  <si>
    <t>MARCH 2022 TSM Evolution Subscription, reduced cost due to COVID-19</t>
  </si>
  <si>
    <t xml:space="preserve">KEPLER ANALYTICS - TSM Evolution Subscription
MARCH 2022
5 BO &amp; 10 Mobile </t>
  </si>
  <si>
    <t>APRIL 2022 Monthly Evolution Subscription</t>
  </si>
  <si>
    <t>MARCH 2022 TSM Evolution monthly Subscription</t>
  </si>
  <si>
    <t>Rencomp Pty Ltd t/as Sci-Tek Systems - TSM Evolution Monthly  Subscription: MARCH 2022</t>
  </si>
  <si>
    <t>01/04/2022 - 30/06/2022  TSM Quarterly Maintenance Renewal</t>
  </si>
  <si>
    <t>Smokeshield Australia T/as AF Electrical - TSM Maintenance &amp; Support PRO Licence - 3 Months
x $378.00 per annum
1 Back Office Licenses</t>
  </si>
  <si>
    <t>1/04/2022 -30/06/2022  TSM Quarterly Evolution Subscription</t>
  </si>
  <si>
    <t>Australasia Sports Timing - TSM Evolution Subscription
4 Back Office &amp; 0 Mobile licenses @ $299.00 per month
Contract signed 21/08/2020</t>
  </si>
  <si>
    <t>Australasia Sports Timing - TSM monthly FTP backup</t>
  </si>
  <si>
    <t>Michael DePinto Air Conditioning - TSM Evolution Subscription:
4 back office &amp; 5 mobile licenses @ $524.00 per month</t>
  </si>
  <si>
    <t>Michael DePinto Air Conditioning - 08/11/2021 INV 5218
Additional Mobile licenses x 2 @ $45.00 per month per license.</t>
  </si>
  <si>
    <t>APRIL 2022 TSM Monthly Evolution Subscription</t>
  </si>
  <si>
    <t>Good Sight Australia Pty Ltd - TSM Evolution Monthly Subscription Period: APRIL 2022
10 back-office, &amp; 22 mobiles @$2,850/month - as per initial contract</t>
  </si>
  <si>
    <t>26/03/2022 - 25/06/2022 TSM Quarterly Mantenance and Support</t>
  </si>
  <si>
    <t>G A Perry Plumbing &amp; Gas - TSM Maintenance &amp; Support Subscription
PRO Licence - 
5 Pro Licenses @ $2,025.00 per year.</t>
  </si>
  <si>
    <t>G A Perry Plumbing &amp; Gas - TSM Accounting Link Subscription 
@ $300.00 per year</t>
  </si>
  <si>
    <t>G A Perry Plumbing &amp; Gas - 10% Discount given</t>
  </si>
  <si>
    <t>01/04/22 - 31/03/2023 - TSM Annual Maintenance Renewal</t>
  </si>
  <si>
    <t>Australian Mobile Radio Pty Ltd - TSM Maintenance &amp; Support PRO Licence - 12 months
**7 PRO licenses @378/year</t>
  </si>
  <si>
    <t xml:space="preserve">Australian Mobile Radio Pty Ltd - TSM Accounting Post License </t>
  </si>
  <si>
    <t>19/04/2022 - 18/04/2023 TSM Evolution Subscription</t>
  </si>
  <si>
    <t>Wizard Solutions Australia Pty Ltd - TSM Evolution Annual Subscription
$270.00 p/m
6 back-office licenses</t>
  </si>
  <si>
    <t>APRIL 2022 TSM Mobile monthly subscription</t>
  </si>
  <si>
    <t>Mawes Nominess Pty Ltd t/a Lally Plumbers - TSM Mobile License 
Subscription
APRIL 2022</t>
  </si>
  <si>
    <t>APRIL TSM Monthly Maintenance and Support renewal</t>
  </si>
  <si>
    <t>APRIL 2022 TSM monthly maintenance and support subscription</t>
  </si>
  <si>
    <t>01/04/2022 - 30/06/2022 TSM Quarterly maintenance and support Subscription</t>
  </si>
  <si>
    <t>Station Mechanical Solutions - TSM Maintenance &amp; Support Subscription
2 x Enterprise Licenses@650 per year per license.</t>
  </si>
  <si>
    <t xml:space="preserve">Station Mechanical Solutions - TSM  Accounting Link Subscription </t>
  </si>
  <si>
    <t>APRIL 2022  PURCHASER - Alison Kay (National Service Co-ordinator) - TSM Monthly Mobile Renewal</t>
  </si>
  <si>
    <t>APRIL 2022 TSM EVOLUTION Monthly Subscription</t>
  </si>
  <si>
    <t>The Hydraulic Shop - TSM Evolution monthly subscription: APRIL 2022
8 Back office licenses</t>
  </si>
  <si>
    <t>APRIL 2022 TSM Evolution Subscription</t>
  </si>
  <si>
    <t>APRIL 2022 Evolution Monthly Subscription</t>
  </si>
  <si>
    <t>TRIDAN Electrical Contractors Pty Ltd - TSM Evolution Subscription 
APRIL 2022
3 Back Office Licenses
3 Mobile Licenses</t>
  </si>
  <si>
    <t>Australian Air Conditioning Services - TSM Evolution Subscription
12 Mobile licenses &amp; 7 Back Office Licenses @ $518.42 per month</t>
  </si>
  <si>
    <t>Australian Air Conditioning Services - TSM additional Licenses 2 x Back Office &amp; 2 x Mobile Licenses @ $35.00 per month per license.</t>
  </si>
  <si>
    <t>Australian Air Conditioning Services - 15/03/2022 Reduced mobile licenses x 4 @ $45.00 per month per license.</t>
  </si>
  <si>
    <t>01/04/2022 - 31/03/2023 - TSM Annual Maintenance Renewal</t>
  </si>
  <si>
    <t>Vehicle Communication Services - TSM Maintenance &amp; Support PRO Licence - 12 months
**4 PRO licenses @ $540.00 per license p/a</t>
  </si>
  <si>
    <t>MARCH 2022 TSM Monthly Evolution Tariff</t>
  </si>
  <si>
    <t>Eastern Suburbs Garage Doors - TSM Monthly Evolution Subscription MARCH 2022
2 Back Office &amp; 1 Mobile license</t>
  </si>
  <si>
    <t>Monika Pty Ltd - TSM Evolution Subscription:
2 BO Licenses @ $165.00 per month</t>
  </si>
  <si>
    <t>Monika Pty Ltd - TSM Evolution Subscription: 3 BO Licenses @ $100.00 per month per license</t>
  </si>
  <si>
    <t>Monika Pty Ltd - 30/09/2021 INV 5056
Additional Back office license x 1 @ $100.00 per month per license.
BACK OFFICE LICENSES x 6</t>
  </si>
  <si>
    <t>Monika Pty Ltd - TSM Evolution Subscription:
 6 Mobile Licenses @ $45.00 per month per license</t>
  </si>
  <si>
    <t>01/04/2022 - 30/06/2022 TSM Quarterly Data Hosting</t>
  </si>
  <si>
    <t>BJ System T/as Night Focus - Evolution Subscription
TSM data hosting @ $110.00 per month</t>
  </si>
  <si>
    <t>01/04/2022-30/06/2022 TSM Quarterly Evolution Tariff</t>
  </si>
  <si>
    <t>Applied Air Services - TSM Evolution Subscription:
3 X Back office licenses and 2 mobile licenses @ $483.00 per month.</t>
  </si>
  <si>
    <t>Applied Air Services - 4/11/2020 2 additional back office licenses added @ $100.00 per license per month.</t>
  </si>
  <si>
    <t>Applied Air Services - 17/12/2020  1 additional back office license added
@ $100.00 per license per month</t>
  </si>
  <si>
    <t>Applied Air Services - 22/02/2021 1 additional back office license added @ $100.00 per license per month</t>
  </si>
  <si>
    <t>Applied Air Services - 23/03/2021 INV 4377.
TSM additional mobile license x 1 @ $45.00 per month.</t>
  </si>
  <si>
    <t>15/04/2022 - 14/07/2022 TSM Evolution Quarterly Tariff</t>
  </si>
  <si>
    <t>Jako Industries Pty Ltd - TSM Evolution Subscription
4 Back office and 10 Mobile licences
$479 per month
Contract signed 15/06/2020</t>
  </si>
  <si>
    <t>Jako Industries Pty Ltd - 12/11/2021 INV 5223
Additional Evolution back office license x 1 @ $100.00 per month per license</t>
  </si>
  <si>
    <t>Serve Tech Pty Ltd - TSM Evolution Quarterly Subscription
Contract signed 29/05/2020
7 Back Office &amp; 11 Mobile Licenses @ $800.00 per month</t>
  </si>
  <si>
    <t>Serve Tech Pty Ltd - API License $100.00 per month</t>
  </si>
  <si>
    <t>Serve Tech Pty Ltd - TSM Additional Evolution Mobile Licenses x 2 @ $45.00 per month per License.
Added 14/12/2020</t>
  </si>
  <si>
    <t>Serve Tech Pty Ltd - TSM Additional Evolution Mobile Licenses x 2 @ $45.00 per month per license</t>
  </si>
  <si>
    <t>Serve Tech Pty Ltd - 1/06/2021 Reduced mobile licenses from 15 to 12</t>
  </si>
  <si>
    <t>Serve Tech Pty Ltd - 7/09/2021 reduced mobile licenses x 2.
CN 5040</t>
  </si>
  <si>
    <t>Serve Tech Pty Ltd - 6/12/2021 INV 5313
Additional back Office License x 1 @ $100.00 per month per license.</t>
  </si>
  <si>
    <t>01/04/2022 -  30/06/2022  TSM Quarterly Evolution Subscription</t>
  </si>
  <si>
    <t>Refrigeration Services Pty Ltd - TSM Evolution quarterly Subscription
6 Back office &amp; 10 Mobile licenses @ $1,149.00 per month.
Contract signed 15/05/2020</t>
  </si>
  <si>
    <t>Refrigeration Services Pty Ltd - TSM Maintenance Accounting Link Licence Monthly Subscription @ $25.00 per month.</t>
  </si>
  <si>
    <t>Refrigeration Services Pty Ltd - 08/07/2021 INV 4836
Additional mobile licenses x 2 @ $45.00 per month per licenense.</t>
  </si>
  <si>
    <t>AE Roberts Electrical - TSM Evolution monthly Subscription:
APRIL 2022
Contract start date 1/05/2020
2 Back office licenses</t>
  </si>
  <si>
    <t>Strathbrook Industrial Pty Ltd - 14/12/20 Additional Mobile licenses added x 8 @ $45.00 per month per license = $360.00.</t>
  </si>
  <si>
    <t>Strathbrook Industrial Pty Ltd - INV 4728 21/06/2021, Additional 2 Mobile Licenses added @ $45.00 per license per month</t>
  </si>
  <si>
    <t>APRIL 2022 TSM Monthly Subscription</t>
  </si>
  <si>
    <t>TRIWEST Forklifts Services - TSM Evolution Monthly Subscription: APRIL 2022
3 Back Office &amp; 4 Mobile Licenses @ $ 300.00 per month</t>
  </si>
  <si>
    <t>MARCH 2022 TSM  Evolution Subscription</t>
  </si>
  <si>
    <t>Arrowsmith &amp; Grant - TSM Evolution Subscription Period:
MARCH 2022
7 back office &amp; 6 mobile licenses</t>
  </si>
  <si>
    <t>APRIL 2022 TSM Monthly maintenance renewal</t>
  </si>
  <si>
    <t>Diverse Mechanical Solutions Pty Ltd - TSM Evolution Subscription: APRIL 2022, 3 BO 1 MO</t>
  </si>
  <si>
    <t>MARCH 2022 - TSM Monthly Subscription</t>
  </si>
  <si>
    <t>Moore Bros Plumbing Services - TSM Evolution Subscription - MARCH 2022</t>
  </si>
  <si>
    <t>MARCH 2022 - TSM Evolution monthly Subscription</t>
  </si>
  <si>
    <t>Cafequip - TSM Evolution monthly subscription -MARCH 2022
4 Back Office licenses @ $55.00 per month per license</t>
  </si>
  <si>
    <t>02/03/2022</t>
  </si>
  <si>
    <t>TD-5462 TSM Professional Services</t>
  </si>
  <si>
    <t xml:space="preserve">GEC Communications Pty Ltd - TSM Professional Services:
To implement CPI Index button as scoped and agreed on in PS Request document. </t>
  </si>
  <si>
    <t>TD-5461 TSM Professional Services</t>
  </si>
  <si>
    <t>CMS Engineering Pty Ltd - TSM Professional Services:
TSM Professional Services as agreed on in PS Request document for Assigning a Document to an Assigned Employee</t>
  </si>
  <si>
    <t>TD-5463 TSM Professional Services</t>
  </si>
  <si>
    <t>CMS Engineering Pty Ltd - TSM Professional Services:
TSM Professional Services as agreed on in PS Request document for EF integration with Labor rates</t>
  </si>
  <si>
    <t>03/03/2022</t>
  </si>
  <si>
    <t>01/04/2022 - 31/06/2022 TSM Quarterly Evolution Subscription</t>
  </si>
  <si>
    <t>Paul Baker Electrical Services - 07/12/2021 Reduced licenses to 5 back office &amp; 4 Mobile licenses @ $495.00 per month.
TSM Evolution Subscription</t>
  </si>
  <si>
    <t>TD-5361 TSM Professional Services</t>
  </si>
  <si>
    <t>ASV Computing Solutions Pty Ltd - TSM Professional Services:
Professional Services to move in-house - ASV Computing Solutions Pty Ltd
This work is scheduled to start on 10 Feb 2022 and this will take 2 weeks to deliver:</t>
  </si>
  <si>
    <t>03/03/2022 - 30/06/2022 TSM Additional Back Office License x 1</t>
  </si>
  <si>
    <t>CMS Engineering Pty Ltd - Set-up fee:
1 x Additional back Office License</t>
  </si>
  <si>
    <t>CMS Engineering Pty Ltd - TSM Evolution Subscription:
1 x back office license @ $100.00 per month per license.</t>
  </si>
  <si>
    <t>15/03/2022</t>
  </si>
  <si>
    <t>Modus Projects - TSM Professional Services:
We have completed the scoping phase for the Expense Management API faster than planned. There is an underrun of one hour.</t>
  </si>
  <si>
    <t>Modus Projects - TSM Professional Services:
JDE Viva API link project - Development stage
As outlined in our Project Highlights document of 21/Feb, this phase has overrun due to JDE site naming changes. At 14/Mar, the overrun was 44 hours, and it is still anticipated that the overrun will finalize at 40 to 60 hours overrun. We have already invoiced for 24 hours of the overrun</t>
  </si>
  <si>
    <t>Modus Projects - TSM Professional Services:
API link to Expense Manager project - Testing phase</t>
  </si>
  <si>
    <t>15/03/2022 - 30/04/2022 TSM Additional Evolution Mobile Licenses x 3</t>
  </si>
  <si>
    <t>Nqpetro Pty Ltd - Set-up fee:
3 x additional mobile licenses</t>
  </si>
  <si>
    <t>Nqpetro Pty Ltd - Additional mobile licenses x 3 @ $45.00 per month per license.</t>
  </si>
  <si>
    <t>Modus Projects - TSM Professional Services:
JDE Viva API link project - Delivery stage</t>
  </si>
  <si>
    <t>16/03/2022</t>
  </si>
  <si>
    <t>TD-5502 TSM Professional Services</t>
  </si>
  <si>
    <t xml:space="preserve">CMS Engineering Pty Ltd - TSM Professional Services:
To include Site Notes from TSM to EF integration as scoped and agreed on in PS Request document. </t>
  </si>
  <si>
    <t>TD-5501 TSM Professional Services</t>
  </si>
  <si>
    <t>JMH Group Pty Ltd - TSM Professional Services:
To implement and make ETA field mandatory for manual orders as scoped and agreed on in PS Request document.</t>
  </si>
  <si>
    <t>17/03/2022</t>
  </si>
  <si>
    <t>Total Concept Security Pty ltd - TSM Professional Services:
PS - Online Training 3 hours x  $ 185 = $ 555</t>
  </si>
  <si>
    <t>18/03/2022</t>
  </si>
  <si>
    <t>Matt Keene Electrical - Set-up fee:
TSM Accounting Link set up/configuration for MYOB</t>
  </si>
  <si>
    <t>Matt Keene Electrical - TSM Maintenance Accounting license Annual subscription is $ 300 p/annum
18/03/2022 - 31/05/2022</t>
  </si>
  <si>
    <t>22/03/2022</t>
  </si>
  <si>
    <t>TSM 2,000 SMS</t>
  </si>
  <si>
    <t>HK Group Services - 1000 Smart Intelli Messags</t>
  </si>
  <si>
    <t>24/03/2022</t>
  </si>
  <si>
    <t>24/03/2022 - 17/05/2022 TSM Additional Evolution Mobile License x 1</t>
  </si>
  <si>
    <t>Eagle Air Conditioning Pty Ltd - Set-up fee:
Additional mobile license x 1</t>
  </si>
  <si>
    <t>Eagle Air Conditioning Pty Ltd - Additional mobile license x 1 @ $45.00 per month per license per month</t>
  </si>
  <si>
    <t>24/03/2022 - 30/04/2022 TSM Additional Evolution Back Office Licenses x 2</t>
  </si>
  <si>
    <t>Encore Monitoring Pty Ltd - Set-up fee:
2 x additional back office licenses x 2</t>
  </si>
  <si>
    <t>Encore Monitoring Pty Ltd - Additional back office licenses x 2 @ $100.00 per month per license @ $100.00 per month per license.</t>
  </si>
  <si>
    <t>29/03/2022</t>
  </si>
  <si>
    <t>TSM Evolution Establishment Services</t>
  </si>
  <si>
    <t>Heuch Pty Ltd - TSM Evolution Establishment Fee:
8 Back Office &amp; 6 Mobile Licenses</t>
  </si>
  <si>
    <t>Heuch Pty Ltd - Set-up fee:
Xero integration</t>
  </si>
  <si>
    <t>01/04/2022 - 30/04/2022 TSM Evolution Additional Back Office Licenses x 2</t>
  </si>
  <si>
    <t xml:space="preserve">PQI Group Pty Ltd - Set-up fee:
2 x Evolution License Establishment fee: $ 100.00 </t>
  </si>
  <si>
    <t>PQI Group Pty Ltd - Additional back office licenses x 2 @ $100.00 per month per license.</t>
  </si>
  <si>
    <t>30/03/2022</t>
  </si>
  <si>
    <t>TD-5559 TSM Professional Services</t>
  </si>
  <si>
    <t xml:space="preserve">Eastern Suburbs Garage Doors - TSM Professional Services:
for a report to export TSM customer and job data to excel as agreed on in PS Request document. </t>
  </si>
  <si>
    <t>28/03/2022 - 30/06/2022 TSM Evolution Quarterly Subscription</t>
  </si>
  <si>
    <t>Heuch Pty Ltd - TSM Evolution Subscription:
8 back office &amp; 6 mobile licenses @ $1,070 per month.</t>
  </si>
  <si>
    <t>Heuch Pty Ltd - TSM Maintenance XERO Accounting Link License Monthly Subscription @ $25.00 per month.</t>
  </si>
  <si>
    <t>31/03/2022</t>
  </si>
  <si>
    <t>01/04/2022 - 31/03/2023 TSM Establishment Services &amp; Annual Maintenance &amp; Support Subscription.</t>
  </si>
  <si>
    <t>Evotec IT Pty Ltd - Set-up fee:
New TSM on-premise database set up, configuration, copying existing TSM data</t>
  </si>
  <si>
    <t>Evotec IT Pty Ltd - Set-up fee:
MYOB Accounting Link set up</t>
  </si>
  <si>
    <t>Evotec IT Pty Ltd - TSM Maintenance &amp; Support:
1 Pro user - TSM Annual Maintenance &amp; Support Renewal @ $352.00 per annum.</t>
  </si>
  <si>
    <t>Evotec IT Pty Ltd - TSM Maintenance Accounting license Annual subscription @ $300.00 per annum.</t>
  </si>
  <si>
    <t>01/04/2022 - 30/06/2022 TSM Quarterly Maintenance &amp; Support Subscription</t>
  </si>
  <si>
    <t xml:space="preserve">Evotec Plus Pty Ltd - Set-up fee:
Configuration, copy existing data in TSM in full, registration and including online consulting with a Senior technical consultant </t>
  </si>
  <si>
    <t>Evotec Plus Pty Ltd - Set-up fee:
New MYOB Accounting Link</t>
  </si>
  <si>
    <t>Evotec Plus Pty Ltd - TSM Maintenance &amp; Support PRO Licenses x 5 @ $352.00 per license per year</t>
  </si>
  <si>
    <t>Evotec Plus Pty Ltd - TSM Maintenance:
Accounting Link Subscription @ $300.00 per year</t>
  </si>
  <si>
    <t>Modus Projects - TSM Professional Services:
"JDE Viva API link project - Development stage
As outlined in our Project Highlights document of 21/Feb, this phase has overrun due to JDE site naming changes. At 30/Mar, the overrun was 54 hours, and it is still anticipated that the overrun will finalize at 40 to 60 hours overrun. We have already invoiced for 44 hours of the overrun."</t>
  </si>
  <si>
    <t>01/04/2022 - 31/03/2023 TSM Establishment Services &amp; Annual Maintenance and support.</t>
  </si>
  <si>
    <t>Evotec Contracting Services Pty Ltd (Evotec CS) - Set-up fee:
New TSM on-premise database set up, configuration, copying existing TSM data</t>
  </si>
  <si>
    <t>Evotec Contracting Services Pty Ltd (Evotec CS) - Set-up fee:
MYOB Accounting Link set up</t>
  </si>
  <si>
    <t>Evotec Contracting Services Pty Ltd (Evotec CS) - TSM Maintenance &amp; Support:
1 Pro user - TSM Annual Maintenance &amp; Support Renewal @ $352.00 per year</t>
  </si>
  <si>
    <t>Evotec Contracting Services Pty Ltd (Evotec CS) - TSM Maintenance Accounting Link License Annual Subscription:
@ $300.00 per year.</t>
  </si>
  <si>
    <t>PO 300000002151005  01/07/2021 - 30/06/2022 TSM Evolution Quarterly Subscription</t>
  </si>
  <si>
    <t>Hungry Jacks Pty Ltd - TSM Evolution Subscription:
"Minimal TSM (3 back office users) at $199/month as per email to Kim Rosenwald 16/06/2021 billable in advance"
Quarter 1/July/21 - 30/Sept/21    
   3 x $199 = $597+gst</t>
  </si>
  <si>
    <t>Hungry Jacks Pty Ltd - TSM Evolution Subscription:
Quarter 1/Oct/21 - 31/Dec/21
   3 x $199 = $597 +gst</t>
  </si>
  <si>
    <t>Hungry Jacks Pty Ltd - TSM Evolution Subscription:
Quarter 1/Jan/22 31/March/22
   3 x $199 = $597+gst</t>
  </si>
  <si>
    <t>Hungry Jacks Pty Ltd - TSM Evolution Subscription:
Quarter 1/April/22 - 30/June/22
  3 x $199 = $597 +gst</t>
  </si>
  <si>
    <t>GST on Income - Unfiled Amounts</t>
  </si>
  <si>
    <t>01/12/2021</t>
  </si>
  <si>
    <t>01/12/2021 - 28/02/2022 TSM Quarterly Evolution Subscription</t>
  </si>
  <si>
    <t>Reversed: Ken Barnes - TSM Evolution Quarterly Subscription
Contract signed 30/04/2020
Subscription starts 01/06/2020
1 Back Licenses &amp; 0 Mobile</t>
  </si>
  <si>
    <t>Ken Barnes - TSM Evolution Subscription, paid on the 16'th Integrapay/payrix</t>
  </si>
  <si>
    <t>15/12/2021</t>
  </si>
  <si>
    <t>01/03/2022 - 30/05/2022 TSM Evolution Quarterly Subscription</t>
  </si>
  <si>
    <t>Reversed: 12th Man Services Pty Ltd - TSM Evolution Subscription:
3 back office &amp; 14 Mobile licenses @ $ 930.00 per month.</t>
  </si>
  <si>
    <t>Reversed: 12th Man Services Pty Ltd - TSM  Accounting Link Licence Annual Subscription</t>
  </si>
  <si>
    <t>12th Man Services Pty Ltd - TSM Evolution Subscription:
3 back office &amp; 14 Mobile licenses @ $ 930.00 per month.</t>
  </si>
  <si>
    <t>12th Man Services Pty Ltd - TSM  Accounting Link Licence Annual Subscription</t>
  </si>
  <si>
    <t>12th Man Services Pty Ltd - 01/03/2022 Licenses reduced to 3 back office &amp; 7 mobile.</t>
  </si>
  <si>
    <t>Total GST on Income - Unfiled Amounts</t>
  </si>
  <si>
    <t>GST Free Income</t>
  </si>
  <si>
    <t>FEBRUARY  2022 TSM Monthly maintenance and support renewal</t>
  </si>
  <si>
    <t xml:space="preserve">MJ Electrical - TSM Maintenance &amp; Support Monthly Subscription
10 PRO Back Office Licenses </t>
  </si>
  <si>
    <t>MJ Electrical - TSM Accounting Link Licence Monthly Subscription</t>
  </si>
  <si>
    <t>MJ Electrical - TSM Maintenance:
Contract Jobs Monthly Subscription</t>
  </si>
  <si>
    <t>31/01/2022</t>
  </si>
  <si>
    <t>Interest Income (97100)</t>
  </si>
  <si>
    <t>NAB - NAB IBank Interest</t>
  </si>
  <si>
    <t>MARCH  2022 TSM Monthly maintenance and support renewal</t>
  </si>
  <si>
    <t>APRIL  2022 TSM Monthly maintenance and support renewal</t>
  </si>
  <si>
    <t>NAB - NAB Interest</t>
  </si>
  <si>
    <t>GST on Expenses</t>
  </si>
  <si>
    <t>Telephone (86100)</t>
  </si>
  <si>
    <t>INV 403443</t>
  </si>
  <si>
    <t>ISPhone - Call Charges</t>
  </si>
  <si>
    <t>Marketing Activities (63210)</t>
  </si>
  <si>
    <t>INV 0035</t>
  </si>
  <si>
    <t>The Powerful Brand Group - Consulting Services per engagement letter dated 1 July
2021 for the month referenced in the invoice date</t>
  </si>
  <si>
    <t>03/01/2022</t>
  </si>
  <si>
    <t>Contractors - Developers International (71110)</t>
  </si>
  <si>
    <t>INV/TSM-India/RR/12/21</t>
  </si>
  <si>
    <t>Rajeev Rangan - Testing of TSM Mobile 
online, TSM Mobile 
Offline, TSM6 and Self 
Service</t>
  </si>
  <si>
    <t>Cloud Services including AWS (51100)</t>
  </si>
  <si>
    <t>INV AUIN22-103016</t>
  </si>
  <si>
    <t>Amazon Web Services Australia Pty Ltd - This Tax Invoice is for the billing period December 1 - December 31, 2021</t>
  </si>
  <si>
    <t>06/01/2022</t>
  </si>
  <si>
    <t>Staff Training Expense (81700)</t>
  </si>
  <si>
    <t>INV 00503</t>
  </si>
  <si>
    <t>Crystalyzer - CEO Roundtable, January 2022 - March
2022</t>
  </si>
  <si>
    <t>07/01/2022</t>
  </si>
  <si>
    <t>Merchant Fees (89120)</t>
  </si>
  <si>
    <t>Payrix - Payrix Fees</t>
  </si>
  <si>
    <t>08/01/2022</t>
  </si>
  <si>
    <t>Contractors - Developers Domestic (71100)</t>
  </si>
  <si>
    <t>INV 0213 David Contract January2022 -Second Half 16th to EOM</t>
  </si>
  <si>
    <t>Proware Pty Ltd - Contract Hours as Agreed</t>
  </si>
  <si>
    <t>Travel - National (82100)</t>
  </si>
  <si>
    <t>Expenses for November &amp; December</t>
  </si>
  <si>
    <t>Mark Fellows - Expenses for November and December</t>
  </si>
  <si>
    <t>Staff amenities (84700)</t>
  </si>
  <si>
    <t>Lunch Reimbursement</t>
  </si>
  <si>
    <t>Janette King - Lunch Reimbursement</t>
  </si>
  <si>
    <t>13/01/2022</t>
  </si>
  <si>
    <t>Ruixing Feng - Lunch Reimbursement</t>
  </si>
  <si>
    <t xml:space="preserve">Lunch Reimbursement </t>
  </si>
  <si>
    <t xml:space="preserve">David Hennessy - Lunch Reimbursement </t>
  </si>
  <si>
    <t>14/01/2022</t>
  </si>
  <si>
    <t xml:space="preserve">Katia Di Bartolomeo - Lunch Reimbursement </t>
  </si>
  <si>
    <t>Parking reimbursement</t>
  </si>
  <si>
    <t>David Hennessy - Parking reimbursement</t>
  </si>
  <si>
    <t>Reimbursement</t>
  </si>
  <si>
    <t>Mr Gary Miller - Reimbursement</t>
  </si>
  <si>
    <t>INV/TSM-India/LM/12/2021</t>
  </si>
  <si>
    <t xml:space="preserve">Lopamudra - TSM Mobile online development and Server Maintenance </t>
  </si>
  <si>
    <t>Bday Lunch reimbursement</t>
  </si>
  <si>
    <t>Marichu Garrido - Bday Lunch reimbursement</t>
  </si>
  <si>
    <t>INV 0214 David Contract -February2022 First Half 1st to 15th</t>
  </si>
  <si>
    <t>Proware Pty Ltd - Contract Hours as agreed</t>
  </si>
  <si>
    <t>Messaging Services (57000)</t>
  </si>
  <si>
    <t>INV 00014268</t>
  </si>
  <si>
    <t>Smart Messaging Services - PREPAID MESSAGES
Modus</t>
  </si>
  <si>
    <t>Bankstown Sports - Refund on conference</t>
  </si>
  <si>
    <t>23/01/2022</t>
  </si>
  <si>
    <t>INV 31686</t>
  </si>
  <si>
    <t>Kinetic - Monthly Service Fee for the period of 15 January to 14 February
2022 - Marichu Garrido</t>
  </si>
  <si>
    <t>28/01/2022</t>
  </si>
  <si>
    <t>INV 00001612</t>
  </si>
  <si>
    <t>Spearhead Software - Monthly Accounting Links Maintenance Fees @ $12.50 each: TSM Arrow x1, TSM CLD MYOB x1, TSM
CLD MYOBLIVE x2, TSM-CLD-RECKON x2, TSM-MYOB x2, TSM MYOBLIVE x14, TSM QB x 1, TSM XERO
x23</t>
  </si>
  <si>
    <t>Accountant and Bookkeeper (83200)</t>
  </si>
  <si>
    <t>INV 10680</t>
  </si>
  <si>
    <t>Dexterous Group Pty Limited - 9, Payroll services
upto 6 staff</t>
  </si>
  <si>
    <t>Dexterous Group Pty Limited - Compliance - BAS &amp; IAS -
Payroll Tax</t>
  </si>
  <si>
    <t>GM Reimbursement</t>
  </si>
  <si>
    <t>Mr Gary Miller - previous meeting with DH please 9.60 + 58.00 + 9.6 = $77.20</t>
  </si>
  <si>
    <t>INV 405044</t>
  </si>
  <si>
    <t>INV 0041</t>
  </si>
  <si>
    <t>The Powerful Brand Group - Consulting Services per engagement letter dated 1 July
2021 and 27 January 2022 for the month referenced in
the invoice date</t>
  </si>
  <si>
    <t>INV/TSM-India/RR/01/22</t>
  </si>
  <si>
    <t>INV AUIN22-286751</t>
  </si>
  <si>
    <t>Amazon Web Services Australia Pty Ltd - This Tax Invoice is for the billing period January 1 - January 31, 2022</t>
  </si>
  <si>
    <t>INV 32201</t>
  </si>
  <si>
    <t>Kinetic - Monthly Service Fee for the period of 15 February to 14
March 2022 - Marichu Garrido</t>
  </si>
  <si>
    <t>Kinetic - 10 Days Unpaid Leave on 22 to 24, 29 to 31 December
2021 &amp; 04 to 07 January 2022 - Marichu Garrido</t>
  </si>
  <si>
    <t>INV 32189</t>
  </si>
  <si>
    <t>Kinetic - Monthly service fee for the period 22 January to 21 February
2022</t>
  </si>
  <si>
    <t>Kinetic - Monthly Service Fee: For the period of 22 February 2021 to 21
March 2022 (Timothy Joseph O. Bognot)</t>
  </si>
  <si>
    <t>Kinetic - 3 days unapaid leaves on 10 to 12 January 2022 - Timothy
Bognot</t>
  </si>
  <si>
    <t>Janette King - Lunch reimbursement</t>
  </si>
  <si>
    <t>08/02/2022</t>
  </si>
  <si>
    <t>INV 0215</t>
  </si>
  <si>
    <t>Katia Di Bartolomeo - Lunch Reimbursement</t>
  </si>
  <si>
    <t>INV 00014415</t>
  </si>
  <si>
    <t>Smart Messaging Services - Moore Brother Plumbing</t>
  </si>
  <si>
    <t>TSM 1,000 SMS</t>
  </si>
  <si>
    <t>Moore Bros Plumbing Services - 1000 Smart Intelli Messags</t>
  </si>
  <si>
    <t>10/02/2022</t>
  </si>
  <si>
    <t>Subscriptions (89400)</t>
  </si>
  <si>
    <t>NAB Card 4264</t>
  </si>
  <si>
    <t>NAB Cardholder Services - Subscriptions:
19/01/22 Leave Dates $30.00
21/01/2022 LinkedIn $69.99
24/01/22 HELPIQ $156.25
25/01/2022 SEMRUSH $352.89
27/01/2022 Formcrafts $40.74
03/02/22 Adobe $76.99
03/02/2022 Atlassianpt $347.90
04/02/2022 XERO $76.00
07/02/2022 MSFT $317.24
07/02/2022 Float $948.00
07/02/2022 MSFT $18.15</t>
  </si>
  <si>
    <t>NAB Cardholder Services - 02/02/2022 Capterra</t>
  </si>
  <si>
    <t>NAB Cardholder Services - Phone Optus</t>
  </si>
  <si>
    <t>Computer Accessories/Equipments (87100)</t>
  </si>
  <si>
    <t>NAB Cardholder Services - Officeworks</t>
  </si>
  <si>
    <t>David Hennessy - Lunch Reimbursement</t>
  </si>
  <si>
    <t>INV 14415</t>
  </si>
  <si>
    <t>Smart Messaging Services - Ref Modus</t>
  </si>
  <si>
    <t>Marichu Garrido - Lunch Reimbursement</t>
  </si>
  <si>
    <t>Mr Gary Miller - Lunch Reimbursement</t>
  </si>
  <si>
    <t>Lunch reimbursement</t>
  </si>
  <si>
    <t>Timothy Bognot - Lunch reimbursement</t>
  </si>
  <si>
    <t>Networking Breakfast Reimbursement</t>
  </si>
  <si>
    <t>Gary Miller - Breakfast</t>
  </si>
  <si>
    <t>Travelodge Hotels - Refund Travelodge Conference</t>
  </si>
  <si>
    <t>INV/TSM-India/LM/01/2022</t>
  </si>
  <si>
    <t>January expenses plus BI training</t>
  </si>
  <si>
    <t>Mark Fellows - PowerBI training</t>
  </si>
  <si>
    <t>Mark Fellows - GM B'day lunch</t>
  </si>
  <si>
    <t>Mark Fellows - USB-C ethernet adaptor</t>
  </si>
  <si>
    <t>Mark Fellows - USB-C Displayport adaptor</t>
  </si>
  <si>
    <t>Printing &amp; Stationery (89210)</t>
  </si>
  <si>
    <t>Mark Fellows - 2022 wall calendar - Winc</t>
  </si>
  <si>
    <t>Mark Fellows - Covid tests following Sydney trip</t>
  </si>
  <si>
    <t>Mark Fellows - 21Southport to Modus
(Based on return trip at 72 cents/km)</t>
  </si>
  <si>
    <t>Stationary Reimbursement</t>
  </si>
  <si>
    <t>Katia Di Bartolomeo - stationary</t>
  </si>
  <si>
    <t>INV 0216</t>
  </si>
  <si>
    <t>Workers Compensation (83400)</t>
  </si>
  <si>
    <t>126379601</t>
  </si>
  <si>
    <t>Icare Workers Insurance -  
TSM (THE SERVICE MANAGER) PTY LTD
126379601
$2,373.34
01/03/2022
Workers Insurance</t>
  </si>
  <si>
    <t>INV 00001747</t>
  </si>
  <si>
    <t>Spearhead Software - Monthly Accounting Links Maintenance Fees @ $12.50 each: TSM Arrow x1, TSM CLD MYOB x1, TSM
CLD MYOBLIVE x2, TSM-CLD-RECKON x2, TSM-MYOB x1, TSM MYOBLIVE x16, TSM QB x 1, TSM XERO
x24</t>
  </si>
  <si>
    <t xml:space="preserve">Reimbursement Stationary </t>
  </si>
  <si>
    <t xml:space="preserve">Katia Di Bartolomeo - Officeworks </t>
  </si>
  <si>
    <t>Reimbursement Travel</t>
  </si>
  <si>
    <t>Mr Gary Miller - Accommodation</t>
  </si>
  <si>
    <t>Mehmet Bday Lunch</t>
  </si>
  <si>
    <t>Janette King - Reimbursement Lunch</t>
  </si>
  <si>
    <t>INV10768170</t>
  </si>
  <si>
    <t>PLURALSIGHT - Jan 22, 2022 - Apr 21, 2022</t>
  </si>
  <si>
    <t>INV 0047</t>
  </si>
  <si>
    <t>Reimbursement Lunch Mehmet Bday</t>
  </si>
  <si>
    <t>David Hennessy - Reimbursement Lunch Mehmet Bday</t>
  </si>
  <si>
    <t>INV 8433932</t>
  </si>
  <si>
    <t>Hubspot Australia PTY LTD - Marketing Hub Starter - Marketing Contacts
(1,000 Marketing Contacts Included)
Charge for: 28/2/2022 - 30/5/2022</t>
  </si>
  <si>
    <t>Hubspot Australia PTY LTD - 4,000 Additional Marketing Contacts
Charge for: 28/2/2022 - 30/5/2022</t>
  </si>
  <si>
    <t>Hubspot Australia PTY LTD - Sales Hub Professional (5 Users Included)
Charge for: 28/2/2022 - 30/5/2022</t>
  </si>
  <si>
    <t>Hubspot Australia PTY LTD - Service Hub Professional (5 Users Included)
Charge for: 28/2/2022 - 30/5/2022</t>
  </si>
  <si>
    <t>Bday Lunch Reimbursement</t>
  </si>
  <si>
    <t>Katia Di Bartolomeo - Mehmet BDay lunh</t>
  </si>
  <si>
    <t>B'Day Lunch Reimbursement</t>
  </si>
  <si>
    <t>Ruixing Feng - B'day lunch reimbursement</t>
  </si>
  <si>
    <t>INV/TSM-India/RR/02/22</t>
  </si>
  <si>
    <t>Mehmet Ekmen - B'Day Lunch Reimbursement</t>
  </si>
  <si>
    <t>B'day Lunch Reimbursement</t>
  </si>
  <si>
    <t>Timothy Bognot - B'day Lunch Reimbursement</t>
  </si>
  <si>
    <t>Mehmet Bday lunch reimbursement</t>
  </si>
  <si>
    <t>Marichu Garrido - Lunch reimbursement</t>
  </si>
  <si>
    <t>Licencing Fees (87400)</t>
  </si>
  <si>
    <t>INV US2022000060</t>
  </si>
  <si>
    <t>Servoy USA INC - 3 Back Charge
3 March - May Min lic fee
1 Server license</t>
  </si>
  <si>
    <t>INV 406641</t>
  </si>
  <si>
    <t>NAB Cardholder Services - Uber eats</t>
  </si>
  <si>
    <t>NAB Cardholder Services - 25'th Feb Unipatterns UX Training
25'th Feb Unipatterns UX Training</t>
  </si>
  <si>
    <t>Recruitment Costs (89600)</t>
  </si>
  <si>
    <t>NAB Cardholder Services - Seek</t>
  </si>
  <si>
    <t>NAB Cardholder Services - 14'th Feb Symprex $19.84
25'th Feb Semrush $350.59
2'nd March $Capterra $1958.66</t>
  </si>
  <si>
    <t>NAB Cardholder Services - Subscriptions:
15'th Feb Adobe $43.99
16'th Feb Adobe $42.77
21'st Feb Leavedates $30.00
23'rd Feb Helpiq $156.23
28'th Feb Formcrafts $40.62</t>
  </si>
  <si>
    <t>NAB Cardholder Services - 22'nd Feb Fastspring $319.89</t>
  </si>
  <si>
    <t>INV AUIN22-421782</t>
  </si>
  <si>
    <t>Amazon Web Services Australia Pty Ltd - This Tax Invoice is for the billing period February 1 - February 28, 2022</t>
  </si>
  <si>
    <t>04/03/2022</t>
  </si>
  <si>
    <t>INV 32742</t>
  </si>
  <si>
    <t>Kinetic - Monthly Service Fee for the period of 15 March to 14
April 2022 - Marichu Garrido</t>
  </si>
  <si>
    <t>07/03/2022</t>
  </si>
  <si>
    <t>INV 10913</t>
  </si>
  <si>
    <t>Dexterous Group Pty Limited - 9, Payroll services
up to 6 staff</t>
  </si>
  <si>
    <t>Dexterous Group Pty Limited - Compliance - BAS &amp; IAS -
Payroll Ta</t>
  </si>
  <si>
    <t>Paypal - Paypal Computer Accessories</t>
  </si>
  <si>
    <t>08/03/2022</t>
  </si>
  <si>
    <t>INV 0217</t>
  </si>
  <si>
    <t>09/03/2022</t>
  </si>
  <si>
    <t>INV/TSM-India/LM/02/2022</t>
  </si>
  <si>
    <t>11/03/2022</t>
  </si>
  <si>
    <t>Parking Reimbursement</t>
  </si>
  <si>
    <t>Katia Di Bartolomeo - Parking Reimbursement</t>
  </si>
  <si>
    <t>INV 32888</t>
  </si>
  <si>
    <t>Kinetic - Monthly Service Fee: For the period of 22 March to 21
April 2022 (Timothy Joseph O. Bognot)</t>
  </si>
  <si>
    <t>GM Business Reimbursements: FSM Conference 2022</t>
  </si>
  <si>
    <t>Mr Gary Miller - Parking</t>
  </si>
  <si>
    <t>Mr Gary Miller - Petrol</t>
  </si>
  <si>
    <t>Mr Gary Miller - Food &amp; Drink</t>
  </si>
  <si>
    <t>NAB CARD 4264</t>
  </si>
  <si>
    <t>NAB Cardholder Services - Licenses:
09/03 Fastsprings $50.94</t>
  </si>
  <si>
    <t>NAB Cardholder Services - Subscriptions:
03/03 Atlassianpt $211.37
04/03 XERO $76.00
07/03 MSFT $317.24
07/03 MSFT $18.15</t>
  </si>
  <si>
    <t>NAB Cardholder Services - Staff Training:
03/03 Unipatterns $185.68</t>
  </si>
  <si>
    <t>NAB Cardholder Services - Parking:
08/03 $18.00
10/03 $78.00
10/03 $26.00
10/03 $20.25</t>
  </si>
  <si>
    <t>NAB Cardholder Services - Travel:
Food &amp; Drink $329.51</t>
  </si>
  <si>
    <t>Mehmet Ekmen - lunch Reimbursement</t>
  </si>
  <si>
    <t>David Hennessy - lunch</t>
  </si>
  <si>
    <t>David Hennessy - Travel</t>
  </si>
  <si>
    <t>INV 00014577</t>
  </si>
  <si>
    <t>Smart Messaging Services - PREPAID MESSAGES
Sci-Tek Systems</t>
  </si>
  <si>
    <t>TSM SMS x 1000</t>
  </si>
  <si>
    <t>Rencomp Pty Ltd t/as Sci-Tek Systems - 1000 Smart Intelli Messags</t>
  </si>
  <si>
    <t>20/03/2022</t>
  </si>
  <si>
    <t>INV 0218 David Contract -April2022 First Half 1st to 15th</t>
  </si>
  <si>
    <t>23/03/2022</t>
  </si>
  <si>
    <t>Janette King - lunch Reimbursement</t>
  </si>
  <si>
    <t>GM Business Reimbursements 24/03/22</t>
  </si>
  <si>
    <t>Mr Gary Miller - GM Business Reimbursements 24/03/22</t>
  </si>
  <si>
    <t xml:space="preserve">FASTSPRING - FASTSPRING </t>
  </si>
  <si>
    <t>Ruixing Feng - Lunch reimbursement</t>
  </si>
  <si>
    <t>25/03/2022</t>
  </si>
  <si>
    <t>Mehmet Ekmen - Lunch Reimbursement</t>
  </si>
  <si>
    <t>Timothy Bognot - Lunch Reimbursement</t>
  </si>
  <si>
    <t>NAB Cardholder Services - 14/03/22 Symprex</t>
  </si>
  <si>
    <t>NAB Cardholder Services - Subscriptions:
15/03 Adobe $43.99
21/03 Leave Dates $30.00
22/03 HELPIQ $151.93</t>
  </si>
  <si>
    <t>NAB Cardholder Services - Parking:
14/03 $9.07
16/03 $78.98</t>
  </si>
  <si>
    <t>NAB Cardholder Services - Advertising:
16/03 Seek $715.00
16/03 Seek $874.50</t>
  </si>
  <si>
    <t>INV 11217</t>
  </si>
  <si>
    <t>Officeworks - Officeworks</t>
  </si>
  <si>
    <t>INV 1837</t>
  </si>
  <si>
    <t>ARBS EXHIBITIONS LIMITED - Stand Number: 16
Stand Type: Poster Stand
Stand Size (M2): 1
Insurance Taken: No</t>
  </si>
  <si>
    <t>INV 1836</t>
  </si>
  <si>
    <t>Consultants - Management (81110)</t>
  </si>
  <si>
    <t>INV 1472</t>
  </si>
  <si>
    <t>Sentify Pty. Ltd - Client Order No:
Job No: J000179
Name: TSM Professional Services</t>
  </si>
  <si>
    <t>GST on Expenses - Unfiled Amounts</t>
  </si>
  <si>
    <t>30/11/2021</t>
  </si>
  <si>
    <t>NAB Cardholder Services - Staff in Sydney Team meetings Dinner F&amp;B</t>
  </si>
  <si>
    <t>NAB Cardholder Services - Optus Phone</t>
  </si>
  <si>
    <t>NAB Cardholder Services - Subscriptions:
19/11 Leave Dates $30.00
22/11 Linkedin $69.99
23/11 HELPIQ $155.15
26/11 Formcrafts $40.40
3/12 Atlassiannpt $400.59
3/12 Adobe $76.99
4/12 XERO $76.00</t>
  </si>
  <si>
    <t>NAB Cardholder Services - Cab</t>
  </si>
  <si>
    <t>NAB Cardholder Services - Computer Accessories</t>
  </si>
  <si>
    <t>NAB Cardholder Services -  Subscriptions:
7/12/21 MSFT $21.27
7/12/2021 MFST $317.24
13/12/2021 Symprex $19.78
20/12/2021 Leave Dates $30.00
21/12/2021 Linkedin $69.99
23/12/2021 HELPIQ $157.35
29/12/2021 Formcrafts $40.23
04/01/2022 Adobe $76.99
04/01/2022 Atlassianpt $376.53
04/01/2022 XERO $76.00
07/01/2022 MSFT $317.24
10/01/2022 MSFT $18.15
12/01/2022 Symprex $ 19.71
19/01/2022 Leavedates $30.00
21/01/2022 Linkedin $69.99
24/01/2022 HELPIQ $156.25
24/01/2022 Formcrafts $70.74</t>
  </si>
  <si>
    <t>NAB Cardholder Services - 29/11 Fastspring</t>
  </si>
  <si>
    <t>NAB Cardholder Services - 25/01/22 Semrush</t>
  </si>
  <si>
    <t>NAB Cardholder Services - 4/1/22 Capterra</t>
  </si>
  <si>
    <t>Reversed: NAB Cardholder Services - Staff Ameneties</t>
  </si>
  <si>
    <t>Reversed: NAB Cardholder Services - Optus Phone</t>
  </si>
  <si>
    <t>Reversed: NAB Cardholder Services - Subscriptions:
19/11 Leave Dates $30.00
22/11 Linkedin $69.99
23/11 HELPIQ $155.15
26/11 Formcrafts $40.40
29/11 Fastspring $319.09
3/12 Atlassiannpt $400.59
3/12 Adobe $76.99
4/12 XERO $76.00</t>
  </si>
  <si>
    <t>Reversed: NAB Cardholder Services - Cab</t>
  </si>
  <si>
    <t>Reversed: NAB Cardholder Services - Computer Accessories</t>
  </si>
  <si>
    <t>Reversed: NAB Cardholder Services -  Subscriptions:
7/12/21 MSFT $21.27
7/12/2021 MFST $317.24
13/12/2021 Symprex $19.78
20/12/2021 Leave Dates $30.00
21/12/2021 Linkedin $69.99
23/12/2021 HELPIQ $157.35
29/12/2021 Formcrafts $40.23
04/01/2022 Adobe $76.99
04/01/2022 Caoterra $44.88
04/01/2022 Aplassianpt $376.53
04/01/2022 XERO $76.00
07/01/2022 MSFT $317.24
10/01/2022 MSFT $18.15
12/01/2022 Symprex $ 19.71
19/01/2022 Leavedates $30.00
21/01/2022 Linkedin $69.99
24/01/2022 HELPIQ $156.25
25/01/2022 Semrush $352.89
24/01/2022 Formcrafts $70.74</t>
  </si>
  <si>
    <t>Total GST on Expenses - Unfiled Amounts</t>
  </si>
  <si>
    <t>GST Free Expenses</t>
  </si>
  <si>
    <t>04/01/2022</t>
  </si>
  <si>
    <t>Bank Fees (89110)</t>
  </si>
  <si>
    <t>NAB - NAB Bank Fees</t>
  </si>
  <si>
    <t>NAB - NAB bank fees</t>
  </si>
  <si>
    <t>NAB - NAB Fees</t>
  </si>
  <si>
    <t>Filing Fees (89130)</t>
  </si>
  <si>
    <t>Account Number: 22 607445527</t>
  </si>
  <si>
    <t xml:space="preserve">ASIC - Australian Securities &amp; Investments Commission - 7EBP43646484E 1A
Appointment Or Cessation Of A Compan -L1 </t>
  </si>
  <si>
    <t>NAB Cardholder Services - Bank Fees</t>
  </si>
  <si>
    <t>St George Bank - Bank Fee on Covid Loan</t>
  </si>
  <si>
    <t>NAB - Bank Fees</t>
  </si>
  <si>
    <t>NAB Cardholder Services - Bank Fees:
09/03 $1.53</t>
  </si>
  <si>
    <t>NAB Cardholder Services - Bank Fees:
14/03 .58
21/03 .90</t>
  </si>
  <si>
    <t>Donations (89410)</t>
  </si>
  <si>
    <t>NAB Cardholder Services - Donations:
22/03 Camp Quality $104.40</t>
  </si>
  <si>
    <t>Interest Expense (97200)</t>
  </si>
  <si>
    <t>St George Interest on loan</t>
  </si>
  <si>
    <t>St George Bank - Interest on loan</t>
  </si>
  <si>
    <t>St George Interest on Loan</t>
  </si>
  <si>
    <t>#37720</t>
  </si>
  <si>
    <t>to close-off rounding accounts - to close-off rounding accounts</t>
  </si>
  <si>
    <t>Total GST Free Expenses</t>
  </si>
  <si>
    <t>GST Free Expenses - Unfiled Amounts</t>
  </si>
  <si>
    <t>NAB Cardholder Services - 1 ABP Commercial Business License REF FIREBIRD PLATFORM</t>
  </si>
  <si>
    <t>NAB Cardholder Services - NAB Bank Fees</t>
  </si>
  <si>
    <t>Reversed: NAB Cardholder Services - 1 ABP Commercial Business License</t>
  </si>
  <si>
    <t>Reversed: NAB Cardholder Services - NAB Bank Fees</t>
  </si>
  <si>
    <t>Total GST Free Expenses - Unfiled Amounts</t>
  </si>
  <si>
    <t>BAS Excluded</t>
  </si>
  <si>
    <t>Provision for Annual Leave Expenses (81400)</t>
  </si>
  <si>
    <t>#36844</t>
  </si>
  <si>
    <t>Reversal: Adjust Dec Annual Leave due to large movement in January when most leave actually taken - Adjust Dec Annual Leave due to large movement in January when most leave actually taken</t>
  </si>
  <si>
    <t>Accrued Expenses (20200)</t>
  </si>
  <si>
    <t>#36838</t>
  </si>
  <si>
    <t>Reversal: December GM Review Adjustments to Accruals [Reversing] - Cloud ref AWS Invoice invoiced next month</t>
  </si>
  <si>
    <t>Reversal: December GM Review Adjustments to Accruals [Reversing] - Take out DY Invoiced in advance</t>
  </si>
  <si>
    <t>Reversal: December GM Review Adjustments to Accruals [Reversing] - Accrue Spearhead</t>
  </si>
  <si>
    <t>Reversal: December GM Review Adjustments to Accruals [Reversing] - Servoy Contingency</t>
  </si>
  <si>
    <t>Reversal: December GM Review Adjustments to Accruals [Reversing] - TS Plus contingency</t>
  </si>
  <si>
    <t>Reversal: December GM Review Adjustments to Accruals [Reversing] - Marketing Accrue to Budget</t>
  </si>
  <si>
    <t>Reversal: December GM Review Adjustments to Accruals [Reversing] - Lopa &amp; Rajeev Invoiced next month</t>
  </si>
  <si>
    <t>Payroll Tax (81300)</t>
  </si>
  <si>
    <t>Reversal: December GM Review Adjustments to Accruals [Reversing] - Payroll Tax accrue to Budget</t>
  </si>
  <si>
    <t>Reversal: December GM Review Adjustments to Accruals [Reversing] - Travel National accrue to Budget</t>
  </si>
  <si>
    <t>Wages and Salaries (71200)</t>
  </si>
  <si>
    <t>Reversal: December GM Review Adjustments to Accruals [Reversing] - Wages - Accrue for last 5 days</t>
  </si>
  <si>
    <t>Wages and Salaries - Commission and Bonus (71210)</t>
  </si>
  <si>
    <t>Reversal: December GM Review Adjustments to Accruals [Reversing] - Wages - Commissions - accrue to Budget</t>
  </si>
  <si>
    <t xml:space="preserve">Reversal: December GM Review Adjustments to Accruals [Reversing] - Accountant Accrue to Budget
 </t>
  </si>
  <si>
    <t>Reversal: December GM Review Adjustments to Accruals [Reversing] - Consultants ref Sentify accrue to Budget</t>
  </si>
  <si>
    <t>Legal expenses (83500)</t>
  </si>
  <si>
    <t>Reversal: December GM Review Adjustments to Accruals [Reversing] - Legal Accrue to Budget</t>
  </si>
  <si>
    <t>Reversal: December GM Review Adjustments to Accruals [Reversing] - Subscriptions Accrue to Budget</t>
  </si>
  <si>
    <t>Reversal: December GM Review Adjustments to Accruals [Reversing] - Hubspot paid Nov for 3 months, release dec to feb at 1,432.00 p/m</t>
  </si>
  <si>
    <t>Reversal: December GM Review Adjustments to Accruals [Reversing] - GM Review Adjustments to Accruals [Reversing]</t>
  </si>
  <si>
    <t>Reversal: December GM Review Adjustments to Accruals [Reversing] - Wolrkers comp accrue to Budget</t>
  </si>
  <si>
    <t>#36708</t>
  </si>
  <si>
    <t>Reversal: Annual leave and long service leave provision as of December - Annual leave and long service leave provision</t>
  </si>
  <si>
    <t>Annual Leave [&amp; LSL ]Provision (21500)</t>
  </si>
  <si>
    <t>IntegraPay Clearing Account (11300)</t>
  </si>
  <si>
    <t>98989281 IPAY XERO TSM THE SERVICE</t>
  </si>
  <si>
    <t>IntegraPay - Invoices</t>
  </si>
  <si>
    <t>Wages Payable - Payroll (21100)</t>
  </si>
  <si>
    <t>Generated by Xero Payroll - Payroll 11th Jan</t>
  </si>
  <si>
    <t>Accounts Receivable (11000)</t>
  </si>
  <si>
    <t>INV 4397</t>
  </si>
  <si>
    <t>ALLSTATE REFRIGERATION SERVICES - Overpayment</t>
  </si>
  <si>
    <t>Payroll Expense Journal - PD-465</t>
  </si>
  <si>
    <t>Payroll Expense Journal - PD-465 - Earnings</t>
  </si>
  <si>
    <t>PAYG withholdings Payable (22300)</t>
  </si>
  <si>
    <t>Payroll Expense Journal - PD-465 - Tax</t>
  </si>
  <si>
    <t>Superannuation (81600)</t>
  </si>
  <si>
    <t>Payroll Expense Journal - PD-465 - Superannuation Expense</t>
  </si>
  <si>
    <t>Superannuation Payable (21300)</t>
  </si>
  <si>
    <t>Payroll Expense Journal - PD-465 - Superannuation Liability</t>
  </si>
  <si>
    <t>Payroll Expense Journal - PD-465 - Wages Payable</t>
  </si>
  <si>
    <t>99278435 IPAY XERO TSM THE SERVICE</t>
  </si>
  <si>
    <t>Chute Services Australia - Chute Services Overpayment refund</t>
  </si>
  <si>
    <t xml:space="preserve">SuperChoice - Superannuation </t>
  </si>
  <si>
    <t>99617964 IPAY XERO TSM THE SERVICE</t>
  </si>
  <si>
    <t>99663033 IPAY XERO TSM THE SERVICE</t>
  </si>
  <si>
    <t>Katia Di Bartolomeo - Katia Commission</t>
  </si>
  <si>
    <t>Generated by Xero Payroll - Payroll 25th Jan</t>
  </si>
  <si>
    <t>25/01/2022</t>
  </si>
  <si>
    <t>Payroll Expense Journal - PD-466</t>
  </si>
  <si>
    <t>Payroll Expense Journal - PD-466 - Earnings</t>
  </si>
  <si>
    <t>Payroll Expense Journal - PD-466 - Tax</t>
  </si>
  <si>
    <t>Payroll Expense Journal - PD-466 - Superannuation Expense</t>
  </si>
  <si>
    <t>Payroll Expense Journal - PD-466 - Superannuation Liability</t>
  </si>
  <si>
    <t>Payroll Expense Journal - PD-466 - Wages Payable</t>
  </si>
  <si>
    <t>Payroll Expense Journal - PD-467</t>
  </si>
  <si>
    <t>Payroll Expense Journal - PD-467 - Earnings</t>
  </si>
  <si>
    <t>Payroll Expense Journal - PD-467 - Tax</t>
  </si>
  <si>
    <t>Payroll Expense Journal - PD-467 - Superannuation Expense</t>
  </si>
  <si>
    <t>Payroll Expense Journal - PD-467 - Superannuation Liability</t>
  </si>
  <si>
    <t>Payroll Expense Journal - PD-467 - Wages Payable</t>
  </si>
  <si>
    <t>27/01/2022</t>
  </si>
  <si>
    <t>INV 5400</t>
  </si>
  <si>
    <t>Overpayment: SubZero Projects Pty Ltd - Overpayment</t>
  </si>
  <si>
    <t>100043114 IPAY XERO TSM THE SERVICE</t>
  </si>
  <si>
    <t>SubZero Projects Pty Ltd - Overpayment</t>
  </si>
  <si>
    <t>100177405 IPAY XERO TSM THE SERVICE</t>
  </si>
  <si>
    <t>#36648</t>
  </si>
  <si>
    <t>Recognition of revenue for the month January
 22 - Recognition of revenue</t>
  </si>
  <si>
    <t>Maintenance Subscription (41000)</t>
  </si>
  <si>
    <t>Depreciation - HP Financed Assets (91100)</t>
  </si>
  <si>
    <t>#36414</t>
  </si>
  <si>
    <t>HPFS Depreciation - HPFS Assets</t>
  </si>
  <si>
    <t>HP Financed Items - Less Accumulated Depreciation (15690)</t>
  </si>
  <si>
    <t>Insurance (83300)</t>
  </si>
  <si>
    <t>#36415</t>
  </si>
  <si>
    <t>To post Insurance expense against PrePaid Insurance Bill from Aug for 12 months - Insurance Prepayment setup. Paid $1,0435.5 / 12 = 869.63</t>
  </si>
  <si>
    <t>Prepayments (13100)</t>
  </si>
  <si>
    <t>100272604 IPAY XERO TSM THE SERVICE</t>
  </si>
  <si>
    <t>#36710</t>
  </si>
  <si>
    <t>Annual leave and long service leave provision as of January - Annual leave and long service leave provision</t>
  </si>
  <si>
    <t>Wages &amp; Salaries allocation to Management Overhead (71230)</t>
  </si>
  <si>
    <t>#36736</t>
  </si>
  <si>
    <t>Post Management Overhead as Budget - Post Management Overhead as Budget</t>
  </si>
  <si>
    <t>Superannuation - Management (81610)</t>
  </si>
  <si>
    <t>#36846</t>
  </si>
  <si>
    <t>January GM Review Adjustments to Accruals [Reversing] - Cloud ref AWS Invoice invoiced next month</t>
  </si>
  <si>
    <t>January GM Review Adjustments to Accruals [Reversing] - Take out DY Invoiced in advance</t>
  </si>
  <si>
    <t>January GM Review Adjustments to Accruals [Reversing] - Accrue Spearhead</t>
  </si>
  <si>
    <t>January GM Review Adjustments to Accruals [Reversing] - Servoy Contingency</t>
  </si>
  <si>
    <t>January GM Review Adjustments to Accruals [Reversing] - TS Plus contingency</t>
  </si>
  <si>
    <t>January GM Review Adjustments to Accruals [Reversing] - Marketing Accrue to Budget</t>
  </si>
  <si>
    <t>January GM Review Adjustments to Accruals [Reversing] - Lopa &amp; Rajeev Invoiced next month</t>
  </si>
  <si>
    <t>January GM Review Adjustments to Accruals [Reversing] - Payroll Tax accrue to Budget</t>
  </si>
  <si>
    <t>January GM Review Adjustments to Accruals [Reversing] - Travel National accrue to Budget</t>
  </si>
  <si>
    <t>January GM Review Adjustments to Accruals [Reversing] - Wages - Accrue for last 4 days</t>
  </si>
  <si>
    <t>January GM Review Adjustments to Accruals [Reversing] - Wages - Commissions - accrue to Budget</t>
  </si>
  <si>
    <t xml:space="preserve">January GM Review Adjustments to Accruals [Reversing] - Accountant Accrue to Budget
 </t>
  </si>
  <si>
    <t>January GM Review Adjustments to Accruals [Reversing] - Consultants ref Sentify accrue to Budget</t>
  </si>
  <si>
    <t>January GM Review Adjustments to Accruals [Reversing] - Legal Accrue to Budget</t>
  </si>
  <si>
    <t>January GM Review Adjustments to Accruals [Reversing] - Subscriptions Accrue to Budget</t>
  </si>
  <si>
    <t>January GM Review Adjustments to Accruals [Reversing] - Hubspot paid Nov for 3 months, release dec to feb at 1,432.00 p/m</t>
  </si>
  <si>
    <t>January GM Review Adjustments to Accruals [Reversing] - GM Review Adjustments to Accruals [Reversing]</t>
  </si>
  <si>
    <t>January GM Review Adjustments to Accruals [Reversing] - Workers comp accrue to Budget</t>
  </si>
  <si>
    <t>January GM Review Adjustments to Accruals [Reversing] - Missing invoice for Tim- invoiced in Jan?</t>
  </si>
  <si>
    <t>#36712</t>
  </si>
  <si>
    <t>Reversal:  Annual leave and long service leave provision as of January - Annual leave and long service leave provision</t>
  </si>
  <si>
    <t>#36845</t>
  </si>
  <si>
    <t>Reversal: January GM Review Adjustments to Accruals [Reversing] - Cloud ref AWS Invoice invoiced next month</t>
  </si>
  <si>
    <t>Reversal: January GM Review Adjustments to Accruals [Reversing] - Take out DY Invoiced in advance</t>
  </si>
  <si>
    <t>Reversal: January GM Review Adjustments to Accruals [Reversing] - Accrue Spearhead</t>
  </si>
  <si>
    <t>Reversal: January GM Review Adjustments to Accruals [Reversing] - Servoy Contingency</t>
  </si>
  <si>
    <t>Reversal: January GM Review Adjustments to Accruals [Reversing] - TS Plus contingency</t>
  </si>
  <si>
    <t>Reversal: January GM Review Adjustments to Accruals [Reversing] - Marketing Accrue to Budget</t>
  </si>
  <si>
    <t>Reversal: January GM Review Adjustments to Accruals [Reversing] - Lopa &amp; Rajeev Invoiced next month</t>
  </si>
  <si>
    <t>Reversal: January GM Review Adjustments to Accruals [Reversing] - Payroll Tax accrue to Budget</t>
  </si>
  <si>
    <t>Reversal: January GM Review Adjustments to Accruals [Reversing] - Travel National accrue to Budget</t>
  </si>
  <si>
    <t>Reversal: January GM Review Adjustments to Accruals [Reversing] - Wages - Accrue for last 4 days</t>
  </si>
  <si>
    <t>Reversal: January GM Review Adjustments to Accruals [Reversing] - Wages - Commissions - accrue to Budget</t>
  </si>
  <si>
    <t xml:space="preserve">Reversal: January GM Review Adjustments to Accruals [Reversing] - Accountant Accrue to Budget
 </t>
  </si>
  <si>
    <t>Reversal: January GM Review Adjustments to Accruals [Reversing] - Consultants ref Sentify accrue to Budget</t>
  </si>
  <si>
    <t>Reversal: January GM Review Adjustments to Accruals [Reversing] - Legal Accrue to Budget</t>
  </si>
  <si>
    <t>Reversal: January GM Review Adjustments to Accruals [Reversing] - Subscriptions Accrue to Budget</t>
  </si>
  <si>
    <t>Reversal: January GM Review Adjustments to Accruals [Reversing] - Hubspot paid Nov for 3 months, release dec to feb at 1,432.00 p/m</t>
  </si>
  <si>
    <t>Reversal: January GM Review Adjustments to Accruals [Reversing] - GM Review Adjustments to Accruals [Reversing]</t>
  </si>
  <si>
    <t>Reversal: January GM Review Adjustments to Accruals [Reversing] - Workers comp accrue to Budget</t>
  </si>
  <si>
    <t>Reversal: January GM Review Adjustments to Accruals [Reversing] - Missing invoice for Tim- invoiced in Jan?</t>
  </si>
  <si>
    <t>INV 5251</t>
  </si>
  <si>
    <t>MJ Electrical - Overpayment</t>
  </si>
  <si>
    <t>Generated by Xero Payroll - Payroll 8/02/2022</t>
  </si>
  <si>
    <t>Payroll Expense Journal - PD-468</t>
  </si>
  <si>
    <t>Payroll Expense Journal - PD-468 - Earnings</t>
  </si>
  <si>
    <t>Payroll Expense Journal - PD-468 - Tax</t>
  </si>
  <si>
    <t>Payroll Expense Journal - PD-468 - Superannuation Expense</t>
  </si>
  <si>
    <t>Payroll Expense Journal - PD-468 - Superannuation Liability</t>
  </si>
  <si>
    <t>Payroll Expense Journal - PD-468 - Wages Payable</t>
  </si>
  <si>
    <t>Payroll Expense Journal - PD-470</t>
  </si>
  <si>
    <t>Payroll Expense Journal - PD-470 - Earnings</t>
  </si>
  <si>
    <t>Payroll Expense Journal - PD-470 - Tax</t>
  </si>
  <si>
    <t>Payroll Expense Journal - PD-470 - Superannuation Expense</t>
  </si>
  <si>
    <t>Payroll Expense Journal - PD-470 - Superannuation Liability</t>
  </si>
  <si>
    <t>Payroll Expense Journal - PD-470 - Wages Payable</t>
  </si>
  <si>
    <t>Katia Di Bartolomeo - Returned overpayment of commission</t>
  </si>
  <si>
    <t>100762520 IPAY XERO TSM THE SERVICE</t>
  </si>
  <si>
    <t>#36816</t>
  </si>
  <si>
    <t>December 2021 qtr BAS</t>
  </si>
  <si>
    <t>GST Payable (22200)</t>
  </si>
  <si>
    <t>ATO - Integrated Client Account (22100)</t>
  </si>
  <si>
    <t>100812635 IPAY XERO TSM THE SERVICE</t>
  </si>
  <si>
    <t>BAS 1 Oct 2021—31 Dec 2021</t>
  </si>
  <si>
    <t>Australian Tax Office - 1 Oct 2021—31 Dec 2021</t>
  </si>
  <si>
    <t>#36815</t>
  </si>
  <si>
    <t>January 2022 IAS - PAYG withheld</t>
  </si>
  <si>
    <t>January 2022 IAS - ATO Running Balance</t>
  </si>
  <si>
    <t>PAYG 1 Jan 2022—31 Jan 2022</t>
  </si>
  <si>
    <t>Australian Tax Office - 1 Jan 2022—31 Jan 2022</t>
  </si>
  <si>
    <t>101277107 IPAY XERO TSM THE SERVICE</t>
  </si>
  <si>
    <t>101380981 IPAY XERO TSM THE SERVICE</t>
  </si>
  <si>
    <t>Generated by Xero Payroll - Payroll 21/02/22</t>
  </si>
  <si>
    <t>Probis P/L T/as Vision Technology Systems - Overpayment to be refunded</t>
  </si>
  <si>
    <t>22/02/2022</t>
  </si>
  <si>
    <t>Payroll Expense Journal - PD-471</t>
  </si>
  <si>
    <t>Payroll Expense Journal - PD-471 - Earnings</t>
  </si>
  <si>
    <t>Payroll Expense Journal - PD-471 - Tax</t>
  </si>
  <si>
    <t>Payroll Expense Journal - PD-471 - Superannuation Expense</t>
  </si>
  <si>
    <t>Payroll Expense Journal - PD-471 - Superannuation Liability</t>
  </si>
  <si>
    <t>Payroll Expense Journal - PD-471 - Wages Payable</t>
  </si>
  <si>
    <t>Probis P/L T/as Vision Technology Systems - Refund on overpayment</t>
  </si>
  <si>
    <t>St George 10 year Covid Recovery Business Loan (24500)</t>
  </si>
  <si>
    <t>St George Bank - Covid recovery 10 year loan $500,000.00</t>
  </si>
  <si>
    <t>#37256</t>
  </si>
  <si>
    <t>GM Accrual adjustments 3 - Marketing accrual too high</t>
  </si>
  <si>
    <t>GM Accrual adjustments 3 - Consultants accrual too high</t>
  </si>
  <si>
    <t>GM Accrual adjustments 3 - GM Accrual adjustments 3</t>
  </si>
  <si>
    <t xml:space="preserve">GM Accrual adjustments 3 - Travel accrual too  high </t>
  </si>
  <si>
    <t>GM Accrual adjustments 3 - Subscriptions accrual too high</t>
  </si>
  <si>
    <t>#37247</t>
  </si>
  <si>
    <t>February GM Review Adjustments to Accruals [Reversing] - Cloud ref AWS Invoice invoiced next month</t>
  </si>
  <si>
    <t>February GM Review Adjustments to Accruals [Reversing] - Take out DY Invoiced in advance</t>
  </si>
  <si>
    <t>February GM Review Adjustments to Accruals [Reversing] - Accrue Spearhead</t>
  </si>
  <si>
    <t>February GM Review Adjustments to Accruals [Reversing] - Servoy Contingency</t>
  </si>
  <si>
    <t>February GM Review Adjustments to Accruals [Reversing] - TS Plus contingency</t>
  </si>
  <si>
    <t>February GM Review Adjustments to Accruals [Reversing] - Marketing Accrue to Budget</t>
  </si>
  <si>
    <t>February GM Review Adjustments to Accruals [Reversing] - Lopa &amp; Rajeev Invoiced next month</t>
  </si>
  <si>
    <t>February GM Review Adjustments to Accruals [Reversing] - Payroll Tax accrue to Budget</t>
  </si>
  <si>
    <t>February GM Review Adjustments to Accruals [Reversing] - Travel National accrue to Budget</t>
  </si>
  <si>
    <t>February GM Review Adjustments to Accruals [Reversing] - Wages - Accrue for last 4 days</t>
  </si>
  <si>
    <t>February GM Review Adjustments to Accruals [Reversing] - Wages - Commissions - accrue to Budget</t>
  </si>
  <si>
    <t xml:space="preserve">February GM Review Adjustments to Accruals [Reversing] - Accountant Accrue to Budget
 </t>
  </si>
  <si>
    <t>February GM Review Adjustments to Accruals [Reversing] - Consultants ref Sentify accrue to Budget</t>
  </si>
  <si>
    <t>February GM Review Adjustments to Accruals [Reversing] - Legal Accrue to Budget</t>
  </si>
  <si>
    <t>February GM Review Adjustments to Accruals [Reversing] - Subscriptions Accrue to Budget</t>
  </si>
  <si>
    <t>February GM Review Adjustments to Accruals [Reversing] - Hubspot paid Nov for 3 months, release dec to feb at 1,432.00 p/m</t>
  </si>
  <si>
    <t>February GM Review Adjustments to Accruals [Reversing] - GM Review Adjustments to Accruals [Reversing]</t>
  </si>
  <si>
    <t>February GM Review Adjustments to Accruals [Reversing] - Workers comp accrue to Budget</t>
  </si>
  <si>
    <t>February GM Review Adjustments to Accruals [Reversing] - Missing invoice for Tim- invoiced in Jan?</t>
  </si>
  <si>
    <t>February GM Review Adjustments to Accruals [Reversing] - Staff Training - ref UI training etc</t>
  </si>
  <si>
    <t>#37249</t>
  </si>
  <si>
    <t>Feb GM Adjustments accruals 2 - Workers comp - mis calculated accrual</t>
  </si>
  <si>
    <t>#36964</t>
  </si>
  <si>
    <t>INV 5327</t>
  </si>
  <si>
    <t>Overpayment: 12th Man Services Pty Ltd - Overpayment</t>
  </si>
  <si>
    <t>#37205</t>
  </si>
  <si>
    <t>Annual leave and long service leave provision as of February - Annual leave and long service leave provision</t>
  </si>
  <si>
    <t>#36737</t>
  </si>
  <si>
    <t>#36965</t>
  </si>
  <si>
    <t>101868142 IPAY XERO TSM THE SERVICE</t>
  </si>
  <si>
    <t>#37155</t>
  </si>
  <si>
    <t>Recognition of revenue for the month February 
 22 - Recognition of revenue</t>
  </si>
  <si>
    <t>Recognition of revenue for the month February 
 22 - Adjustment due to late dec/ jan entries</t>
  </si>
  <si>
    <t>101935030 IPAY XERO TSM THE SERVICE</t>
  </si>
  <si>
    <t>#37254</t>
  </si>
  <si>
    <t>Reversal: GM Accrual adjustments 3 - Marketing accrual too high</t>
  </si>
  <si>
    <t>Reversal: GM Accrual adjustments 3 - Consultants accrual too high</t>
  </si>
  <si>
    <t>Reversal: GM Accrual adjustments 3 - Reversal: GM Accrual adjustments 3</t>
  </si>
  <si>
    <t>Reversal: GM Accrual adjustments 3 - Travel accrual too high</t>
  </si>
  <si>
    <t>Reversal: GM Accrual adjustments 3 - Subscriptions accrual too high</t>
  </si>
  <si>
    <t>#37582</t>
  </si>
  <si>
    <t>Reversal: February GM Review Adjustments to Accruals [Reversing] - Cloud ref AWS Invoice invoiced next month</t>
  </si>
  <si>
    <t>Reversal: February GM Review Adjustments to Accruals [Reversing] - Take out DY Invoiced in advance</t>
  </si>
  <si>
    <t>Reversal: February GM Review Adjustments to Accruals [Reversing] - Accrue Spearhead</t>
  </si>
  <si>
    <t>Reversal: February GM Review Adjustments to Accruals [Reversing] - Servoy Contingency</t>
  </si>
  <si>
    <t>Reversal: February GM Review Adjustments to Accruals [Reversing] - TS Plus contingency</t>
  </si>
  <si>
    <t>Reversal: February GM Review Adjustments to Accruals [Reversing] - Marketing Accrue to Budget</t>
  </si>
  <si>
    <t>Reversal: February GM Review Adjustments to Accruals [Reversing] - Lopa &amp; Rajeev Invoiced next month</t>
  </si>
  <si>
    <t>Reversal: February GM Review Adjustments to Accruals [Reversing] - Payroll Tax accrue to Budget</t>
  </si>
  <si>
    <t>Reversal: February GM Review Adjustments to Accruals [Reversing] - Travel National accrue to Budget</t>
  </si>
  <si>
    <t>Reversal: February GM Review Adjustments to Accruals [Reversing] - Wages - Accrue for last 4 days</t>
  </si>
  <si>
    <t>Reversal: February GM Review Adjustments to Accruals [Reversing] - Wages - Commissions - accrue to Budget</t>
  </si>
  <si>
    <t xml:space="preserve">Reversal: February GM Review Adjustments to Accruals [Reversing] - Accountant Accrue to Budget
 </t>
  </si>
  <si>
    <t>Reversal: February GM Review Adjustments to Accruals [Reversing] - Consultants ref Sentify accrue to Budget</t>
  </si>
  <si>
    <t>Reversal: February GM Review Adjustments to Accruals [Reversing] - Legal Accrue to Budget</t>
  </si>
  <si>
    <t>Reversal: February GM Review Adjustments to Accruals [Reversing] - Subscriptions Accrue to Budget</t>
  </si>
  <si>
    <t>Reversal: February GM Review Adjustments to Accruals [Reversing] - Hubspot paid Nov for 3 months, release dec to feb at 1,432.00 p/m</t>
  </si>
  <si>
    <t>Reversal: February GM Review Adjustments to Accruals [Reversing] - GM Review Adjustments to Accruals [Reversing]</t>
  </si>
  <si>
    <t>Reversal: February GM Review Adjustments to Accruals [Reversing] - Workers comp accrue to Budget</t>
  </si>
  <si>
    <t>Reversal: February GM Review Adjustments to Accruals [Reversing] - Missing invoice for Tim- invoiced in Jan?</t>
  </si>
  <si>
    <t>Reversal: February GM Review Adjustments to Accruals [Reversing] - Staff Training - ref UI training etc</t>
  </si>
  <si>
    <t>HTS Group Ltd - TSM Evolution Quarterly Subscription
8 Back Office 
19 Mobile @ $2,704.32 per quarter
Contact to start 1/07/2020</t>
  </si>
  <si>
    <t>HTS Group Ltd - SFTP Backup $270.00 per quarter</t>
  </si>
  <si>
    <t>#37248</t>
  </si>
  <si>
    <t>Reversal: Feb GM Adjustments accruals 2 - Workers comp - mis calculated accrual</t>
  </si>
  <si>
    <t>#37560</t>
  </si>
  <si>
    <t>Reversal: Draft Annual leave and long service leave provision as of February - Annual leave and long service leave provision</t>
  </si>
  <si>
    <t>01/04/2022 - 30/06/2022 Quarterly Evolution Subscription</t>
  </si>
  <si>
    <t>Atom Drive Pte Ltd - TSM Evolution Subscription 
6 Back Office licenses plus 5 Mobile Licenses
Monthly amount as original contract: $750.00 p/m
+ extra License added Aug 2017 at $85.00 per month</t>
  </si>
  <si>
    <t>Atom Drive Pte Ltd - Original Contract included Hardware as 5 x Tablets.
Revised Contract no longer includes Tablets so Credit applies at $15.00 p/m x 5</t>
  </si>
  <si>
    <t>102053402 IPAY XERO TSM THE SERVICE</t>
  </si>
  <si>
    <t>102223190 IPAY XERO TSM THE SERVICE</t>
  </si>
  <si>
    <t>Matthews Australasia - Overpayment Matthews Australasia</t>
  </si>
  <si>
    <t>Generated by Xero Payroll - Payroll 7/03/22</t>
  </si>
  <si>
    <t>Payroll Expense Journal - PD-473</t>
  </si>
  <si>
    <t>Payroll Expense Journal - PD-473 - Earnings</t>
  </si>
  <si>
    <t>Payroll Expense Journal - PD-473 - Tax</t>
  </si>
  <si>
    <t>Payroll Expense Journal - PD-473 - Superannuation Expense</t>
  </si>
  <si>
    <t>Payroll Expense Journal - PD-473 - Superannuation Liability</t>
  </si>
  <si>
    <t>Payroll Expense Journal - PD-473 - Wages Payable</t>
  </si>
  <si>
    <t>Matthews Australasia - Refund overpayment Matthews Australasia</t>
  </si>
  <si>
    <t>10/03/2022</t>
  </si>
  <si>
    <t>102488151 IPAY XERO TSM THE SERVICE</t>
  </si>
  <si>
    <t>102624210 IPAY XERO TSM THE SERVICE</t>
  </si>
  <si>
    <t>IAS 1 Feb 2022—28 Feb 2022</t>
  </si>
  <si>
    <t>Australian Tax Office - 1 Feb 2022—28 Feb 2022</t>
  </si>
  <si>
    <t>#37241</t>
  </si>
  <si>
    <t>February 2022 IAS - PAYG withheld</t>
  </si>
  <si>
    <t>February 2022 IAS - ATO Running Balance</t>
  </si>
  <si>
    <t>102782161 IPAY XERO TSM THE SERVICE</t>
  </si>
  <si>
    <t>SuperChoice - Superannuation FEB</t>
  </si>
  <si>
    <t>St George Loan Principal repayments (24510)</t>
  </si>
  <si>
    <t>St George Bank - St George loan repayment</t>
  </si>
  <si>
    <t>102906726 IPAY XERO TSM THE SERVICE</t>
  </si>
  <si>
    <t>103005019 IPAY XERO TSM THE SERVICE</t>
  </si>
  <si>
    <t>Matt Keene Electrical - Matt Keen Overpayment</t>
  </si>
  <si>
    <t>21/03/2022</t>
  </si>
  <si>
    <t>Generated by Xero Payroll - Payroll 21/03/22</t>
  </si>
  <si>
    <t>Matt Keene Electrical - Refund of overpayment Matt Keen</t>
  </si>
  <si>
    <t>Payroll Expense Journal - PD-475</t>
  </si>
  <si>
    <t>Payroll Expense Journal - PD-475 - Earnings</t>
  </si>
  <si>
    <t>Payroll Expense Journal - PD-475 - Tax</t>
  </si>
  <si>
    <t>Payroll Expense Journal - PD-475 - Superannuation Expense</t>
  </si>
  <si>
    <t>Payroll Expense Journal - PD-475 - Superannuation Liability</t>
  </si>
  <si>
    <t>Payroll Expense Journal - PD-475 - Wages Payable</t>
  </si>
  <si>
    <t>103570460 IPAY XERO TSM THE SERVICE</t>
  </si>
  <si>
    <t>INV 5544</t>
  </si>
  <si>
    <t>Overpayment: MJ Electrical - Overpayment</t>
  </si>
  <si>
    <t>103618846 IPAY XERO TSM THE SERVICE</t>
  </si>
  <si>
    <t>#37406</t>
  </si>
  <si>
    <t>#36738</t>
  </si>
  <si>
    <t>Rounding (20910)</t>
  </si>
  <si>
    <t>#37538</t>
  </si>
  <si>
    <t>Recognition of revenue for the month March 
 22 - Recognition of revenue</t>
  </si>
  <si>
    <t>#37584</t>
  </si>
  <si>
    <t>March GM Review Adjustments to Accruals [Reversing] - Cloud ref AWS Invoice invoiced next month</t>
  </si>
  <si>
    <t>March GM Review Adjustments to Accruals [Reversing] - Take out DY Invoiced in advance</t>
  </si>
  <si>
    <t>March GM Review Adjustments to Accruals [Reversing] - Accrue Spearhead</t>
  </si>
  <si>
    <t>March GM Review Adjustments to Accruals [Reversing] - Servoy Contingency</t>
  </si>
  <si>
    <t>March GM Review Adjustments to Accruals [Reversing] - TS Plus contingency</t>
  </si>
  <si>
    <t>March GM Review Adjustments to Accruals [Reversing] - Marketing Accrue to Budget</t>
  </si>
  <si>
    <t>March GM Review Adjustments to Accruals [Reversing] - Lopa &amp; Rajeev Invoiced next month</t>
  </si>
  <si>
    <t>March GM Review Adjustments to Accruals [Reversing] - Payroll Tax accrue to Budget</t>
  </si>
  <si>
    <t>March GM Review Adjustments to Accruals [Reversing] - Travel National accrue to Budget</t>
  </si>
  <si>
    <t>March GM Review Adjustments to Accruals [Reversing] - Wages - Accrue for last 4 days</t>
  </si>
  <si>
    <t>March GM Review Adjustments to Accruals [Reversing] - Wages - Commissions - accrue to Budget</t>
  </si>
  <si>
    <t xml:space="preserve">March GM Review Adjustments to Accruals [Reversing] - Accountant Accrue to Budget
 </t>
  </si>
  <si>
    <t>March GM Review Adjustments to Accruals [Reversing] - Consultants ref Sentify accrue to Budget</t>
  </si>
  <si>
    <t>March GM Review Adjustments to Accruals [Reversing] - Legal Accrue to Budget</t>
  </si>
  <si>
    <t>March GM Review Adjustments to Accruals [Reversing] - Subscriptions Accrue to Budget</t>
  </si>
  <si>
    <t>March GM Review Adjustments to Accruals [Reversing] - Hubspot paid Nov for 3 months, release dec to feb at 1,432.00 p/m</t>
  </si>
  <si>
    <t>March GM Review Adjustments to Accruals [Reversing] - GM Review Adjustments to Accruals [Reversing]</t>
  </si>
  <si>
    <t>March GM Review Adjustments to Accruals [Reversing] - Workers comp accrue to Budget</t>
  </si>
  <si>
    <t>March GM Review Adjustments to Accruals [Reversing] - Missing invoice for Tim- invoiced in Jan?</t>
  </si>
  <si>
    <t>March GM Review Adjustments to Accruals [Reversing] - Staff Training - ref UI training etc and Marks BI Course</t>
  </si>
  <si>
    <t>#37594</t>
  </si>
  <si>
    <t>GM March Accrual Adjustments - Reduce Servoy Contingency as now agreement in place</t>
  </si>
  <si>
    <t>GM March Accrual Adjustments - Reduce Marketing as actual commitments: Google adds = misc 2k, Lead hunting 3k, other 5k</t>
  </si>
  <si>
    <t>GM March Accrual Adjustments - GM March Accrual Adjustments</t>
  </si>
  <si>
    <t>GM March Accrual Adjustments - Reduce Sentify accrual against invoice received</t>
  </si>
  <si>
    <t>#37407</t>
  </si>
  <si>
    <t>#37556</t>
  </si>
  <si>
    <t>Annual leave and long service leave provision as of March - Annual leave and long service leave provision</t>
  </si>
  <si>
    <t>Total BAS Excluded</t>
  </si>
  <si>
    <t>BAS Excluded - Unfiled Amounts</t>
  </si>
  <si>
    <t>31/10/2021</t>
  </si>
  <si>
    <t>#36698</t>
  </si>
  <si>
    <t>Annual leave and long service leave provision as of October - Annual leave and long service leave provision</t>
  </si>
  <si>
    <t>#36784</t>
  </si>
  <si>
    <t>GM Review Adjustments to Accruals [Reversing] - Cloud ref AWS Invoice invoiced next month</t>
  </si>
  <si>
    <t>GM Review Adjustments to Accruals [Reversing] - Take out DY Invoiced in advance</t>
  </si>
  <si>
    <t>GM Review Adjustments to Accruals [Reversing] - Accrue Spearhead</t>
  </si>
  <si>
    <t>GM Review Adjustments to Accruals [Reversing] - Servoy Contingency</t>
  </si>
  <si>
    <t>GM Review Adjustments to Accruals [Reversing] - TS Plus contingency</t>
  </si>
  <si>
    <t>GM Review Adjustments to Accruals [Reversing] - Marketing Accrue to Budget</t>
  </si>
  <si>
    <t>GM Review Adjustments to Accruals [Reversing] - Lopa &amp; Rajeev Invoiced next month</t>
  </si>
  <si>
    <t>GM Review Adjustments to Accruals [Reversing] - Payroll Tax accrue to Budget</t>
  </si>
  <si>
    <t>GM Review Adjustments to Accruals [Reversing] - Travel National accrue to Budget</t>
  </si>
  <si>
    <t>GM Review Adjustments to Accruals [Reversing] - Wages - Accrue for last  days</t>
  </si>
  <si>
    <t>GM Review Adjustments to Accruals [Reversing] - Wages - Commissions - accrue to Budget</t>
  </si>
  <si>
    <t xml:space="preserve">GM Review Adjustments to Accruals [Reversing] - Accountant Accrue to Budget
 </t>
  </si>
  <si>
    <t>GM Review Adjustments to Accruals [Reversing] - Consultants ref Sentify accrue to Budget</t>
  </si>
  <si>
    <t>GM Review Adjustments to Accruals [Reversing] - Legal Accrue to Budget</t>
  </si>
  <si>
    <t>GM Review Adjustments to Accruals [Reversing] - Staff Training - Accrue to Budget</t>
  </si>
  <si>
    <t>GM Review Adjustments to Accruals [Reversing] - Subscriptions Accrue to Budget</t>
  </si>
  <si>
    <t>GM Review Adjustments to Accruals [Reversing] - GM Review Adjustments to Accruals [Reversing]</t>
  </si>
  <si>
    <t>#36733</t>
  </si>
  <si>
    <t>01/11/2021</t>
  </si>
  <si>
    <t>#36786</t>
  </si>
  <si>
    <t>Reversal: GM Review Adjustments to Accruals [Reversing] - Cloud ref AWS Invoice invoiced next month</t>
  </si>
  <si>
    <t>Reversal: GM Review Adjustments to Accruals [Reversing] - Take out DY Invoiced in advance</t>
  </si>
  <si>
    <t>Reversal: GM Review Adjustments to Accruals [Reversing] - Accrue Spearhead</t>
  </si>
  <si>
    <t>Reversal: GM Review Adjustments to Accruals [Reversing] - Servoy Contingency</t>
  </si>
  <si>
    <t>Reversal: GM Review Adjustments to Accruals [Reversing] - TS Plus contingency</t>
  </si>
  <si>
    <t>Reversal: GM Review Adjustments to Accruals [Reversing] - Marketing Accrue to Budget</t>
  </si>
  <si>
    <t>Reversal: GM Review Adjustments to Accruals [Reversing] - Lopa &amp; Rajeev Invoiced next month</t>
  </si>
  <si>
    <t>Reversal: GM Review Adjustments to Accruals [Reversing] - Payroll Tax accrue to Budget</t>
  </si>
  <si>
    <t>Reversal: GM Review Adjustments to Accruals [Reversing] - Travel National accrue to Budget</t>
  </si>
  <si>
    <t>Reversal: GM Review Adjustments to Accruals [Reversing] - Wages - Accrue for last  days</t>
  </si>
  <si>
    <t>Reversal: GM Review Adjustments to Accruals [Reversing] - Wages - Commissions - accrue to Budget</t>
  </si>
  <si>
    <t xml:space="preserve">Reversal: GM Review Adjustments to Accruals [Reversing] - Accountant Accrue to Budget
 </t>
  </si>
  <si>
    <t>Reversal: GM Review Adjustments to Accruals [Reversing] - Consultants ref Sentify accrue to Budget</t>
  </si>
  <si>
    <t>Reversal: GM Review Adjustments to Accruals [Reversing] - Legal Accrue to Budget</t>
  </si>
  <si>
    <t>Reversal: GM Review Adjustments to Accruals [Reversing] - Staff Training - Accrue to Budget</t>
  </si>
  <si>
    <t>Reversal: GM Review Adjustments to Accruals [Reversing] - Subscriptions Accrue to Budget</t>
  </si>
  <si>
    <t>Reversal: GM Review Adjustments to Accruals [Reversing] - GM Review Adjustments to Accruals [Reversing]</t>
  </si>
  <si>
    <t>#36820</t>
  </si>
  <si>
    <t>#36702</t>
  </si>
  <si>
    <t>Annual leave and long service leave provision as of November - Annual leave and long service leave provision</t>
  </si>
  <si>
    <t>#36734</t>
  </si>
  <si>
    <t>#36832</t>
  </si>
  <si>
    <t>November GM Review Adjustments to Accruals [Reversing] - Cloud ref AWS Invoice invoiced next month</t>
  </si>
  <si>
    <t>November GM Review Adjustments to Accruals [Reversing] - Take out DY Invoiced in advance</t>
  </si>
  <si>
    <t>November GM Review Adjustments to Accruals [Reversing] - Accrue Spearhead</t>
  </si>
  <si>
    <t>November GM Review Adjustments to Accruals [Reversing] - Servoy Contingency</t>
  </si>
  <si>
    <t>November GM Review Adjustments to Accruals [Reversing] - TS Plus contingency</t>
  </si>
  <si>
    <t>November GM Review Adjustments to Accruals [Reversing] - Marketing Accrue to Budget</t>
  </si>
  <si>
    <t>November GM Review Adjustments to Accruals [Reversing] - Lopa &amp; Rajeev Invoiced next month</t>
  </si>
  <si>
    <t>November GM Review Adjustments to Accruals [Reversing] - Payroll Tax accrue to Budget</t>
  </si>
  <si>
    <t>November GM Review Adjustments to Accruals [Reversing] - Travel National accrue to Budget</t>
  </si>
  <si>
    <t>November GM Review Adjustments to Accruals [Reversing] - Wages - Accrue for last 2 days</t>
  </si>
  <si>
    <t>November GM Review Adjustments to Accruals [Reversing] - Wages - Commissions - accrue to Budget</t>
  </si>
  <si>
    <t xml:space="preserve">November GM Review Adjustments to Accruals [Reversing] - Accountant Accrue to Budget
 </t>
  </si>
  <si>
    <t>November GM Review Adjustments to Accruals [Reversing] - Consultants ref Sentify accrue to Budget</t>
  </si>
  <si>
    <t>November GM Review Adjustments to Accruals [Reversing] - Legal Accrue to Budget</t>
  </si>
  <si>
    <t>November GM Review Adjustments to Accruals [Reversing] - Staff Training - Accrue to Budget</t>
  </si>
  <si>
    <t>November GM Review Adjustments to Accruals [Reversing] - Subscriptions Accrue to Budget</t>
  </si>
  <si>
    <t>November GM Review Adjustments to Accruals [Reversing] - Hubspot paid Nov for 3 months, release dec to feb at 1,432.00 p/m</t>
  </si>
  <si>
    <t>November GM Review Adjustments to Accruals [Reversing] - GM Review Adjustments to Accruals [Reversing]</t>
  </si>
  <si>
    <t>#36704</t>
  </si>
  <si>
    <t>Reversal:Annual leave and long service leave provision as of November - Annual leave and long service leave provision</t>
  </si>
  <si>
    <t>#36834</t>
  </si>
  <si>
    <t>Reversal: November GM Review Adjustments to Accruals [Reversing] - Cloud ref AWS Invoice invoiced next month</t>
  </si>
  <si>
    <t>Reversal: November GM Review Adjustments to Accruals [Reversing] - Take out DY Invoiced in advance</t>
  </si>
  <si>
    <t>Reversal: November GM Review Adjustments to Accruals [Reversing] - Accrue Spearhead</t>
  </si>
  <si>
    <t>Reversal: November GM Review Adjustments to Accruals [Reversing] - Servoy Contingency</t>
  </si>
  <si>
    <t>Reversal: November GM Review Adjustments to Accruals [Reversing] - TS Plus contingency</t>
  </si>
  <si>
    <t>Reversal: November GM Review Adjustments to Accruals [Reversing] - Marketing Accrue to Budget</t>
  </si>
  <si>
    <t>Reversal: November GM Review Adjustments to Accruals [Reversing] - Lopa &amp; Rajeev Invoiced next month</t>
  </si>
  <si>
    <t>Reversal: November GM Review Adjustments to Accruals [Reversing] - Payroll Tax accrue to Budget</t>
  </si>
  <si>
    <t>Reversal: November GM Review Adjustments to Accruals [Reversing] - Travel National accrue to Budget</t>
  </si>
  <si>
    <t>Reversal: November GM Review Adjustments to Accruals [Reversing] - Wages - Accrue for last 2 days</t>
  </si>
  <si>
    <t>Reversal: November GM Review Adjustments to Accruals [Reversing] - Wages - Commissions - accrue to Budget</t>
  </si>
  <si>
    <t xml:space="preserve">Reversal: November GM Review Adjustments to Accruals [Reversing] - Accountant Accrue to Budget
 </t>
  </si>
  <si>
    <t>Reversal: November GM Review Adjustments to Accruals [Reversing] - Consultants ref Sentify accrue to Budget</t>
  </si>
  <si>
    <t>Reversal: November GM Review Adjustments to Accruals [Reversing] - Legal Accrue to Budget</t>
  </si>
  <si>
    <t>Reversal: November GM Review Adjustments to Accruals [Reversing] - Staff Training - Accrue to Budget</t>
  </si>
  <si>
    <t>Reversal: November GM Review Adjustments to Accruals [Reversing] - Subscriptions Accrue to Budget</t>
  </si>
  <si>
    <t>Reversal: November GM Review Adjustments to Accruals [Reversing] - Hubspot paid Nov for 3 months, release dec to feb at 1,432.00 p/m</t>
  </si>
  <si>
    <t>Reversal: November GM Review Adjustments to Accruals [Reversing] - GM Review Adjustments to Accruals [Reversing]</t>
  </si>
  <si>
    <t>31/12/2021</t>
  </si>
  <si>
    <t>#36735</t>
  </si>
  <si>
    <t>#36836</t>
  </si>
  <si>
    <t>December GM Review Adjustments to Accruals [Reversing] - Cloud ref AWS Invoice invoiced next month</t>
  </si>
  <si>
    <t>December GM Review Adjustments to Accruals [Reversing] - Take out DY Invoiced in advance</t>
  </si>
  <si>
    <t>December GM Review Adjustments to Accruals [Reversing] - Accrue Spearhead</t>
  </si>
  <si>
    <t>December GM Review Adjustments to Accruals [Reversing] - Servoy Contingency</t>
  </si>
  <si>
    <t>December GM Review Adjustments to Accruals [Reversing] - TS Plus contingency</t>
  </si>
  <si>
    <t>December GM Review Adjustments to Accruals [Reversing] - Marketing Accrue to Budget</t>
  </si>
  <si>
    <t>December GM Review Adjustments to Accruals [Reversing] - Lopa &amp; Rajeev Invoiced next month</t>
  </si>
  <si>
    <t>December GM Review Adjustments to Accruals [Reversing] - Payroll Tax accrue to Budget</t>
  </si>
  <si>
    <t>December GM Review Adjustments to Accruals [Reversing] - Travel National accrue to Budget</t>
  </si>
  <si>
    <t>December GM Review Adjustments to Accruals [Reversing] - Wages - Accrue for last 5 days</t>
  </si>
  <si>
    <t>December GM Review Adjustments to Accruals [Reversing] - Wages - Commissions - accrue to Budget</t>
  </si>
  <si>
    <t xml:space="preserve">December GM Review Adjustments to Accruals [Reversing] - Accountant Accrue to Budget
 </t>
  </si>
  <si>
    <t>December GM Review Adjustments to Accruals [Reversing] - Consultants ref Sentify accrue to Budget</t>
  </si>
  <si>
    <t>December GM Review Adjustments to Accruals [Reversing] - Legal Accrue to Budget</t>
  </si>
  <si>
    <t>December GM Review Adjustments to Accruals [Reversing] - Subscriptions Accrue to Budget</t>
  </si>
  <si>
    <t>December GM Review Adjustments to Accruals [Reversing] - Hubspot paid Nov for 3 months, release dec to feb at 1,432.00 p/m</t>
  </si>
  <si>
    <t>December GM Review Adjustments to Accruals [Reversing] - GM Review Adjustments to Accruals [Reversing]</t>
  </si>
  <si>
    <t>December GM Review Adjustments to Accruals [Reversing] - Wolrkers comp accrue to Budget</t>
  </si>
  <si>
    <t>#36842</t>
  </si>
  <si>
    <t>Adjust Dec Annual Leave due to large movement in January when most leave actually taken - Adjust Dec Annual Leave due to large movement in January when most leave actually taken</t>
  </si>
  <si>
    <t>#36706</t>
  </si>
  <si>
    <t>Annual leave and long service leave provision as of December - Annual leave and long service leave provision</t>
  </si>
  <si>
    <t>Total BAS Excluded - Unfiled Amounts</t>
  </si>
  <si>
    <t>Transactions by BAS Field</t>
  </si>
  <si>
    <t>G1 - Total Sales</t>
  </si>
  <si>
    <t>1A - GST on Sales</t>
  </si>
  <si>
    <t>1B - GST on Purchases</t>
  </si>
  <si>
    <t>Balance Sheet</t>
  </si>
  <si>
    <t>Please use the same formate. Kindly refer screenshot</t>
  </si>
  <si>
    <t>As at 31 March 2022</t>
  </si>
  <si>
    <t>31 Mar 2022</t>
  </si>
  <si>
    <t>31 Dec 2021</t>
  </si>
  <si>
    <t>30 Sep 2021</t>
  </si>
  <si>
    <t>Assets</t>
  </si>
  <si>
    <t xml:space="preserve">   Bank</t>
  </si>
  <si>
    <t xml:space="preserve">   FireBird Account</t>
  </si>
  <si>
    <t xml:space="preserve">   TSM Debit Card Account</t>
  </si>
  <si>
    <t xml:space="preserve">   TSM No1 Account</t>
  </si>
  <si>
    <t xml:space="preserve">   TSM No2 Account</t>
  </si>
  <si>
    <t xml:space="preserve">   Total Bank</t>
  </si>
  <si>
    <t xml:space="preserve">   Current Assets</t>
  </si>
  <si>
    <t xml:space="preserve">   Accounts Receivable</t>
  </si>
  <si>
    <t xml:space="preserve">   Bank Deposit for Credit Card</t>
  </si>
  <si>
    <t xml:space="preserve">   IntegraPay Clearing Account</t>
  </si>
  <si>
    <t xml:space="preserve">   Prepayments</t>
  </si>
  <si>
    <t xml:space="preserve">   Short Term Cash Loans</t>
  </si>
  <si>
    <t xml:space="preserve">   Total Current Assets</t>
  </si>
  <si>
    <t xml:space="preserve">   Fixed Assets</t>
  </si>
  <si>
    <t xml:space="preserve">   Computer Software - at Cost</t>
  </si>
  <si>
    <t xml:space="preserve">   Computer Software - Less Accumulated Depreciation</t>
  </si>
  <si>
    <t xml:space="preserve">   HP Financed Items - Less Accumulated Depreciation</t>
  </si>
  <si>
    <t xml:space="preserve">   HP Financed Items - Proware AUSS4 - $15,341</t>
  </si>
  <si>
    <t xml:space="preserve">   HP Financed Items - Proware AUSS6 - $20,000</t>
  </si>
  <si>
    <t xml:space="preserve">   HP Financed Items - Proware AUSS9 - $20,000</t>
  </si>
  <si>
    <t xml:space="preserve">   Total Fixed Assets</t>
  </si>
  <si>
    <t xml:space="preserve">   Non-current Assets</t>
  </si>
  <si>
    <t xml:space="preserve">   Deposit ref Offshore Contractors</t>
  </si>
  <si>
    <t xml:space="preserve">   Software &amp; Customer Database</t>
  </si>
  <si>
    <t xml:space="preserve">   Total Non-current Assets</t>
  </si>
  <si>
    <t>Total Assets</t>
  </si>
  <si>
    <t>Liabilities</t>
  </si>
  <si>
    <t xml:space="preserve">   Current Liabilities</t>
  </si>
  <si>
    <t xml:space="preserve">   Accounts Payable</t>
  </si>
  <si>
    <t xml:space="preserve">   Accrued Expenses</t>
  </si>
  <si>
    <t xml:space="preserve">   Annual Leave [&amp; LSL ]Provision</t>
  </si>
  <si>
    <t xml:space="preserve">   GST Payable</t>
  </si>
  <si>
    <t xml:space="preserve">   Income Tax Payable</t>
  </si>
  <si>
    <t xml:space="preserve">   PAYG withholdings Payable</t>
  </si>
  <si>
    <t xml:space="preserve">   Superannuation Payable</t>
  </si>
  <si>
    <t xml:space="preserve">   Total Current Liabilities</t>
  </si>
  <si>
    <t xml:space="preserve">   Non-Current Liabilities</t>
  </si>
  <si>
    <t xml:space="preserve">   Deferred Revenue Evolution Subscriptions</t>
  </si>
  <si>
    <t xml:space="preserve">   Deferred Revenue Maintenance</t>
  </si>
  <si>
    <t xml:space="preserve">   St George 10 year Covid Recovery Business Loan</t>
  </si>
  <si>
    <t xml:space="preserve">   St George Loan Principal repayments</t>
  </si>
  <si>
    <t xml:space="preserve">   Total Non-Current Liabilities</t>
  </si>
  <si>
    <t>Total Liabilities</t>
  </si>
  <si>
    <t>Net Assets</t>
  </si>
  <si>
    <t>Equity</t>
  </si>
  <si>
    <t>Current Year Earnings</t>
  </si>
  <si>
    <t>Income Tax Expense.</t>
  </si>
  <si>
    <t>Ordinary Shares</t>
  </si>
  <si>
    <t>Retained Earnings</t>
  </si>
  <si>
    <t>Share Options</t>
  </si>
  <si>
    <t>Total Equity</t>
  </si>
  <si>
    <t>Notes:</t>
  </si>
  <si>
    <t>1: Figures converted into Australian Dollar using the following rate:_x000D_
36.9652 PHP Philippine Peso per AUD. Rate provided by XE.com on 31 Dec 2021.</t>
  </si>
  <si>
    <t>2: Figures converted into Australian Dollar using the following rate:_x000D_
36.7658 PHP Philippine Peso per AUD. Rate provided by XE.com on 30 Sep 2021.</t>
  </si>
  <si>
    <t>Profit and Loss</t>
  </si>
  <si>
    <t>For the 3 months ended 31 March 2022</t>
  </si>
  <si>
    <t>Mar-22</t>
  </si>
  <si>
    <t>Dec-21</t>
  </si>
  <si>
    <t>Sep-21</t>
  </si>
  <si>
    <t>YTD</t>
  </si>
  <si>
    <t>Income</t>
  </si>
  <si>
    <t>Civid-19 Lost Revenue</t>
  </si>
  <si>
    <t>Establishment Upfront Charges</t>
  </si>
  <si>
    <t>Evolution Subscription</t>
  </si>
  <si>
    <t>Maintenance Subscription</t>
  </si>
  <si>
    <t>One-off License</t>
  </si>
  <si>
    <t>Other Revenue</t>
  </si>
  <si>
    <t>Professional Services</t>
  </si>
  <si>
    <t>Total Income</t>
  </si>
  <si>
    <t>Less Cost of Sales</t>
  </si>
  <si>
    <t>Cloud Services including AWS</t>
  </si>
  <si>
    <t>Contractors - Developers Domestic</t>
  </si>
  <si>
    <t>Contractors - Developers International</t>
  </si>
  <si>
    <t>Licencing Fees</t>
  </si>
  <si>
    <t>Marketing Activities</t>
  </si>
  <si>
    <t>Messaging Services</t>
  </si>
  <si>
    <t>Payroll Tax</t>
  </si>
  <si>
    <t>Provision for Annual Leave Expenses</t>
  </si>
  <si>
    <t>Superannuation</t>
  </si>
  <si>
    <t>Travel - National</t>
  </si>
  <si>
    <t>Wages and Salaries</t>
  </si>
  <si>
    <t>Wages and Salaries - Commission and Bonus</t>
  </si>
  <si>
    <t>Workers Compensation</t>
  </si>
  <si>
    <t>Total Cost of Sales</t>
  </si>
  <si>
    <t>Gross Profit</t>
  </si>
  <si>
    <t>Plus Other Income</t>
  </si>
  <si>
    <t>State Govt Grants</t>
  </si>
  <si>
    <t>Total Other Income</t>
  </si>
  <si>
    <t>Less Operating Expenses</t>
  </si>
  <si>
    <t>Accountant and Bookkeeper</t>
  </si>
  <si>
    <t>Bad Debts</t>
  </si>
  <si>
    <t>Bank Fees</t>
  </si>
  <si>
    <t>Computer Accessories/Equipments</t>
  </si>
  <si>
    <t>Consultants - Management</t>
  </si>
  <si>
    <t>Depreciation - HP Financed Assets</t>
  </si>
  <si>
    <t>Donations</t>
  </si>
  <si>
    <t>Filing Fees</t>
  </si>
  <si>
    <t>Foreign Currency Gains and Losses</t>
  </si>
  <si>
    <t>Insurance</t>
  </si>
  <si>
    <t>Interest Expense</t>
  </si>
  <si>
    <t>Legal expenses</t>
  </si>
  <si>
    <t>Merchant Fees</t>
  </si>
  <si>
    <t>Printing &amp; Stationery</t>
  </si>
  <si>
    <t>Recruitment Costs</t>
  </si>
  <si>
    <t>Staff amenities</t>
  </si>
  <si>
    <t>Staff Training Expense</t>
  </si>
  <si>
    <t>Subscriptions</t>
  </si>
  <si>
    <t>Superannuation - Management</t>
  </si>
  <si>
    <t>Telephone</t>
  </si>
  <si>
    <t>Wages &amp; Salaries allocation to Management Overhead</t>
  </si>
  <si>
    <t>Total Operating Expenses</t>
  </si>
  <si>
    <t>Net Profit</t>
  </si>
  <si>
    <t>Payroll Activity Summary</t>
  </si>
  <si>
    <t>From 1 March 2022 to 31 March 2022</t>
  </si>
  <si>
    <t>Please check the Payroll frequency</t>
  </si>
  <si>
    <t>Pay Item Type</t>
  </si>
  <si>
    <t>Pay Item</t>
  </si>
  <si>
    <t>Units</t>
  </si>
  <si>
    <t>Amount</t>
  </si>
  <si>
    <t>Earnings</t>
  </si>
  <si>
    <t>Annual Leave</t>
  </si>
  <si>
    <t>Commissions</t>
  </si>
  <si>
    <t>Compassionate Leave</t>
  </si>
  <si>
    <t>Compassionate Leave (paid)</t>
  </si>
  <si>
    <t>Labour Day (14 Mar 2022)</t>
  </si>
  <si>
    <t>Ordinary Hours</t>
  </si>
  <si>
    <t>Personal/Carer's Leave</t>
  </si>
  <si>
    <t>Working from Home Allowance</t>
  </si>
  <si>
    <t>Deduction</t>
  </si>
  <si>
    <t>Pre-Tax Voluntary Contribution (RESC)</t>
  </si>
  <si>
    <t>Excluded from W1</t>
  </si>
  <si>
    <t>Tax</t>
  </si>
  <si>
    <t>STSL Component</t>
  </si>
  <si>
    <t>Super</t>
  </si>
  <si>
    <t>Superannuation Guarantee Contribution (SGC)</t>
  </si>
  <si>
    <t xml:space="preserve"> </t>
  </si>
  <si>
    <t>Net Pay</t>
  </si>
  <si>
    <t>Payment</t>
  </si>
  <si>
    <t>Aged Payables Detail</t>
  </si>
  <si>
    <t>please include Outstanding GST, refer screenshot</t>
  </si>
  <si>
    <t>Ageing by due date</t>
  </si>
  <si>
    <t>Invoice Date</t>
  </si>
  <si>
    <t>Due Date</t>
  </si>
  <si>
    <t>Invoice Reference</t>
  </si>
  <si>
    <t>Current</t>
  </si>
  <si>
    <t>&lt; 1 Month</t>
  </si>
  <si>
    <t>1 Month</t>
  </si>
  <si>
    <t>2 Months</t>
  </si>
  <si>
    <t>3 Months</t>
  </si>
  <si>
    <t>Older</t>
  </si>
  <si>
    <t>Outstanding GST</t>
  </si>
  <si>
    <t>ARBS EXHIBITIONS LIMITED</t>
  </si>
  <si>
    <t>Total ARBS EXHIBITIONS LIMITED</t>
  </si>
  <si>
    <t>Dexterous Group Pty Limited</t>
  </si>
  <si>
    <t>Total Dexterous Group Pty Limited</t>
  </si>
  <si>
    <t>Janette King</t>
  </si>
  <si>
    <t>Total Janette King</t>
  </si>
  <si>
    <t>Sentify Pty. Ltd</t>
  </si>
  <si>
    <t>Total Sentify Pty. Ltd</t>
  </si>
  <si>
    <t>St George Bank</t>
  </si>
  <si>
    <t>Total St George Bank</t>
  </si>
  <si>
    <t>Percentage of total</t>
  </si>
  <si>
    <t>Aged Receivables Detail</t>
  </si>
  <si>
    <t>As at 5 May 2022</t>
  </si>
  <si>
    <t>Invoice Number</t>
  </si>
  <si>
    <t>12th Man Services Pty Ltd</t>
  </si>
  <si>
    <t>INV-5736</t>
  </si>
  <si>
    <t>01/06/2022 - 31/08/2022 TSM Evolution Quarterly Subscription</t>
  </si>
  <si>
    <t>Total 12th Man Services Pty Ltd</t>
  </si>
  <si>
    <t>AE Roberts Electrical</t>
  </si>
  <si>
    <t>INV-5749</t>
  </si>
  <si>
    <t>JUNE 2022 TSM Monthly Evolution Subscription</t>
  </si>
  <si>
    <t>Total AE Roberts Electrical</t>
  </si>
  <si>
    <t>Airforce Pty Ltd</t>
  </si>
  <si>
    <t>INV-5784</t>
  </si>
  <si>
    <t>JUNE 2022 TSM Evolution Monthly Subscription</t>
  </si>
  <si>
    <t>Total Airforce Pty Ltd</t>
  </si>
  <si>
    <t>Airtron Services Pty Ltd</t>
  </si>
  <si>
    <t>INV-5718</t>
  </si>
  <si>
    <t>TD-5660 TSM Professional Services</t>
  </si>
  <si>
    <t>Total Airtron Services Pty Ltd</t>
  </si>
  <si>
    <t>Alarm Asset's Group</t>
  </si>
  <si>
    <t>INV-5751</t>
  </si>
  <si>
    <t>01/06/2022 - 31/05/2023 TSM Enterprise Annual Maintenance and Support</t>
  </si>
  <si>
    <t>Total Alarm Asset's Group</t>
  </si>
  <si>
    <t>Allcom Holdings (WA) Pty Limited</t>
  </si>
  <si>
    <t>INV-5729</t>
  </si>
  <si>
    <t>01/06//2022 - 31/05/2023 TSM annual support and maintenance renewal</t>
  </si>
  <si>
    <t>Total Allcom Holdings (WA) Pty Limited</t>
  </si>
  <si>
    <t>Alpine Refrigeration and Air Conditioning</t>
  </si>
  <si>
    <t>INV-5781</t>
  </si>
  <si>
    <t>01/06/2022 - 31/08/2022 TSM Quarterly evolution tariff</t>
  </si>
  <si>
    <t>Total Alpine Refrigeration and Air Conditioning</t>
  </si>
  <si>
    <t>Appliance Services Australia</t>
  </si>
  <si>
    <t>INV-5760</t>
  </si>
  <si>
    <t>01/06/2022 - 31/08/2022 TSM Quarterly Evolution Subscription</t>
  </si>
  <si>
    <t>Total Appliance Services Australia</t>
  </si>
  <si>
    <t>Arrowsmith &amp; Grant</t>
  </si>
  <si>
    <t>INV-5763</t>
  </si>
  <si>
    <t>MAY 2022 TSM  Evolution Subscription</t>
  </si>
  <si>
    <t>Total Arrowsmith &amp; Grant</t>
  </si>
  <si>
    <t>Aston Air Conditioning &amp; Refrigeration</t>
  </si>
  <si>
    <t>INV-5672</t>
  </si>
  <si>
    <t>01/05/2022 - 31/07/2022  TSM Quarterly Evolution Subscription</t>
  </si>
  <si>
    <t>INV-5712</t>
  </si>
  <si>
    <t>TSM 1000 SMS</t>
  </si>
  <si>
    <t>Total Aston Air Conditioning &amp; Refrigeration</t>
  </si>
  <si>
    <t>ASV Computing Solutions Pty Ltd</t>
  </si>
  <si>
    <t>CN-5503</t>
  </si>
  <si>
    <t>Total ASV Computing Solutions Pty Ltd</t>
  </si>
  <si>
    <t>Australian Graphic Servicing Pty Ltd</t>
  </si>
  <si>
    <t>INV-5788</t>
  </si>
  <si>
    <t>MAY 2022 TSM Evolution Subscription</t>
  </si>
  <si>
    <t>Total Australian Graphic Servicing Pty Ltd</t>
  </si>
  <si>
    <t>AUSTRALIAN INTEGRATED SECURITY PTY LTD</t>
  </si>
  <si>
    <t>INV-5782</t>
  </si>
  <si>
    <t>MAY 2022 TSM Evolution monthly Subscription</t>
  </si>
  <si>
    <t>Total AUSTRALIAN INTEGRATED SECURITY PTY LTD</t>
  </si>
  <si>
    <t>BEMS Pty Ltd</t>
  </si>
  <si>
    <t>INV-5631</t>
  </si>
  <si>
    <t>01/05/2022 - 31/07/2022 TSM Evolution Tariff</t>
  </si>
  <si>
    <t>Total BEMS Pty Ltd</t>
  </si>
  <si>
    <t>BESAM AUSTRALIA PTY LTD</t>
  </si>
  <si>
    <t>INV-5647</t>
  </si>
  <si>
    <t>01/05/2022 - 30/04/2023  TSM Annual Maintenance Renewal</t>
  </si>
  <si>
    <t>Total BESAM AUSTRALIA PTY LTD</t>
  </si>
  <si>
    <t>Bourke Air Pty Ltd</t>
  </si>
  <si>
    <t>INV-5761</t>
  </si>
  <si>
    <t>JUNE 2022 TSM Monthly Subscription</t>
  </si>
  <si>
    <t>Total Bourke Air Pty Ltd</t>
  </si>
  <si>
    <t>Brullen Pty Ltd</t>
  </si>
  <si>
    <t>INV-5794</t>
  </si>
  <si>
    <t>MAY 2022 - TSM Evolution monthly Subscription</t>
  </si>
  <si>
    <t>Total Brullen Pty Ltd</t>
  </si>
  <si>
    <t>Catering Equipment Repairs</t>
  </si>
  <si>
    <t>INV-5741</t>
  </si>
  <si>
    <t>Total Catering Equipment Repairs</t>
  </si>
  <si>
    <t>CBT (Credible Building Technologies P/L)</t>
  </si>
  <si>
    <t>INV-5754</t>
  </si>
  <si>
    <t>01/06/2022 - 31/08/2022 TSM Quarterly Maintenance and Support Renewal</t>
  </si>
  <si>
    <t>Total CBT (Credible Building Technologies P/L)</t>
  </si>
  <si>
    <t>Centre State Computer Maintenance Pty Ltd</t>
  </si>
  <si>
    <t>INV-5739</t>
  </si>
  <si>
    <t>01/06/2022 - 31/08/2022 TSM Evolution Subscription</t>
  </si>
  <si>
    <t>Total Centre State Computer Maintenance Pty Ltd</t>
  </si>
  <si>
    <t>Chute Services Australia</t>
  </si>
  <si>
    <t>INV-5767</t>
  </si>
  <si>
    <t>Total Chute Services Australia</t>
  </si>
  <si>
    <t>CJ Pearce Pty Ltd</t>
  </si>
  <si>
    <t>INV-5735</t>
  </si>
  <si>
    <t>Total CJ Pearce Pty Ltd</t>
  </si>
  <si>
    <t>Clem Tech Pty Ltd</t>
  </si>
  <si>
    <t>INV-5753</t>
  </si>
  <si>
    <t>Total Clem Tech Pty Ltd</t>
  </si>
  <si>
    <t>CMS Engineering Pty Ltd</t>
  </si>
  <si>
    <t>INV-5610</t>
  </si>
  <si>
    <t>Total CMS Engineering Pty Ltd</t>
  </si>
  <si>
    <t>Compressors Australia Pty Ltd</t>
  </si>
  <si>
    <t>INV-5733</t>
  </si>
  <si>
    <t>01/06/2022 - 31/08/2022  TSM Quarterly Evolution Subscription</t>
  </si>
  <si>
    <t>Total Compressors Australia Pty Ltd</t>
  </si>
  <si>
    <t>Consolidated Fire &amp; Steam Pty Ltd</t>
  </si>
  <si>
    <t>INV-5785</t>
  </si>
  <si>
    <t>Total Consolidated Fire &amp; Steam Pty Ltd</t>
  </si>
  <si>
    <t>CORPORATE AIR VIC PTY LTD</t>
  </si>
  <si>
    <t>INV-5728</t>
  </si>
  <si>
    <t>12/06/2022 - 11/06/2023 TSM annual mobile renewal</t>
  </si>
  <si>
    <t>Total CORPORATE AIR VIC PTY LTD</t>
  </si>
  <si>
    <t>Daark Investments Pty Ltd</t>
  </si>
  <si>
    <t>INV-5746</t>
  </si>
  <si>
    <t>Total Daark Investments Pty Ltd</t>
  </si>
  <si>
    <t>Dean Tapp Maintenance</t>
  </si>
  <si>
    <t>INV-5740</t>
  </si>
  <si>
    <t>01/06/2022 - 31/08/2022 TSM Quarterly  Evolution Subscription</t>
  </si>
  <si>
    <t>Total Dean Tapp Maintenance</t>
  </si>
  <si>
    <t>Diverse Mechanical Solutions Pty Ltd</t>
  </si>
  <si>
    <t>INV-5778</t>
  </si>
  <si>
    <t>Total Diverse Mechanical Solutions Pty Ltd</t>
  </si>
  <si>
    <t>Eastern Suburbs Garage Doors</t>
  </si>
  <si>
    <t>INV-5734</t>
  </si>
  <si>
    <t>MAY 2022 TSM Monthly Evolution Tariff</t>
  </si>
  <si>
    <t>Total Eastern Suburbs Garage Doors</t>
  </si>
  <si>
    <t>Electro-Mechanical Services Pty Ltd</t>
  </si>
  <si>
    <t>INV-5732</t>
  </si>
  <si>
    <t>01/06/2021 -31/08/2022 TSM Quarterly Evolution Subscription</t>
  </si>
  <si>
    <t>Total Electro-Mechanical Services Pty Ltd</t>
  </si>
  <si>
    <t>Ellis Airconditioning (QLD) Pty Ltd</t>
  </si>
  <si>
    <t>INV-5795</t>
  </si>
  <si>
    <t>15/05/2022 - 14/08/2022  TSM quarterly Evolution Subscription</t>
  </si>
  <si>
    <t>Total Ellis Airconditioning (QLD) Pty Ltd</t>
  </si>
  <si>
    <t>Ellis Airconditioning Pty Ltd</t>
  </si>
  <si>
    <t>INV-5780</t>
  </si>
  <si>
    <t>15/05/2022 - 14/08/2022 TSM Evolution Quarterly Subscription</t>
  </si>
  <si>
    <t>Total Ellis Airconditioning Pty Ltd</t>
  </si>
  <si>
    <t>Evotec Pty Ltd</t>
  </si>
  <si>
    <t>INV-5699</t>
  </si>
  <si>
    <t>Total Evotec Pty Ltd</t>
  </si>
  <si>
    <t>Finsbury Service Doc Pump pty Ltd</t>
  </si>
  <si>
    <t>INV-5745</t>
  </si>
  <si>
    <t>11/06/2021 - 10/09/2022 TSM Evolution Quarterly Subscription</t>
  </si>
  <si>
    <t>Total Finsbury Service Doc Pump pty Ltd</t>
  </si>
  <si>
    <t>Floyd Industries Pty Ltd</t>
  </si>
  <si>
    <t>INV-5764</t>
  </si>
  <si>
    <t>01/06/2022 - 31/08/2022 Quarterly TSM Backup Cloud Hosting</t>
  </si>
  <si>
    <t>Total Floyd Industries Pty Ltd</t>
  </si>
  <si>
    <t>Frigcorp Building Technologies Pty Ltd</t>
  </si>
  <si>
    <t>INV-5793</t>
  </si>
  <si>
    <t>07/06/2022 - 06/06/2023 TSM [ON-Premise] Evolution Tariff - 7*BO &amp; 2*mobile</t>
  </si>
  <si>
    <t>Total Frigcorp Building Technologies Pty Ltd</t>
  </si>
  <si>
    <t>Global Food Equipment Pty Ltd</t>
  </si>
  <si>
    <t>INV-5703</t>
  </si>
  <si>
    <t>01/06/2022 - 31/05/2023 TSM Evolution Annual Subscription</t>
  </si>
  <si>
    <t>Total Global Food Equipment Pty Ltd</t>
  </si>
  <si>
    <t>Good Sight Australia Pty Ltd</t>
  </si>
  <si>
    <t>INV-5715</t>
  </si>
  <si>
    <t>TD-5615 TSM Professional services</t>
  </si>
  <si>
    <t>INV-5714</t>
  </si>
  <si>
    <t>SD-50 TSM Professional Services</t>
  </si>
  <si>
    <t>INV-5719</t>
  </si>
  <si>
    <t>TD-5661 TSM Professional Services</t>
  </si>
  <si>
    <t>INV-5743</t>
  </si>
  <si>
    <t>Total Good Sight Australia Pty Ltd</t>
  </si>
  <si>
    <t>Highlands Gas and Hot Water</t>
  </si>
  <si>
    <t>INV-5676</t>
  </si>
  <si>
    <t>01/05/2022 - 31/07/2022 TSM Quarterly Evolution Subscription</t>
  </si>
  <si>
    <t>Total Highlands Gas and Hot Water</t>
  </si>
  <si>
    <t>Hungry Jacks Pty Ltd</t>
  </si>
  <si>
    <t>INV-5695</t>
  </si>
  <si>
    <t>Total Hungry Jacks Pty Ltd</t>
  </si>
  <si>
    <t>INCITE SECURITY</t>
  </si>
  <si>
    <t>INV-5772</t>
  </si>
  <si>
    <t>01/06/2022 - 31/08/22 TSM Quarterly Evolution Subscription</t>
  </si>
  <si>
    <t>Total INCITE SECURITY</t>
  </si>
  <si>
    <t>JNJ Electrics Pty Ltd</t>
  </si>
  <si>
    <t>INV-5723</t>
  </si>
  <si>
    <t>11/05/2022 - 10/05/2023 New Services For TSM Customer: JNJ Electrics</t>
  </si>
  <si>
    <t>INV-5769</t>
  </si>
  <si>
    <t>01/06/2022 - 31/05/2023 - TSM annual support and maintenance renewal</t>
  </si>
  <si>
    <t>Total JNJ Electrics Pty Ltd</t>
  </si>
  <si>
    <t>Ken Barnes</t>
  </si>
  <si>
    <t>INV-5750</t>
  </si>
  <si>
    <t>Total Ken Barnes</t>
  </si>
  <si>
    <t>KEPLER ANALYTICS</t>
  </si>
  <si>
    <t>INV-5681</t>
  </si>
  <si>
    <t>APRIL 2022 TSM Evolution Subscription, reduced cost due to COVID-19</t>
  </si>
  <si>
    <t>INV-5755</t>
  </si>
  <si>
    <t>MAY 2022 TSM Evolution Subscription, reduced cost due to COVID-19</t>
  </si>
  <si>
    <t>Total KEPLER ANALYTICS</t>
  </si>
  <si>
    <t>Locksmith Services Pty Ltd</t>
  </si>
  <si>
    <t>INV-5678</t>
  </si>
  <si>
    <t>01/05/2022 - 31/07/2022 TSM Quarterly maintenance and support Subscription</t>
  </si>
  <si>
    <t>Total Locksmith Services Pty Ltd</t>
  </si>
  <si>
    <t>Lupica Plumbing &amp; Drainage Specialists</t>
  </si>
  <si>
    <t>INV-5770</t>
  </si>
  <si>
    <t>01/06/2022-31/05/2023 - TSM annual maintenance and support renewal</t>
  </si>
  <si>
    <t>Total Lupica Plumbing &amp; Drainage Specialists</t>
  </si>
  <si>
    <t>Matt Keene Electrical</t>
  </si>
  <si>
    <t>INV-5771</t>
  </si>
  <si>
    <t>01/06/2022 - 31/05/2023 - TSM annual maintenance and support renewal</t>
  </si>
  <si>
    <t>Total Matt Keene Electrical</t>
  </si>
  <si>
    <t>Mawes Nominess Pty Ltd t/a Lally Plumbers</t>
  </si>
  <si>
    <t>INV-5758</t>
  </si>
  <si>
    <t>JUNE 2022 TSM Mobile monthly subscription</t>
  </si>
  <si>
    <t>Total Mawes Nominess Pty Ltd t/a Lally Plumbers</t>
  </si>
  <si>
    <t>MJ Electrical</t>
  </si>
  <si>
    <t>INV-5744</t>
  </si>
  <si>
    <t>JUNE 2022 TSM Monthly maintenance and support renewal</t>
  </si>
  <si>
    <t>Total MJ Electrical</t>
  </si>
  <si>
    <t>Modus Projects</t>
  </si>
  <si>
    <t>INV-5708</t>
  </si>
  <si>
    <t>INV-5725</t>
  </si>
  <si>
    <t>INV-5730</t>
  </si>
  <si>
    <t>Total Modus Projects</t>
  </si>
  <si>
    <t>Monika Pty Ltd</t>
  </si>
  <si>
    <t>INV-5797</t>
  </si>
  <si>
    <t>03/05/2022 - 30/06/2022 TSM Additional Evolution Mobile License x 1</t>
  </si>
  <si>
    <t>Total Monika Pty Ltd</t>
  </si>
  <si>
    <t>Moore Bros Plumbing Services</t>
  </si>
  <si>
    <t>INV-5791</t>
  </si>
  <si>
    <t>MAY 2022 - TSM Monthly Subscription</t>
  </si>
  <si>
    <t>CN-5800</t>
  </si>
  <si>
    <t>TSM $1,500.00 Referral Credit</t>
  </si>
  <si>
    <t>Total Moore Bros Plumbing Services</t>
  </si>
  <si>
    <t>MT Data</t>
  </si>
  <si>
    <t>INV-5713</t>
  </si>
  <si>
    <t>TD-5558 TSM Professional Services</t>
  </si>
  <si>
    <t>Total MT Data</t>
  </si>
  <si>
    <t>National Management Group</t>
  </si>
  <si>
    <t>INV-5792</t>
  </si>
  <si>
    <t>MAY 2022 Evolution Monthly Subscription</t>
  </si>
  <si>
    <t>Total National Management Group</t>
  </si>
  <si>
    <t>North Australian Electrical</t>
  </si>
  <si>
    <t>INV-5779</t>
  </si>
  <si>
    <t>JUNE 2022 Monthly Evolution Subscription</t>
  </si>
  <si>
    <t>Total North Australian Electrical</t>
  </si>
  <si>
    <t>Nqpetro Pty Ltd</t>
  </si>
  <si>
    <t>INV-5663</t>
  </si>
  <si>
    <t>01/05/2022 - 31/07/2022 TSM Evolution Quarterly Subscription.</t>
  </si>
  <si>
    <t>Total Nqpetro Pty Ltd</t>
  </si>
  <si>
    <t>Nqpetro WA Pty Ltd</t>
  </si>
  <si>
    <t>INV-5738</t>
  </si>
  <si>
    <t>15/05/2022 - 14/08/2022 TSM Evolution Monthly Subscription</t>
  </si>
  <si>
    <t>Total Nqpetro WA Pty Ltd</t>
  </si>
  <si>
    <t>Palm Air Pty Ltd</t>
  </si>
  <si>
    <t>INV-5799</t>
  </si>
  <si>
    <t>03/05/2022 - 02/05/2023 TSM Maintenance &amp; Support</t>
  </si>
  <si>
    <t>Total Palm Air Pty Ltd</t>
  </si>
  <si>
    <t>Paulls Air (Cleanrooms Australia)</t>
  </si>
  <si>
    <t>INV-5752</t>
  </si>
  <si>
    <t>Total Paulls Air (Cleanrooms Australia)</t>
  </si>
  <si>
    <t>Pharo Cleaning Services Pty Ltd</t>
  </si>
  <si>
    <t>INV-5748</t>
  </si>
  <si>
    <t>01/06/2022 - 31/08/2022 TSM Quarterly Evolution Tariff.</t>
  </si>
  <si>
    <t>Total Pharo Cleaning Services Pty Ltd</t>
  </si>
  <si>
    <t>Pioneer Pty Ltd</t>
  </si>
  <si>
    <t>INV-5757</t>
  </si>
  <si>
    <t>1/06/2022 - 31/08/2022 TSM Evolution Quarterly Tariff</t>
  </si>
  <si>
    <t>Total Pioneer Pty Ltd</t>
  </si>
  <si>
    <t>Precision Pest Control Pty Ltd</t>
  </si>
  <si>
    <t>INV-5783</t>
  </si>
  <si>
    <t>JUNE 2022 TSM Evolution Subscription</t>
  </si>
  <si>
    <t>Total Precision Pest Control Pty Ltd</t>
  </si>
  <si>
    <t>Print &amp; Pack Australia Pty Ltd</t>
  </si>
  <si>
    <t>INV-5776</t>
  </si>
  <si>
    <t>01/06/2022 - 31/08/2022 TSM Evolution Tariff</t>
  </si>
  <si>
    <t>Total Print &amp; Pack Australia Pty Ltd</t>
  </si>
  <si>
    <t>PRIORITY PLUS PLUMBING</t>
  </si>
  <si>
    <t>CN-4460</t>
  </si>
  <si>
    <t>Credit for payment in advance</t>
  </si>
  <si>
    <t>INV-5773</t>
  </si>
  <si>
    <t>01/06/2022 - 31/08/2022  TSM Quarterly maintenance and support renewal</t>
  </si>
  <si>
    <t>Total PRIORITY PLUS PLUMBING</t>
  </si>
  <si>
    <t>Professional Security Engineering Pty Ltd</t>
  </si>
  <si>
    <t>INV-5786</t>
  </si>
  <si>
    <t>Total Professional Security Engineering Pty Ltd</t>
  </si>
  <si>
    <t>Protech Air Conditioning &amp; Electrical Pty Ltd</t>
  </si>
  <si>
    <t>INV-5775</t>
  </si>
  <si>
    <t>Total Protech Air Conditioning &amp; Electrical Pty Ltd</t>
  </si>
  <si>
    <t>Pyrosolv</t>
  </si>
  <si>
    <t>INV-5768</t>
  </si>
  <si>
    <t>1/06/2022 - 30/05/2023   TSM annual support and maintenance renewal</t>
  </si>
  <si>
    <t>Total Pyrosolv</t>
  </si>
  <si>
    <t>Regethermic</t>
  </si>
  <si>
    <t>CN-4826</t>
  </si>
  <si>
    <t>Credit ref maintenance paid in advance invoice 4825</t>
  </si>
  <si>
    <t>INV-5664</t>
  </si>
  <si>
    <t>Total Regethermic</t>
  </si>
  <si>
    <t>Rencomp Pty Ltd t/as Sci-Tek Systems</t>
  </si>
  <si>
    <t>INV-5787</t>
  </si>
  <si>
    <t>Total Rencomp Pty Ltd t/as Sci-Tek Systems</t>
  </si>
  <si>
    <t>South Eastern Airconditioning Pty Ltd t/a SEAC Air Conditioning Division</t>
  </si>
  <si>
    <t>INV-5789</t>
  </si>
  <si>
    <t>Total South Eastern Airconditioning Pty Ltd t/a SEAC Air Conditioning Division</t>
  </si>
  <si>
    <t>Southern Cross Crane Service</t>
  </si>
  <si>
    <t>INV-5731</t>
  </si>
  <si>
    <t>17/06/2022 - 16/09/2022 TSM Evolution quarterly tariff</t>
  </si>
  <si>
    <t>Total Southern Cross Crane Service</t>
  </si>
  <si>
    <t>Stanley Security Solutions Australia Pty Ltd</t>
  </si>
  <si>
    <t>INV-5690</t>
  </si>
  <si>
    <t>MAY 2022  PURCHASER - Alison Kay (National Service Co-ordinator) - TSM Monthly Mobile Renewal</t>
  </si>
  <si>
    <t>INV-5648</t>
  </si>
  <si>
    <t>MAY 2022 TSM Monthly maintenance renewal</t>
  </si>
  <si>
    <t>INV-5765</t>
  </si>
  <si>
    <t>JUNE 2022  PURCHASER - Alison Kay (National Service Co-ordinator) - TSM Monthly Mobile Renewal</t>
  </si>
  <si>
    <t>INV-5774</t>
  </si>
  <si>
    <t>JUNE 2022 TSM Monthly maintenance renewal</t>
  </si>
  <si>
    <t>Total Stanley Security Solutions Australia Pty Ltd</t>
  </si>
  <si>
    <t>Strathbrook Industrial Pty Ltd</t>
  </si>
  <si>
    <t>INV-5756</t>
  </si>
  <si>
    <t>Total Strathbrook Industrial Pty Ltd</t>
  </si>
  <si>
    <t>SubZero Projects Pty Ltd</t>
  </si>
  <si>
    <t>INV-5710</t>
  </si>
  <si>
    <t>19/04/2022 - 31/05/2022 TSM Evolution Additional Mobile licenses x 1</t>
  </si>
  <si>
    <t>INV-5777</t>
  </si>
  <si>
    <t>Total SubZero Projects Pty Ltd</t>
  </si>
  <si>
    <t>TerumoBCT Australia Pty Limited</t>
  </si>
  <si>
    <t>INV 3466</t>
  </si>
  <si>
    <t>INV-5759</t>
  </si>
  <si>
    <t>JUNE 2022 TSM monthly maintenance and support subscription</t>
  </si>
  <si>
    <t>Total TerumoBCT Australia Pty Limited</t>
  </si>
  <si>
    <t>The Hydraulic Shop</t>
  </si>
  <si>
    <t>INV-5766</t>
  </si>
  <si>
    <t>JUNE 2022 TSM EVOLUTION Monthly Subscription</t>
  </si>
  <si>
    <t>Total The Hydraulic Shop</t>
  </si>
  <si>
    <t>Tiger Coffee Pty Ltd</t>
  </si>
  <si>
    <t>INV-5465</t>
  </si>
  <si>
    <t>Total Tiger Coffee Pty Ltd</t>
  </si>
  <si>
    <t>Total Commercial Equipment (TCE) trading as Gecko Trading</t>
  </si>
  <si>
    <t>INV 5675</t>
  </si>
  <si>
    <t>Total Total Commercial Equipment (TCE) trading as Gecko Trading</t>
  </si>
  <si>
    <t>Tri Tech Refrigeration Holdings P/L as trustee for TTR HOLDINGS UNIT TRUST</t>
  </si>
  <si>
    <t>INV-5722</t>
  </si>
  <si>
    <t>27/04/2022 - 31/12/2022 TSM Evolution Additional Mobile Licenses x 2. TRI TECH COMMERCIAL</t>
  </si>
  <si>
    <t>Total Tri Tech Refrigeration Holdings P/L as trustee for TTR HOLDINGS UNIT TRUST</t>
  </si>
  <si>
    <t>TRIDAN Electrical Contractors Pty Ltd</t>
  </si>
  <si>
    <t>INV-5790</t>
  </si>
  <si>
    <t>JUNE 2022 Evolution Monthly Subscription</t>
  </si>
  <si>
    <t>Total TRIDAN Electrical Contractors Pty Ltd</t>
  </si>
  <si>
    <t>TRIWEST Forklifts Services</t>
  </si>
  <si>
    <t>INV-5652</t>
  </si>
  <si>
    <t>MAY 2022 TSM Evolution Monthly Subscription</t>
  </si>
  <si>
    <t>INV-5762</t>
  </si>
  <si>
    <t>Total TRIWEST Forklifts Services</t>
  </si>
  <si>
    <t>Tropix Refrigeration and Electrical</t>
  </si>
  <si>
    <t>INV-5688</t>
  </si>
  <si>
    <t>01/05/2022 - 31/07/2022 TSM Evolution Quarterly Subscription</t>
  </si>
  <si>
    <t>Total Tropix Refrigeration and Electrical</t>
  </si>
  <si>
    <t>Vehicle Communication Services</t>
  </si>
  <si>
    <t>INV-5538</t>
  </si>
  <si>
    <t>Total Vehicle Communication Services</t>
  </si>
  <si>
    <t>Waterlogic Australia Pty Ltd</t>
  </si>
  <si>
    <t>INV-5656</t>
  </si>
  <si>
    <t>Total Waterlogic Australia Pty Ltd</t>
  </si>
  <si>
    <t>Wilson Refrigeration &amp; Air conditioning Pty Ltd</t>
  </si>
  <si>
    <t>CN-4483</t>
  </si>
  <si>
    <t>Credit ref invoice 3861 for maintenance paid in advance.</t>
  </si>
  <si>
    <t>INV-5742</t>
  </si>
  <si>
    <t>Total Wilson Refrigeration &amp; Air conditioning Pty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</si>
</sst>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2" formatCode="_-&quot;₱&quot;* #,##0_-;\-&quot;₱&quot;* #,##0_-;_-&quot;₱&quot;* &quot;-&quot;_-;_-@_-"/>
    <numFmt numFmtId="44" formatCode="_-&quot;₱&quot;* #,##0.00_-;\-&quot;₱&quot;* #,##0.00_-;_-&quot;₱&quot;* &quot;-&quot;??_-;_-@_-"/>
    <numFmt numFmtId="43" formatCode="_-* #,##0.00_-;\-* #,##0.00_-;_-* &quot;-&quot;??_-;_-@_-"/>
    <numFmt numFmtId="164" formatCode="&quot;$&quot;#,##0.00_);[Red]\(&quot;$&quot;#,##0.00\)"/>
    <numFmt numFmtId="165" formatCode="_(&quot;$&quot;* #,##0_);_(&quot;$&quot;* \(#,##0\);_(&quot;$&quot;* &quot;-&quot;_);_(@_)"/>
    <numFmt numFmtId="166" formatCode="_(* #,##0_);_(* \(#,##0\);_(* &quot;-&quot;_);_(@_)"/>
    <numFmt numFmtId="167" formatCode="_(&quot;$&quot;* #,##0.00_);_(&quot;$&quot;* \(#,##0.00\);_(&quot;$&quot;* &quot;-&quot;??_);_(@_)"/>
    <numFmt numFmtId="168" formatCode="_(* #,##0.00_);_(* \(#,##0.00\);_(* &quot;-&quot;??_);_(@_)"/>
    <numFmt numFmtId="169" formatCode="&quot;$&quot;#,##0.00;[Red]\-&quot;$&quot;#,##0.00"/>
    <numFmt numFmtId="170" formatCode="[$$-809]#,##0.00;\-[$$-809]#,##0.00"/>
    <numFmt numFmtId="171" formatCode="\$#,##0.00;\$\(#,##0.00\)"/>
    <numFmt numFmtId="172" formatCode="_-* #,##0_-;\-* #,##0_-;_-* &quot;-&quot;??_-;_-@_-"/>
    <numFmt numFmtId="173" formatCode="[$$-380A]\ #,##0.00;\-[$$-380A]\ #,##0.00"/>
    <numFmt numFmtId="174" formatCode="_-* #,##0.00000_-;\-* #,##0.00000_-;_-* &quot;-&quot;?????_-;_-@_-"/>
    <numFmt numFmtId="175" formatCode="[$$-C09]#,##0.00;\-[$$-C09]#,##0.00;[$$-C09]#,##0.00;@"/>
    <numFmt numFmtId="176" formatCode="dd\ mmm\ yyyy"/>
    <numFmt numFmtId="177" formatCode="#,##0.00;\(#,##0.00\)"/>
  </numFmts>
  <fonts count="74" x14ac:knownFonts="1">
    <font>
      <sz val="10"/>
      <color rgb="FF000000"/>
      <name val="Arial"/>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1"/>
      <color theme="1"/>
      <name val="Arial"/>
      <family val="2"/>
      <scheme val="minor"/>
    </font>
    <font>
      <sz val="10"/>
      <name val="Arial"/>
      <family val="2"/>
    </font>
    <font>
      <sz val="10"/>
      <color rgb="FF000000"/>
      <name val="Arial"/>
      <family val="2"/>
    </font>
    <font>
      <b/>
      <sz val="10"/>
      <name val="Arial"/>
      <family val="2"/>
    </font>
    <font>
      <u/>
      <sz val="10"/>
      <color theme="10"/>
      <name val="Arial"/>
      <family val="2"/>
    </font>
    <font>
      <u/>
      <sz val="11"/>
      <color theme="10"/>
      <name val="Arial"/>
      <family val="2"/>
      <scheme val="minor"/>
    </font>
    <font>
      <sz val="10"/>
      <color rgb="FF000000"/>
      <name val="Arial"/>
      <family val="2"/>
    </font>
    <font>
      <b/>
      <sz val="12"/>
      <name val="Arial"/>
      <family val="2"/>
    </font>
    <font>
      <b/>
      <sz val="9"/>
      <name val="Arial"/>
      <family val="2"/>
    </font>
    <font>
      <sz val="9"/>
      <name val="Arial"/>
      <family val="2"/>
    </font>
    <font>
      <sz val="11"/>
      <color rgb="FF000000"/>
      <name val="Arial"/>
      <family val="2"/>
    </font>
    <font>
      <sz val="11"/>
      <color theme="1"/>
      <name val="Arial"/>
      <family val="2"/>
    </font>
    <font>
      <sz val="10"/>
      <name val="Arial"/>
      <family val="2"/>
    </font>
    <font>
      <b/>
      <sz val="11"/>
      <color rgb="FF3F3F3F"/>
      <name val="Arial"/>
      <family val="2"/>
      <scheme val="minor"/>
    </font>
    <font>
      <sz val="11"/>
      <name val="Arial"/>
      <family val="2"/>
      <scheme val="minor"/>
    </font>
    <font>
      <b/>
      <sz val="11"/>
      <name val="Arial"/>
      <family val="2"/>
      <scheme val="minor"/>
    </font>
    <font>
      <b/>
      <u/>
      <sz val="11"/>
      <name val="Arial"/>
      <family val="2"/>
      <scheme val="minor"/>
    </font>
    <font>
      <sz val="10"/>
      <color rgb="FF000000"/>
      <name val="Arial"/>
      <family val="2"/>
      <scheme val="minor"/>
    </font>
    <font>
      <sz val="9"/>
      <name val="Arial"/>
      <family val="2"/>
      <scheme val="major"/>
    </font>
    <font>
      <sz val="9"/>
      <color rgb="FF000000"/>
      <name val="Arial"/>
      <family val="2"/>
      <scheme val="major"/>
    </font>
    <font>
      <b/>
      <sz val="9"/>
      <color rgb="FF000000"/>
      <name val="Arial"/>
      <family val="2"/>
      <scheme val="major"/>
    </font>
    <font>
      <sz val="11"/>
      <color rgb="FF002060"/>
      <name val="Arial"/>
      <family val="2"/>
      <scheme val="minor"/>
    </font>
    <font>
      <b/>
      <sz val="11"/>
      <color rgb="FF002060"/>
      <name val="Arial"/>
      <family val="2"/>
      <scheme val="minor"/>
    </font>
    <font>
      <sz val="11"/>
      <color rgb="FFFF0000"/>
      <name val="Arial"/>
      <family val="2"/>
      <scheme val="minor"/>
    </font>
    <font>
      <b/>
      <sz val="11"/>
      <color rgb="FFFF0000"/>
      <name val="Arial"/>
      <family val="2"/>
      <scheme val="minor"/>
    </font>
    <font>
      <b/>
      <sz val="10"/>
      <color rgb="FF000000"/>
      <name val="Arial"/>
      <family val="2"/>
    </font>
    <font>
      <sz val="6"/>
      <color rgb="FF92D050"/>
      <name val="Arial"/>
      <family val="2"/>
    </font>
    <font>
      <i/>
      <sz val="7"/>
      <name val="Arial"/>
      <family val="2"/>
    </font>
    <font>
      <i/>
      <sz val="7"/>
      <color rgb="FF000000"/>
      <name val="Arial"/>
      <family val="2"/>
    </font>
    <font>
      <sz val="7"/>
      <color rgb="FF000000"/>
      <name val="Arial"/>
      <family val="2"/>
    </font>
    <font>
      <i/>
      <sz val="10"/>
      <color rgb="FF002060"/>
      <name val="Arial"/>
      <family val="2"/>
      <scheme val="major"/>
    </font>
    <font>
      <b/>
      <sz val="6"/>
      <color rgb="FF92D050"/>
      <name val="Arial"/>
      <family val="2"/>
    </font>
    <font>
      <sz val="6"/>
      <color rgb="FF92D050"/>
      <name val="Arial"/>
      <family val="2"/>
      <scheme val="minor"/>
    </font>
    <font>
      <sz val="9"/>
      <color rgb="FF000000"/>
      <name val="Arial"/>
      <family val="2"/>
    </font>
    <font>
      <sz val="6"/>
      <color rgb="FFFF0000"/>
      <name val="Arial"/>
      <family val="2"/>
      <scheme val="minor"/>
    </font>
    <font>
      <sz val="9"/>
      <color rgb="FFFF0000"/>
      <name val="Arial"/>
      <family val="2"/>
    </font>
    <font>
      <sz val="11"/>
      <name val="Arial"/>
      <family val="2"/>
    </font>
    <font>
      <sz val="11"/>
      <color rgb="FF000000"/>
      <name val="Calibri"/>
      <family val="2"/>
    </font>
    <font>
      <b/>
      <sz val="9"/>
      <name val="Arial"/>
      <family val="2"/>
      <scheme val="major"/>
    </font>
    <font>
      <sz val="13"/>
      <color rgb="FF333333"/>
      <name val="Arial"/>
      <family val="2"/>
    </font>
    <font>
      <sz val="9"/>
      <color rgb="FF0070C0"/>
      <name val="Arial"/>
      <family val="2"/>
      <scheme val="major"/>
    </font>
    <font>
      <b/>
      <i/>
      <sz val="10"/>
      <color rgb="FF002060"/>
      <name val="Arial"/>
      <family val="2"/>
      <scheme val="major"/>
    </font>
    <font>
      <i/>
      <sz val="9.5"/>
      <color rgb="FFFF0000"/>
      <name val="Calibri"/>
      <family val="2"/>
    </font>
    <font>
      <b/>
      <sz val="9"/>
      <color rgb="FF0070C0"/>
      <name val="Arial"/>
      <family val="2"/>
      <scheme val="major"/>
    </font>
    <font>
      <i/>
      <sz val="9"/>
      <color rgb="FF000000"/>
      <name val="Arial"/>
      <family val="2"/>
    </font>
    <font>
      <b/>
      <sz val="14"/>
      <name val="Arial"/>
      <family val="2"/>
    </font>
    <font>
      <b/>
      <u val="double"/>
      <sz val="10"/>
      <name val="Arial"/>
      <family val="2"/>
    </font>
    <font>
      <b/>
      <u/>
      <sz val="11"/>
      <color rgb="FF000000"/>
      <name val="Calibri"/>
      <family val="2"/>
    </font>
    <font>
      <b/>
      <sz val="11"/>
      <color rgb="FF000000"/>
      <name val="Calibri"/>
      <family val="2"/>
    </font>
    <font>
      <sz val="11"/>
      <color rgb="FF002060"/>
      <name val="Arial"/>
      <family val="2"/>
    </font>
    <font>
      <sz val="14"/>
      <color rgb="FF333333"/>
      <name val="Arial"/>
      <family val="2"/>
    </font>
    <font>
      <i/>
      <sz val="7"/>
      <color rgb="FF92D050"/>
      <name val="Arial"/>
      <family val="2"/>
    </font>
    <font>
      <i/>
      <sz val="9"/>
      <name val="Arial"/>
      <family val="2"/>
    </font>
    <font>
      <b/>
      <sz val="20"/>
      <name val="Arial"/>
      <family val="2"/>
    </font>
    <font>
      <sz val="14"/>
      <name val="Arial"/>
      <family val="2"/>
    </font>
    <font>
      <b/>
      <sz val="8"/>
      <name val="Arial"/>
      <family val="2"/>
    </font>
    <font>
      <sz val="8"/>
      <name val="Arial"/>
      <family val="2"/>
    </font>
    <font>
      <b/>
      <sz val="14"/>
      <color rgb="FFFF0000"/>
      <name val="Arial"/>
      <family val="2"/>
    </font>
    <font>
      <b/>
      <sz val="10"/>
      <color rgb="FFFF0000"/>
      <name val="Arial"/>
      <family val="2"/>
    </font>
    <font>
      <b/>
      <sz val="12"/>
      <name val="Arial"/>
      <family val="2"/>
    </font>
    <font>
      <b/>
      <sz val="10"/>
      <name val="Arial"/>
      <family val="2"/>
    </font>
    <font>
      <sz val="9"/>
      <name val="Arial"/>
      <family val="2"/>
    </font>
    <font>
      <b/>
      <sz val="9"/>
      <name val="Arial"/>
      <family val="2"/>
    </font>
  </fonts>
  <fills count="1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2F2F2"/>
      </patternFill>
    </fill>
    <fill>
      <patternFill patternType="solid">
        <fgColor theme="5" tint="0.39997558519241921"/>
        <bgColor indexed="64"/>
      </patternFill>
    </fill>
    <fill>
      <patternFill patternType="solid">
        <fgColor theme="0" tint="-0.14999847407452621"/>
        <bgColor indexed="64"/>
      </patternFill>
    </fill>
    <fill>
      <patternFill patternType="solid">
        <fgColor theme="2" tint="-0.14999847407452621"/>
        <bgColor indexed="64"/>
      </patternFill>
    </fill>
    <fill>
      <patternFill patternType="solid">
        <fgColor theme="5" tint="0.79998168889431442"/>
        <bgColor indexed="64"/>
      </patternFill>
    </fill>
    <fill>
      <patternFill patternType="solid">
        <fgColor rgb="FFFFFFFF"/>
      </patternFill>
    </fill>
  </fills>
  <borders count="34">
    <border>
      <left/>
      <right/>
      <top/>
      <bottom/>
      <diagonal/>
    </border>
    <border>
      <left/>
      <right/>
      <top/>
      <bottom style="thin">
        <color rgb="FF000000"/>
      </bottom>
      <diagonal/>
    </border>
    <border>
      <left/>
      <right/>
      <top style="thin">
        <color auto="1"/>
      </top>
      <bottom style="thin">
        <color auto="1"/>
      </bottom>
      <diagonal/>
    </border>
    <border>
      <left/>
      <right/>
      <top style="thin">
        <color auto="1"/>
      </top>
      <bottom/>
      <diagonal/>
    </border>
    <border>
      <left/>
      <right/>
      <top style="thin">
        <color indexed="64"/>
      </top>
      <bottom style="double">
        <color indexed="64"/>
      </bottom>
      <diagonal/>
    </border>
    <border>
      <left/>
      <right/>
      <top/>
      <bottom style="thin">
        <color indexed="64"/>
      </bottom>
      <diagonal/>
    </border>
    <border>
      <left style="thin">
        <color rgb="FF3F3F3F"/>
      </left>
      <right style="thin">
        <color rgb="FF3F3F3F"/>
      </right>
      <top style="thin">
        <color rgb="FF3F3F3F"/>
      </top>
      <bottom style="thin">
        <color rgb="FF3F3F3F"/>
      </bottom>
      <diagonal/>
    </border>
    <border>
      <left style="thin">
        <color rgb="FF3F3F3F"/>
      </left>
      <right/>
      <top style="thin">
        <color rgb="FF3F3F3F"/>
      </top>
      <bottom style="thin">
        <color rgb="FF3F3F3F"/>
      </bottom>
      <diagonal/>
    </border>
    <border>
      <left/>
      <right style="thin">
        <color rgb="FF3F3F3F"/>
      </right>
      <top style="thin">
        <color rgb="FF3F3F3F"/>
      </top>
      <bottom style="thin">
        <color rgb="FF3F3F3F"/>
      </bottom>
      <diagonal/>
    </border>
    <border>
      <left style="thin">
        <color indexed="64"/>
      </left>
      <right style="thin">
        <color indexed="64"/>
      </right>
      <top style="thin">
        <color indexed="64"/>
      </top>
      <bottom style="thin">
        <color indexed="64"/>
      </bottom>
      <diagonal/>
    </border>
    <border>
      <left style="thin">
        <color rgb="FF3F3F3F"/>
      </left>
      <right style="thin">
        <color rgb="FF3F3F3F"/>
      </right>
      <top/>
      <bottom style="thin">
        <color rgb="FF3F3F3F"/>
      </bottom>
      <diagonal/>
    </border>
    <border>
      <left style="thin">
        <color rgb="FF3F3F3F"/>
      </left>
      <right/>
      <top/>
      <bottom style="thin">
        <color rgb="FF3F3F3F"/>
      </bottom>
      <diagonal/>
    </border>
    <border>
      <left/>
      <right/>
      <top style="thin">
        <color rgb="FF3F3F3F"/>
      </top>
      <bottom style="thin">
        <color rgb="FF3F3F3F"/>
      </bottom>
      <diagonal/>
    </border>
    <border>
      <left style="thin">
        <color indexed="64"/>
      </left>
      <right style="thin">
        <color indexed="64"/>
      </right>
      <top style="thin">
        <color indexed="64"/>
      </top>
      <bottom style="double">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double">
        <color indexed="64"/>
      </bottom>
      <diagonal/>
    </border>
    <border>
      <left style="thin">
        <color rgb="FFA9A9A9"/>
      </left>
      <right style="thin">
        <color rgb="FFA9A9A9"/>
      </right>
      <top style="thin">
        <color rgb="FFA9A9A9"/>
      </top>
      <bottom style="thin">
        <color rgb="FFA9A9A9"/>
      </bottom>
      <diagonal/>
    </border>
    <border>
      <left/>
      <right style="medium">
        <color indexed="64"/>
      </right>
      <top/>
      <bottom/>
      <diagonal/>
    </border>
    <border>
      <left/>
      <right/>
      <top style="thin">
        <color rgb="FFEBEBEB"/>
      </top>
      <bottom/>
      <diagonal/>
    </border>
  </borders>
  <cellStyleXfs count="51">
    <xf numFmtId="0" fontId="0" fillId="0" borderId="0"/>
    <xf numFmtId="0" fontId="15" fillId="0" borderId="0" applyNumberFormat="0" applyFill="0" applyBorder="0" applyAlignment="0" applyProtection="0"/>
    <xf numFmtId="0" fontId="13" fillId="0" borderId="0"/>
    <xf numFmtId="0" fontId="11" fillId="0" borderId="0"/>
    <xf numFmtId="168" fontId="11" fillId="0" borderId="0" applyFont="0" applyFill="0" applyBorder="0" applyAlignment="0" applyProtection="0"/>
    <xf numFmtId="0" fontId="16" fillId="0" borderId="0" applyNumberFormat="0" applyFill="0" applyBorder="0" applyAlignment="0" applyProtection="0"/>
    <xf numFmtId="168" fontId="17" fillId="0" borderId="0" applyFont="0" applyFill="0" applyBorder="0" applyAlignment="0" applyProtection="0"/>
    <xf numFmtId="0" fontId="10" fillId="0" borderId="0"/>
    <xf numFmtId="0" fontId="12" fillId="0" borderId="0"/>
    <xf numFmtId="168" fontId="10" fillId="0" borderId="0" applyFont="0" applyFill="0" applyBorder="0" applyAlignment="0" applyProtection="0"/>
    <xf numFmtId="0" fontId="12" fillId="0" borderId="0">
      <alignment vertical="center"/>
    </xf>
    <xf numFmtId="9" fontId="12" fillId="0" borderId="0" applyFont="0" applyFill="0" applyBorder="0" applyAlignment="0" applyProtection="0"/>
    <xf numFmtId="44" fontId="12" fillId="0" borderId="0" applyFont="0" applyFill="0" applyBorder="0" applyAlignment="0" applyProtection="0"/>
    <xf numFmtId="42" fontId="12" fillId="0" borderId="0" applyFont="0" applyFill="0" applyBorder="0" applyAlignment="0" applyProtection="0"/>
    <xf numFmtId="168" fontId="12" fillId="0" borderId="0" applyFont="0" applyFill="0" applyBorder="0" applyAlignment="0" applyProtection="0"/>
    <xf numFmtId="166" fontId="12" fillId="0" borderId="0" applyFont="0" applyFill="0" applyBorder="0" applyAlignment="0" applyProtection="0"/>
    <xf numFmtId="44" fontId="12" fillId="0" borderId="0" applyFont="0" applyFill="0" applyBorder="0" applyAlignment="0" applyProtection="0"/>
    <xf numFmtId="42" fontId="12" fillId="0" borderId="0" applyFont="0" applyFill="0" applyBorder="0" applyAlignment="0" applyProtection="0"/>
    <xf numFmtId="168" fontId="12" fillId="0" borderId="0" applyFont="0" applyFill="0" applyBorder="0" applyAlignment="0" applyProtection="0"/>
    <xf numFmtId="166" fontId="12" fillId="0" borderId="0" applyFont="0" applyFill="0" applyBorder="0" applyAlignment="0" applyProtection="0"/>
    <xf numFmtId="0" fontId="9" fillId="0" borderId="0"/>
    <xf numFmtId="168" fontId="9" fillId="0" borderId="0" applyFont="0" applyFill="0" applyBorder="0" applyAlignment="0" applyProtection="0"/>
    <xf numFmtId="0" fontId="8" fillId="0" borderId="0"/>
    <xf numFmtId="168" fontId="8" fillId="0" borderId="0" applyFont="0" applyFill="0" applyBorder="0" applyAlignment="0" applyProtection="0"/>
    <xf numFmtId="9" fontId="8" fillId="0" borderId="0" applyFont="0" applyFill="0" applyBorder="0" applyAlignment="0" applyProtection="0"/>
    <xf numFmtId="167" fontId="8" fillId="0" borderId="0" applyFont="0" applyFill="0" applyBorder="0" applyAlignment="0" applyProtection="0"/>
    <xf numFmtId="167" fontId="12" fillId="0" borderId="0" applyFont="0" applyFill="0" applyBorder="0" applyAlignment="0" applyProtection="0"/>
    <xf numFmtId="165" fontId="12" fillId="0" borderId="0" applyFont="0" applyFill="0" applyBorder="0" applyAlignment="0" applyProtection="0"/>
    <xf numFmtId="168" fontId="12" fillId="0" borderId="0" applyFont="0" applyFill="0" applyBorder="0" applyAlignment="0" applyProtection="0"/>
    <xf numFmtId="166" fontId="12" fillId="0" borderId="0" applyFont="0" applyFill="0" applyBorder="0" applyAlignment="0" applyProtection="0"/>
    <xf numFmtId="0" fontId="23" fillId="0" borderId="0"/>
    <xf numFmtId="0" fontId="24" fillId="4" borderId="6" applyNumberFormat="0" applyAlignment="0" applyProtection="0"/>
    <xf numFmtId="0" fontId="7" fillId="0" borderId="0"/>
    <xf numFmtId="168" fontId="7" fillId="0" borderId="0" applyFont="0" applyFill="0" applyBorder="0" applyAlignment="0" applyProtection="0"/>
    <xf numFmtId="9" fontId="7" fillId="0" borderId="0" applyFont="0" applyFill="0" applyBorder="0" applyAlignment="0" applyProtection="0"/>
    <xf numFmtId="167" fontId="7" fillId="0" borderId="0" applyFont="0" applyFill="0" applyBorder="0" applyAlignment="0" applyProtection="0"/>
    <xf numFmtId="0" fontId="6" fillId="0" borderId="0"/>
    <xf numFmtId="168" fontId="6" fillId="0" borderId="0" applyFont="0" applyFill="0" applyBorder="0" applyAlignment="0" applyProtection="0"/>
    <xf numFmtId="9" fontId="6" fillId="0" borderId="0" applyFont="0" applyFill="0" applyBorder="0" applyAlignment="0" applyProtection="0"/>
    <xf numFmtId="167" fontId="6" fillId="0" borderId="0" applyFont="0" applyFill="0" applyBorder="0" applyAlignment="0" applyProtection="0"/>
    <xf numFmtId="168" fontId="13" fillId="0" borderId="0" applyFont="0" applyFill="0" applyBorder="0" applyAlignment="0" applyProtection="0"/>
    <xf numFmtId="168" fontId="5" fillId="0" borderId="0" applyFont="0" applyFill="0" applyBorder="0" applyAlignment="0" applyProtection="0"/>
    <xf numFmtId="168" fontId="4" fillId="0" borderId="0" applyFont="0" applyFill="0" applyBorder="0" applyAlignment="0" applyProtection="0"/>
    <xf numFmtId="0" fontId="4" fillId="0" borderId="0"/>
    <xf numFmtId="168" fontId="3" fillId="0" borderId="0" applyFont="0" applyFill="0" applyBorder="0" applyAlignment="0" applyProtection="0"/>
    <xf numFmtId="0" fontId="3" fillId="0" borderId="0"/>
    <xf numFmtId="168" fontId="2" fillId="0" borderId="0" applyFont="0" applyFill="0" applyBorder="0" applyAlignment="0" applyProtection="0"/>
    <xf numFmtId="0" fontId="2" fillId="0" borderId="0"/>
    <xf numFmtId="168" fontId="1" fillId="0" borderId="0" applyFont="0" applyFill="0" applyBorder="0" applyAlignment="0" applyProtection="0"/>
    <xf numFmtId="0" fontId="1" fillId="0" borderId="0"/>
    <xf numFmtId="0" fontId="22" fillId="0" borderId="0"/>
  </cellStyleXfs>
  <cellXfs count="269">
    <xf numFmtId="0" fontId="0" fillId="0" borderId="0" xfId="0"/>
    <xf numFmtId="0" fontId="0" fillId="0" borderId="0" xfId="0" applyAlignment="1">
      <alignment vertical="center"/>
    </xf>
    <xf numFmtId="170" fontId="19" fillId="0" borderId="0" xfId="0" applyNumberFormat="1" applyFont="1" applyAlignment="1">
      <alignment vertical="center"/>
    </xf>
    <xf numFmtId="170" fontId="20" fillId="0" borderId="0" xfId="0" applyNumberFormat="1" applyFont="1" applyAlignment="1">
      <alignment vertical="center"/>
    </xf>
    <xf numFmtId="170" fontId="14" fillId="0" borderId="0" xfId="0" applyNumberFormat="1" applyFont="1" applyAlignment="1">
      <alignment vertical="center"/>
    </xf>
    <xf numFmtId="0" fontId="13" fillId="0" borderId="0" xfId="0" applyFont="1"/>
    <xf numFmtId="170" fontId="18" fillId="0" borderId="0" xfId="0" applyNumberFormat="1" applyFont="1" applyAlignment="1">
      <alignment vertical="center"/>
    </xf>
    <xf numFmtId="0" fontId="14" fillId="0" borderId="0" xfId="0" applyFont="1"/>
    <xf numFmtId="0" fontId="20" fillId="0" borderId="0" xfId="0" applyFont="1" applyAlignment="1">
      <alignment horizontal="left"/>
    </xf>
    <xf numFmtId="168" fontId="22" fillId="0" borderId="0" xfId="6" applyFont="1" applyAlignment="1">
      <alignment horizontal="left"/>
    </xf>
    <xf numFmtId="168" fontId="21" fillId="0" borderId="0" xfId="6" applyFont="1" applyAlignment="1">
      <alignment horizontal="left"/>
    </xf>
    <xf numFmtId="0" fontId="0" fillId="0" borderId="1" xfId="0" applyBorder="1"/>
    <xf numFmtId="0" fontId="18" fillId="0" borderId="0" xfId="0" applyFont="1"/>
    <xf numFmtId="171" fontId="0" fillId="0" borderId="0" xfId="0" applyNumberFormat="1"/>
    <xf numFmtId="0" fontId="19" fillId="0" borderId="5" xfId="0" applyFont="1" applyBorder="1" applyAlignment="1">
      <alignment vertical="center"/>
    </xf>
    <xf numFmtId="170" fontId="19" fillId="0" borderId="5" xfId="0" applyNumberFormat="1" applyFont="1" applyBorder="1" applyAlignment="1">
      <alignment vertical="center"/>
    </xf>
    <xf numFmtId="172" fontId="26" fillId="5" borderId="6" xfId="31" applyNumberFormat="1" applyFont="1" applyFill="1" applyAlignment="1">
      <alignment horizontal="center" vertical="center"/>
    </xf>
    <xf numFmtId="0" fontId="26" fillId="0" borderId="12" xfId="31" applyFont="1" applyFill="1" applyBorder="1" applyAlignment="1">
      <alignment horizontal="left"/>
    </xf>
    <xf numFmtId="0" fontId="25" fillId="0" borderId="0" xfId="36" applyFont="1"/>
    <xf numFmtId="17" fontId="25" fillId="0" borderId="9" xfId="36" applyNumberFormat="1" applyFont="1" applyBorder="1" applyAlignment="1">
      <alignment horizontal="center"/>
    </xf>
    <xf numFmtId="168" fontId="26" fillId="5" borderId="10" xfId="37" applyFont="1" applyFill="1" applyBorder="1" applyAlignment="1">
      <alignment horizontal="left"/>
    </xf>
    <xf numFmtId="168" fontId="25" fillId="0" borderId="0" xfId="37" applyFont="1"/>
    <xf numFmtId="0" fontId="26" fillId="0" borderId="0" xfId="36" applyFont="1" applyAlignment="1">
      <alignment horizontal="left"/>
    </xf>
    <xf numFmtId="0" fontId="28" fillId="0" borderId="0" xfId="0" applyFont="1"/>
    <xf numFmtId="0" fontId="14" fillId="0" borderId="0" xfId="0" applyFont="1" applyAlignment="1">
      <alignment horizontal="left"/>
    </xf>
    <xf numFmtId="39" fontId="20" fillId="0" borderId="0" xfId="0" applyNumberFormat="1" applyFont="1" applyAlignment="1">
      <alignment horizontal="right"/>
    </xf>
    <xf numFmtId="39" fontId="19" fillId="0" borderId="0" xfId="0" applyNumberFormat="1" applyFont="1" applyAlignment="1">
      <alignment horizontal="right"/>
    </xf>
    <xf numFmtId="17" fontId="32" fillId="0" borderId="9" xfId="36" applyNumberFormat="1" applyFont="1" applyBorder="1" applyAlignment="1">
      <alignment horizontal="center"/>
    </xf>
    <xf numFmtId="0" fontId="32" fillId="0" borderId="0" xfId="36" applyFont="1"/>
    <xf numFmtId="0" fontId="33" fillId="6" borderId="6" xfId="31" applyFont="1" applyFill="1" applyAlignment="1">
      <alignment horizontal="left"/>
    </xf>
    <xf numFmtId="172" fontId="26" fillId="6" borderId="6" xfId="31" applyNumberFormat="1" applyFont="1" applyFill="1" applyAlignment="1">
      <alignment horizontal="center" vertical="center"/>
    </xf>
    <xf numFmtId="168" fontId="39" fillId="0" borderId="0" xfId="6" applyFont="1" applyAlignment="1">
      <alignment horizontal="left"/>
    </xf>
    <xf numFmtId="171" fontId="40" fillId="0" borderId="0" xfId="0" applyNumberFormat="1" applyFont="1"/>
    <xf numFmtId="168" fontId="43" fillId="0" borderId="0" xfId="6" applyFont="1" applyBorder="1"/>
    <xf numFmtId="0" fontId="43" fillId="0" borderId="0" xfId="0" applyFont="1"/>
    <xf numFmtId="39" fontId="37" fillId="0" borderId="0" xfId="0" applyNumberFormat="1" applyFont="1" applyAlignment="1">
      <alignment horizontal="left"/>
    </xf>
    <xf numFmtId="39" fontId="43" fillId="0" borderId="0" xfId="0" applyNumberFormat="1" applyFont="1" applyAlignment="1">
      <alignment horizontal="left"/>
    </xf>
    <xf numFmtId="3" fontId="27" fillId="0" borderId="0" xfId="37" applyNumberFormat="1" applyFont="1" applyFill="1" applyAlignment="1">
      <alignment horizontal="center"/>
    </xf>
    <xf numFmtId="3" fontId="34" fillId="0" borderId="0" xfId="36" applyNumberFormat="1" applyFont="1"/>
    <xf numFmtId="0" fontId="25" fillId="0" borderId="0" xfId="36" applyFont="1" applyAlignment="1">
      <alignment wrapText="1"/>
    </xf>
    <xf numFmtId="172" fontId="25" fillId="0" borderId="0" xfId="36" applyNumberFormat="1" applyFont="1" applyAlignment="1">
      <alignment wrapText="1"/>
    </xf>
    <xf numFmtId="0" fontId="44" fillId="0" borderId="0" xfId="0" applyFont="1"/>
    <xf numFmtId="168" fontId="46" fillId="0" borderId="0" xfId="6" applyFont="1" applyAlignment="1">
      <alignment horizontal="right"/>
    </xf>
    <xf numFmtId="168" fontId="46" fillId="0" borderId="0" xfId="6" applyFont="1" applyAlignment="1">
      <alignment horizontal="center"/>
    </xf>
    <xf numFmtId="168" fontId="26" fillId="0" borderId="0" xfId="37" applyFont="1" applyFill="1" applyBorder="1" applyAlignment="1">
      <alignment horizontal="center" vertical="center" wrapText="1"/>
    </xf>
    <xf numFmtId="0" fontId="13" fillId="0" borderId="0" xfId="2"/>
    <xf numFmtId="0" fontId="36" fillId="3" borderId="0" xfId="2" applyFont="1" applyFill="1"/>
    <xf numFmtId="168" fontId="36" fillId="3" borderId="0" xfId="40" applyFont="1" applyFill="1" applyAlignment="1"/>
    <xf numFmtId="168" fontId="36" fillId="3" borderId="0" xfId="40" applyFont="1" applyFill="1"/>
    <xf numFmtId="168" fontId="36" fillId="0" borderId="20" xfId="40" applyFont="1" applyBorder="1" applyAlignment="1"/>
    <xf numFmtId="0" fontId="13" fillId="0" borderId="3" xfId="2" applyBorder="1"/>
    <xf numFmtId="168" fontId="13" fillId="0" borderId="3" xfId="40" applyFont="1" applyBorder="1"/>
    <xf numFmtId="168" fontId="0" fillId="0" borderId="3" xfId="40" applyFont="1" applyBorder="1"/>
    <xf numFmtId="168" fontId="0" fillId="0" borderId="21" xfId="40" applyFont="1" applyBorder="1"/>
    <xf numFmtId="0" fontId="36" fillId="0" borderId="23" xfId="2" applyFont="1" applyBorder="1"/>
    <xf numFmtId="0" fontId="36" fillId="2" borderId="0" xfId="2" applyFont="1" applyFill="1"/>
    <xf numFmtId="168" fontId="36" fillId="2" borderId="0" xfId="40" applyFont="1" applyFill="1" applyBorder="1"/>
    <xf numFmtId="168" fontId="13" fillId="0" borderId="24" xfId="40" applyFont="1" applyBorder="1"/>
    <xf numFmtId="0" fontId="36" fillId="0" borderId="25" xfId="2" applyFont="1" applyBorder="1"/>
    <xf numFmtId="0" fontId="13" fillId="0" borderId="5" xfId="2" applyBorder="1"/>
    <xf numFmtId="168" fontId="13" fillId="0" borderId="5" xfId="40" applyFont="1" applyBorder="1"/>
    <xf numFmtId="168" fontId="0" fillId="0" borderId="5" xfId="40" applyFont="1" applyBorder="1"/>
    <xf numFmtId="168" fontId="0" fillId="0" borderId="22" xfId="40" applyFont="1" applyBorder="1"/>
    <xf numFmtId="0" fontId="36" fillId="0" borderId="20" xfId="2" applyFont="1" applyBorder="1"/>
    <xf numFmtId="174" fontId="13" fillId="0" borderId="3" xfId="2" applyNumberFormat="1" applyBorder="1" applyAlignment="1">
      <alignment horizontal="left" indent="3"/>
    </xf>
    <xf numFmtId="168" fontId="13" fillId="0" borderId="0" xfId="40" applyFont="1" applyAlignment="1"/>
    <xf numFmtId="168" fontId="13" fillId="0" borderId="0" xfId="40" applyFont="1" applyBorder="1"/>
    <xf numFmtId="168" fontId="0" fillId="0" borderId="0" xfId="40" applyFont="1" applyBorder="1"/>
    <xf numFmtId="168" fontId="0" fillId="0" borderId="24" xfId="40" applyFont="1" applyBorder="1"/>
    <xf numFmtId="168" fontId="0" fillId="0" borderId="0" xfId="40" applyFont="1" applyAlignment="1"/>
    <xf numFmtId="0" fontId="48" fillId="0" borderId="0" xfId="2" applyFont="1" applyAlignment="1">
      <alignment vertical="center"/>
    </xf>
    <xf numFmtId="0" fontId="13" fillId="0" borderId="23" xfId="2" applyBorder="1"/>
    <xf numFmtId="0" fontId="13" fillId="0" borderId="26" xfId="2" applyBorder="1"/>
    <xf numFmtId="168" fontId="36" fillId="0" borderId="26" xfId="40" applyFont="1" applyBorder="1"/>
    <xf numFmtId="0" fontId="13" fillId="0" borderId="25" xfId="2" applyBorder="1"/>
    <xf numFmtId="0" fontId="36" fillId="2" borderId="5" xfId="2" applyFont="1" applyFill="1" applyBorder="1"/>
    <xf numFmtId="168" fontId="36" fillId="2" borderId="5" xfId="40" applyFont="1" applyFill="1" applyBorder="1"/>
    <xf numFmtId="168" fontId="0" fillId="2" borderId="5" xfId="40" applyFont="1" applyFill="1" applyBorder="1"/>
    <xf numFmtId="168" fontId="13" fillId="0" borderId="22" xfId="40" applyFont="1" applyBorder="1"/>
    <xf numFmtId="168" fontId="13" fillId="0" borderId="0" xfId="2" applyNumberFormat="1"/>
    <xf numFmtId="168" fontId="0" fillId="0" borderId="0" xfId="40" applyFont="1"/>
    <xf numFmtId="168" fontId="13" fillId="0" borderId="0" xfId="40" applyFont="1"/>
    <xf numFmtId="164" fontId="13" fillId="0" borderId="0" xfId="2" applyNumberFormat="1"/>
    <xf numFmtId="3" fontId="26" fillId="0" borderId="0" xfId="36" applyNumberFormat="1" applyFont="1" applyAlignment="1">
      <alignment horizontal="left"/>
    </xf>
    <xf numFmtId="3" fontId="35" fillId="0" borderId="0" xfId="36" applyNumberFormat="1" applyFont="1" applyAlignment="1">
      <alignment horizontal="left"/>
    </xf>
    <xf numFmtId="3" fontId="35" fillId="0" borderId="0" xfId="37" applyNumberFormat="1" applyFont="1" applyFill="1" applyAlignment="1">
      <alignment horizontal="left"/>
    </xf>
    <xf numFmtId="3" fontId="34" fillId="0" borderId="0" xfId="37" applyNumberFormat="1" applyFont="1" applyFill="1"/>
    <xf numFmtId="3" fontId="27" fillId="0" borderId="0" xfId="38" applyNumberFormat="1" applyFont="1" applyFill="1" applyAlignment="1">
      <alignment horizontal="center"/>
    </xf>
    <xf numFmtId="3" fontId="26" fillId="0" borderId="0" xfId="37" applyNumberFormat="1" applyFont="1" applyFill="1" applyBorder="1"/>
    <xf numFmtId="3" fontId="26" fillId="5" borderId="6" xfId="31" applyNumberFormat="1" applyFont="1" applyFill="1" applyAlignment="1">
      <alignment horizontal="center" vertical="center" wrapText="1"/>
    </xf>
    <xf numFmtId="3" fontId="26" fillId="5" borderId="6" xfId="37" applyNumberFormat="1" applyFont="1" applyFill="1" applyBorder="1" applyAlignment="1">
      <alignment horizontal="center" vertical="center" wrapText="1"/>
    </xf>
    <xf numFmtId="3" fontId="26" fillId="5" borderId="7" xfId="31" applyNumberFormat="1" applyFont="1" applyFill="1" applyBorder="1" applyAlignment="1">
      <alignment horizontal="center" vertical="center"/>
    </xf>
    <xf numFmtId="3" fontId="26" fillId="5" borderId="7" xfId="31" applyNumberFormat="1" applyFont="1" applyFill="1" applyBorder="1" applyAlignment="1">
      <alignment horizontal="center" vertical="center" wrapText="1"/>
    </xf>
    <xf numFmtId="3" fontId="26" fillId="5" borderId="8" xfId="37" applyNumberFormat="1" applyFont="1" applyFill="1" applyBorder="1" applyAlignment="1">
      <alignment horizontal="center" vertical="center" wrapText="1"/>
    </xf>
    <xf numFmtId="3" fontId="26" fillId="5" borderId="11" xfId="37" applyNumberFormat="1" applyFont="1" applyFill="1" applyBorder="1" applyAlignment="1"/>
    <xf numFmtId="3" fontId="26" fillId="0" borderId="0" xfId="37" applyNumberFormat="1" applyFont="1" applyFill="1" applyBorder="1" applyAlignment="1"/>
    <xf numFmtId="3" fontId="35" fillId="0" borderId="0" xfId="37" applyNumberFormat="1" applyFont="1" applyFill="1" applyBorder="1" applyAlignment="1"/>
    <xf numFmtId="3" fontId="26" fillId="6" borderId="6" xfId="37" applyNumberFormat="1" applyFont="1" applyFill="1" applyBorder="1" applyAlignment="1">
      <alignment horizontal="center" vertical="center" wrapText="1"/>
    </xf>
    <xf numFmtId="3" fontId="26" fillId="6" borderId="7" xfId="37" applyNumberFormat="1" applyFont="1" applyFill="1" applyBorder="1" applyAlignment="1">
      <alignment horizontal="center" vertical="center"/>
    </xf>
    <xf numFmtId="3" fontId="26" fillId="6" borderId="7" xfId="37" applyNumberFormat="1" applyFont="1" applyFill="1" applyBorder="1" applyAlignment="1">
      <alignment horizontal="center" vertical="center" wrapText="1"/>
    </xf>
    <xf numFmtId="3" fontId="26" fillId="6" borderId="8" xfId="37" applyNumberFormat="1" applyFont="1" applyFill="1" applyBorder="1" applyAlignment="1">
      <alignment horizontal="center" vertical="center" wrapText="1"/>
    </xf>
    <xf numFmtId="3" fontId="33" fillId="6" borderId="6" xfId="37" applyNumberFormat="1" applyFont="1" applyFill="1" applyBorder="1" applyAlignment="1"/>
    <xf numFmtId="3" fontId="33" fillId="6" borderId="9" xfId="37" applyNumberFormat="1" applyFont="1" applyFill="1" applyBorder="1" applyAlignment="1"/>
    <xf numFmtId="3" fontId="26" fillId="3" borderId="4" xfId="37" applyNumberFormat="1" applyFont="1" applyFill="1" applyBorder="1" applyAlignment="1"/>
    <xf numFmtId="3" fontId="35" fillId="3" borderId="13" xfId="37" applyNumberFormat="1" applyFont="1" applyFill="1" applyBorder="1" applyAlignment="1"/>
    <xf numFmtId="3" fontId="25" fillId="0" borderId="0" xfId="36" applyNumberFormat="1" applyFont="1"/>
    <xf numFmtId="3" fontId="26" fillId="0" borderId="0" xfId="36" applyNumberFormat="1" applyFont="1"/>
    <xf numFmtId="3" fontId="34" fillId="0" borderId="0" xfId="37" applyNumberFormat="1" applyFont="1"/>
    <xf numFmtId="3" fontId="26" fillId="0" borderId="0" xfId="37" applyNumberFormat="1" applyFont="1" applyFill="1" applyAlignment="1"/>
    <xf numFmtId="3" fontId="25" fillId="0" borderId="0" xfId="37" applyNumberFormat="1" applyFont="1" applyFill="1" applyAlignment="1"/>
    <xf numFmtId="3" fontId="25" fillId="0" borderId="0" xfId="37" applyNumberFormat="1" applyFont="1"/>
    <xf numFmtId="3" fontId="25" fillId="0" borderId="0" xfId="36" applyNumberFormat="1" applyFont="1" applyAlignment="1">
      <alignment wrapText="1"/>
    </xf>
    <xf numFmtId="0" fontId="26" fillId="0" borderId="0" xfId="36" applyFont="1"/>
    <xf numFmtId="3" fontId="51" fillId="0" borderId="3" xfId="40" applyNumberFormat="1" applyFont="1" applyBorder="1" applyAlignment="1">
      <alignment horizontal="left"/>
    </xf>
    <xf numFmtId="1" fontId="51" fillId="0" borderId="3" xfId="2" applyNumberFormat="1" applyFont="1" applyBorder="1" applyAlignment="1">
      <alignment horizontal="left"/>
    </xf>
    <xf numFmtId="3" fontId="35" fillId="0" borderId="9" xfId="37" applyNumberFormat="1" applyFont="1" applyFill="1" applyBorder="1" applyAlignment="1"/>
    <xf numFmtId="0" fontId="19" fillId="0" borderId="1" xfId="0" applyFont="1" applyBorder="1" applyAlignment="1">
      <alignment horizontal="left"/>
    </xf>
    <xf numFmtId="39" fontId="19" fillId="0" borderId="1" xfId="0" applyNumberFormat="1" applyFont="1" applyBorder="1" applyAlignment="1">
      <alignment horizontal="right"/>
    </xf>
    <xf numFmtId="3" fontId="53" fillId="0" borderId="0" xfId="36" applyNumberFormat="1" applyFont="1"/>
    <xf numFmtId="17" fontId="49" fillId="7" borderId="9" xfId="49" applyNumberFormat="1" applyFont="1" applyFill="1" applyBorder="1" applyAlignment="1">
      <alignment horizontal="center"/>
    </xf>
    <xf numFmtId="17" fontId="29" fillId="0" borderId="27" xfId="49" applyNumberFormat="1" applyFont="1" applyBorder="1" applyAlignment="1">
      <alignment horizontal="center"/>
    </xf>
    <xf numFmtId="3" fontId="54" fillId="0" borderId="20" xfId="40" applyNumberFormat="1" applyFont="1" applyBorder="1" applyAlignment="1">
      <alignment horizontal="left"/>
    </xf>
    <xf numFmtId="17" fontId="49" fillId="8" borderId="9" xfId="49" applyNumberFormat="1" applyFont="1" applyFill="1" applyBorder="1" applyAlignment="1">
      <alignment horizontal="center"/>
    </xf>
    <xf numFmtId="3" fontId="26" fillId="3" borderId="0" xfId="36" applyNumberFormat="1" applyFont="1" applyFill="1"/>
    <xf numFmtId="17" fontId="29" fillId="3" borderId="27" xfId="49" applyNumberFormat="1" applyFont="1" applyFill="1" applyBorder="1" applyAlignment="1">
      <alignment horizontal="center"/>
    </xf>
    <xf numFmtId="1" fontId="49" fillId="8" borderId="2" xfId="40" applyNumberFormat="1" applyFont="1" applyFill="1" applyBorder="1" applyAlignment="1">
      <alignment horizontal="center"/>
    </xf>
    <xf numFmtId="1" fontId="31" fillId="8" borderId="2" xfId="40" applyNumberFormat="1" applyFont="1" applyFill="1" applyBorder="1" applyAlignment="1">
      <alignment horizontal="center"/>
    </xf>
    <xf numFmtId="1" fontId="31" fillId="8" borderId="2" xfId="2" applyNumberFormat="1" applyFont="1" applyFill="1" applyBorder="1" applyAlignment="1">
      <alignment horizontal="center"/>
    </xf>
    <xf numFmtId="1" fontId="31" fillId="8" borderId="28" xfId="2" applyNumberFormat="1" applyFont="1" applyFill="1" applyBorder="1" applyAlignment="1">
      <alignment horizontal="center"/>
    </xf>
    <xf numFmtId="3" fontId="29" fillId="0" borderId="0" xfId="40" applyNumberFormat="1" applyFont="1" applyBorder="1" applyAlignment="1">
      <alignment horizontal="right"/>
    </xf>
    <xf numFmtId="3" fontId="30" fillId="0" borderId="0" xfId="40" applyNumberFormat="1" applyFont="1" applyBorder="1" applyAlignment="1"/>
    <xf numFmtId="3" fontId="49" fillId="7" borderId="2" xfId="40" applyNumberFormat="1" applyFont="1" applyFill="1" applyBorder="1" applyAlignment="1">
      <alignment horizontal="right"/>
    </xf>
    <xf numFmtId="3" fontId="31" fillId="7" borderId="2" xfId="40" applyNumberFormat="1" applyFont="1" applyFill="1" applyBorder="1" applyAlignment="1"/>
    <xf numFmtId="3" fontId="41" fillId="0" borderId="0" xfId="36" applyNumberFormat="1" applyFont="1"/>
    <xf numFmtId="3" fontId="41" fillId="0" borderId="0" xfId="36" applyNumberFormat="1" applyFont="1" applyAlignment="1">
      <alignment wrapText="1"/>
    </xf>
    <xf numFmtId="168" fontId="13" fillId="2" borderId="0" xfId="40" applyFont="1" applyFill="1" applyBorder="1"/>
    <xf numFmtId="0" fontId="41" fillId="0" borderId="0" xfId="36" applyFont="1"/>
    <xf numFmtId="173" fontId="0" fillId="0" borderId="0" xfId="0" applyNumberFormat="1"/>
    <xf numFmtId="43" fontId="15" fillId="0" borderId="0" xfId="1" quotePrefix="1" applyNumberFormat="1" applyFill="1" applyAlignment="1">
      <alignment wrapText="1"/>
    </xf>
    <xf numFmtId="17" fontId="49" fillId="0" borderId="9" xfId="49" applyNumberFormat="1" applyFont="1" applyBorder="1" applyAlignment="1">
      <alignment horizontal="center"/>
    </xf>
    <xf numFmtId="3" fontId="49" fillId="0" borderId="0" xfId="40" applyNumberFormat="1" applyFont="1" applyBorder="1" applyAlignment="1">
      <alignment horizontal="right"/>
    </xf>
    <xf numFmtId="3" fontId="31" fillId="0" borderId="0" xfId="40" applyNumberFormat="1" applyFont="1" applyBorder="1" applyAlignment="1"/>
    <xf numFmtId="3" fontId="27" fillId="0" borderId="0" xfId="37" applyNumberFormat="1" applyFont="1" applyFill="1" applyAlignment="1"/>
    <xf numFmtId="3" fontId="26" fillId="5" borderId="7" xfId="37" applyNumberFormat="1" applyFont="1" applyFill="1" applyBorder="1" applyAlignment="1">
      <alignment vertical="center" wrapText="1"/>
    </xf>
    <xf numFmtId="3" fontId="25" fillId="0" borderId="0" xfId="37" applyNumberFormat="1" applyFont="1" applyAlignment="1"/>
    <xf numFmtId="3" fontId="25" fillId="0" borderId="0" xfId="40" applyNumberFormat="1" applyFont="1" applyFill="1" applyAlignment="1"/>
    <xf numFmtId="0" fontId="52" fillId="0" borderId="0" xfId="36" applyFont="1"/>
    <xf numFmtId="3" fontId="35" fillId="0" borderId="9" xfId="37" applyNumberFormat="1" applyFont="1" applyFill="1" applyBorder="1"/>
    <xf numFmtId="0" fontId="42" fillId="0" borderId="0" xfId="0" applyFont="1" applyAlignment="1">
      <alignment horizontal="left"/>
    </xf>
    <xf numFmtId="0" fontId="19" fillId="0" borderId="30" xfId="0" applyFont="1" applyBorder="1" applyAlignment="1">
      <alignment vertical="center"/>
    </xf>
    <xf numFmtId="170" fontId="19" fillId="0" borderId="30" xfId="0" applyNumberFormat="1" applyFont="1" applyBorder="1" applyAlignment="1">
      <alignment vertical="center"/>
    </xf>
    <xf numFmtId="3" fontId="25" fillId="0" borderId="9" xfId="37" applyNumberFormat="1" applyFont="1" applyFill="1" applyBorder="1"/>
    <xf numFmtId="3" fontId="25" fillId="0" borderId="9" xfId="40" applyNumberFormat="1" applyFont="1" applyFill="1" applyBorder="1"/>
    <xf numFmtId="3" fontId="26" fillId="0" borderId="9" xfId="40" applyNumberFormat="1" applyFont="1" applyFill="1" applyBorder="1"/>
    <xf numFmtId="3" fontId="25" fillId="0" borderId="9" xfId="40" applyNumberFormat="1" applyFont="1" applyFill="1" applyBorder="1" applyAlignment="1"/>
    <xf numFmtId="3" fontId="25" fillId="0" borderId="9" xfId="37" applyNumberFormat="1" applyFont="1" applyFill="1" applyBorder="1" applyAlignment="1"/>
    <xf numFmtId="3" fontId="21" fillId="0" borderId="0" xfId="0" applyNumberFormat="1" applyFont="1"/>
    <xf numFmtId="3" fontId="26" fillId="0" borderId="9" xfId="40" applyNumberFormat="1" applyFont="1" applyFill="1" applyBorder="1" applyAlignment="1"/>
    <xf numFmtId="3" fontId="26" fillId="0" borderId="9" xfId="37" applyNumberFormat="1" applyFont="1" applyFill="1" applyBorder="1" applyAlignment="1"/>
    <xf numFmtId="168" fontId="26" fillId="0" borderId="0" xfId="40" applyFont="1" applyAlignment="1">
      <alignment horizontal="left" vertical="center"/>
    </xf>
    <xf numFmtId="3" fontId="26" fillId="0" borderId="0" xfId="40" applyNumberFormat="1" applyFont="1" applyAlignment="1">
      <alignment horizontal="left"/>
    </xf>
    <xf numFmtId="3" fontId="27" fillId="0" borderId="0" xfId="40" applyNumberFormat="1" applyFont="1" applyFill="1" applyAlignment="1">
      <alignment horizontal="center"/>
    </xf>
    <xf numFmtId="3" fontId="26" fillId="5" borderId="8" xfId="40" applyNumberFormat="1" applyFont="1" applyFill="1" applyBorder="1" applyAlignment="1">
      <alignment horizontal="center" vertical="center" wrapText="1"/>
    </xf>
    <xf numFmtId="3" fontId="26" fillId="0" borderId="0" xfId="40" applyNumberFormat="1" applyFont="1" applyFill="1" applyBorder="1" applyAlignment="1"/>
    <xf numFmtId="3" fontId="26" fillId="6" borderId="8" xfId="40" applyNumberFormat="1" applyFont="1" applyFill="1" applyBorder="1" applyAlignment="1">
      <alignment horizontal="center" vertical="center" wrapText="1"/>
    </xf>
    <xf numFmtId="3" fontId="33" fillId="0" borderId="9" xfId="40" applyNumberFormat="1" applyFont="1" applyFill="1" applyBorder="1" applyAlignment="1"/>
    <xf numFmtId="3" fontId="33" fillId="6" borderId="9" xfId="40" applyNumberFormat="1" applyFont="1" applyFill="1" applyBorder="1" applyAlignment="1"/>
    <xf numFmtId="3" fontId="26" fillId="3" borderId="4" xfId="40" applyNumberFormat="1" applyFont="1" applyFill="1" applyBorder="1" applyAlignment="1"/>
    <xf numFmtId="3" fontId="25" fillId="0" borderId="0" xfId="40" applyNumberFormat="1" applyFont="1"/>
    <xf numFmtId="1" fontId="51" fillId="0" borderId="3" xfId="2" applyNumberFormat="1" applyFont="1" applyBorder="1"/>
    <xf numFmtId="168" fontId="26" fillId="0" borderId="0" xfId="40" applyFont="1" applyFill="1" applyAlignment="1">
      <alignment horizontal="left" vertical="center"/>
    </xf>
    <xf numFmtId="172" fontId="26" fillId="5" borderId="6" xfId="31" applyNumberFormat="1" applyFont="1" applyFill="1" applyAlignment="1">
      <alignment horizontal="left" vertical="center"/>
    </xf>
    <xf numFmtId="17" fontId="25" fillId="0" borderId="9" xfId="36" applyNumberFormat="1" applyFont="1" applyBorder="1" applyAlignment="1">
      <alignment horizontal="left"/>
    </xf>
    <xf numFmtId="17" fontId="26" fillId="0" borderId="9" xfId="36" applyNumberFormat="1" applyFont="1" applyBorder="1" applyAlignment="1">
      <alignment horizontal="left"/>
    </xf>
    <xf numFmtId="172" fontId="26" fillId="6" borderId="6" xfId="31" applyNumberFormat="1" applyFont="1" applyFill="1" applyAlignment="1">
      <alignment horizontal="left" vertical="center"/>
    </xf>
    <xf numFmtId="17" fontId="32" fillId="0" borderId="9" xfId="36" applyNumberFormat="1" applyFont="1" applyBorder="1" applyAlignment="1">
      <alignment horizontal="left"/>
    </xf>
    <xf numFmtId="3" fontId="26" fillId="3" borderId="4" xfId="37" applyNumberFormat="1" applyFont="1" applyFill="1" applyBorder="1" applyAlignment="1">
      <alignment horizontal="left"/>
    </xf>
    <xf numFmtId="43" fontId="15" fillId="0" borderId="0" xfId="1" quotePrefix="1" applyNumberFormat="1" applyFill="1" applyAlignment="1">
      <alignment horizontal="left" wrapText="1"/>
    </xf>
    <xf numFmtId="0" fontId="25" fillId="0" borderId="0" xfId="36" applyFont="1" applyAlignment="1">
      <alignment horizontal="left"/>
    </xf>
    <xf numFmtId="0" fontId="58" fillId="9" borderId="31" xfId="0" applyFont="1" applyFill="1" applyBorder="1" applyAlignment="1">
      <alignment vertical="center" readingOrder="1"/>
    </xf>
    <xf numFmtId="0" fontId="58" fillId="9" borderId="31" xfId="0" applyFont="1" applyFill="1" applyBorder="1" applyAlignment="1">
      <alignment horizontal="center" vertical="center" readingOrder="1"/>
    </xf>
    <xf numFmtId="2" fontId="48" fillId="9" borderId="31" xfId="0" applyNumberFormat="1" applyFont="1" applyFill="1" applyBorder="1" applyAlignment="1">
      <alignment horizontal="right" vertical="center" readingOrder="1"/>
    </xf>
    <xf numFmtId="175" fontId="48" fillId="9" borderId="31" xfId="0" applyNumberFormat="1" applyFont="1" applyFill="1" applyBorder="1" applyAlignment="1">
      <alignment horizontal="right" vertical="center" readingOrder="1"/>
    </xf>
    <xf numFmtId="0" fontId="59" fillId="9" borderId="31" xfId="0" applyFont="1" applyFill="1" applyBorder="1" applyAlignment="1">
      <alignment horizontal="right" vertical="center" readingOrder="1"/>
    </xf>
    <xf numFmtId="169" fontId="59" fillId="9" borderId="31" xfId="0" applyNumberFormat="1" applyFont="1" applyFill="1" applyBorder="1" applyAlignment="1">
      <alignment horizontal="right" vertical="center" readingOrder="1"/>
    </xf>
    <xf numFmtId="175" fontId="48" fillId="0" borderId="31" xfId="0" applyNumberFormat="1" applyFont="1" applyBorder="1" applyAlignment="1">
      <alignment horizontal="right" vertical="center" readingOrder="1"/>
    </xf>
    <xf numFmtId="169" fontId="59" fillId="0" borderId="31" xfId="0" applyNumberFormat="1" applyFont="1" applyBorder="1" applyAlignment="1">
      <alignment horizontal="right" vertical="center" readingOrder="1"/>
    </xf>
    <xf numFmtId="1" fontId="30" fillId="0" borderId="3" xfId="2" applyNumberFormat="1" applyFont="1" applyBorder="1"/>
    <xf numFmtId="1" fontId="30" fillId="0" borderId="21" xfId="2" applyNumberFormat="1" applyFont="1" applyBorder="1"/>
    <xf numFmtId="3" fontId="31" fillId="0" borderId="0" xfId="2" applyNumberFormat="1" applyFont="1"/>
    <xf numFmtId="3" fontId="31" fillId="0" borderId="24" xfId="2" applyNumberFormat="1" applyFont="1" applyBorder="1"/>
    <xf numFmtId="3" fontId="30" fillId="0" borderId="0" xfId="2" applyNumberFormat="1" applyFont="1"/>
    <xf numFmtId="3" fontId="30" fillId="0" borderId="24" xfId="2" applyNumberFormat="1" applyFont="1" applyBorder="1"/>
    <xf numFmtId="3" fontId="31" fillId="7" borderId="2" xfId="2" applyNumberFormat="1" applyFont="1" applyFill="1" applyBorder="1"/>
    <xf numFmtId="3" fontId="31" fillId="7" borderId="28" xfId="2" applyNumberFormat="1" applyFont="1" applyFill="1" applyBorder="1"/>
    <xf numFmtId="0" fontId="42" fillId="0" borderId="18" xfId="0" applyFont="1" applyBorder="1" applyAlignment="1">
      <alignment horizontal="left"/>
    </xf>
    <xf numFmtId="168" fontId="43" fillId="0" borderId="19" xfId="6" applyFont="1" applyBorder="1"/>
    <xf numFmtId="168" fontId="43" fillId="0" borderId="29" xfId="6" applyFont="1" applyBorder="1"/>
    <xf numFmtId="0" fontId="42" fillId="0" borderId="17" xfId="0" applyFont="1" applyBorder="1" applyAlignment="1">
      <alignment horizontal="left"/>
    </xf>
    <xf numFmtId="168" fontId="43" fillId="0" borderId="32" xfId="6" applyFont="1" applyBorder="1"/>
    <xf numFmtId="0" fontId="43" fillId="0" borderId="18" xfId="0" applyFont="1" applyBorder="1"/>
    <xf numFmtId="0" fontId="42" fillId="0" borderId="32" xfId="0" applyFont="1" applyBorder="1" applyAlignment="1">
      <alignment horizontal="left"/>
    </xf>
    <xf numFmtId="0" fontId="42" fillId="0" borderId="19" xfId="0" applyFont="1" applyBorder="1" applyAlignment="1">
      <alignment horizontal="left"/>
    </xf>
    <xf numFmtId="0" fontId="42" fillId="0" borderId="29" xfId="0" applyFont="1" applyBorder="1" applyAlignment="1">
      <alignment horizontal="left"/>
    </xf>
    <xf numFmtId="0" fontId="43" fillId="0" borderId="14" xfId="0" applyFont="1" applyBorder="1"/>
    <xf numFmtId="168" fontId="43" fillId="0" borderId="15" xfId="6" applyFont="1" applyBorder="1"/>
    <xf numFmtId="0" fontId="28" fillId="0" borderId="16" xfId="0" applyFont="1" applyBorder="1"/>
    <xf numFmtId="168" fontId="26" fillId="0" borderId="0" xfId="40" applyFont="1" applyFill="1" applyAlignment="1">
      <alignment vertical="center"/>
    </xf>
    <xf numFmtId="3" fontId="47" fillId="0" borderId="9" xfId="0" applyNumberFormat="1" applyFont="1" applyBorder="1"/>
    <xf numFmtId="3" fontId="33" fillId="0" borderId="9" xfId="37" applyNumberFormat="1" applyFont="1" applyFill="1" applyBorder="1"/>
    <xf numFmtId="3" fontId="52" fillId="0" borderId="0" xfId="36" applyNumberFormat="1" applyFont="1"/>
    <xf numFmtId="0" fontId="41" fillId="0" borderId="0" xfId="36" applyFont="1" applyAlignment="1">
      <alignment wrapText="1"/>
    </xf>
    <xf numFmtId="0" fontId="47" fillId="0" borderId="9" xfId="0" applyFont="1" applyBorder="1"/>
    <xf numFmtId="0" fontId="60" fillId="0" borderId="9" xfId="0" applyFont="1" applyBorder="1"/>
    <xf numFmtId="3" fontId="35" fillId="2" borderId="9" xfId="37" applyNumberFormat="1" applyFont="1" applyFill="1" applyBorder="1" applyAlignment="1"/>
    <xf numFmtId="168" fontId="33" fillId="6" borderId="6" xfId="40" applyFont="1" applyFill="1" applyBorder="1" applyAlignment="1">
      <alignment horizontal="left"/>
    </xf>
    <xf numFmtId="4" fontId="61" fillId="0" borderId="0" xfId="0" applyNumberFormat="1" applyFont="1"/>
    <xf numFmtId="4" fontId="50" fillId="0" borderId="0" xfId="0" applyNumberFormat="1" applyFont="1"/>
    <xf numFmtId="0" fontId="50" fillId="0" borderId="0" xfId="0" applyFont="1"/>
    <xf numFmtId="4" fontId="47" fillId="0" borderId="9" xfId="0" applyNumberFormat="1" applyFont="1" applyBorder="1"/>
    <xf numFmtId="0" fontId="19" fillId="0" borderId="0" xfId="0" applyFont="1" applyAlignment="1">
      <alignment horizontal="left"/>
    </xf>
    <xf numFmtId="0" fontId="14" fillId="0" borderId="1" xfId="0" applyFont="1" applyBorder="1" applyAlignment="1">
      <alignment horizontal="left"/>
    </xf>
    <xf numFmtId="0" fontId="20" fillId="0" borderId="1" xfId="0" applyFont="1" applyBorder="1" applyAlignment="1">
      <alignment horizontal="left"/>
    </xf>
    <xf numFmtId="39" fontId="20" fillId="0" borderId="1" xfId="0" applyNumberFormat="1" applyFont="1" applyBorder="1" applyAlignment="1">
      <alignment horizontal="right"/>
    </xf>
    <xf numFmtId="0" fontId="39" fillId="0" borderId="0" xfId="0" applyFont="1"/>
    <xf numFmtId="0" fontId="39" fillId="0" borderId="0" xfId="0" applyFont="1" applyAlignment="1">
      <alignment horizontal="left"/>
    </xf>
    <xf numFmtId="0" fontId="62" fillId="0" borderId="0" xfId="0" applyFont="1" applyAlignment="1">
      <alignment horizontal="left"/>
    </xf>
    <xf numFmtId="0" fontId="38" fillId="0" borderId="0" xfId="0" applyFont="1" applyAlignment="1">
      <alignment horizontal="left"/>
    </xf>
    <xf numFmtId="0" fontId="55" fillId="0" borderId="0" xfId="0" applyFont="1" applyAlignment="1">
      <alignment horizontal="left"/>
    </xf>
    <xf numFmtId="2" fontId="48" fillId="9" borderId="31" xfId="0" applyNumberFormat="1" applyFont="1" applyFill="1" applyBorder="1" applyAlignment="1">
      <alignment horizontal="right" vertical="center" wrapText="1" readingOrder="1"/>
    </xf>
    <xf numFmtId="175" fontId="48" fillId="9" borderId="31" xfId="0" applyNumberFormat="1" applyFont="1" applyFill="1" applyBorder="1" applyAlignment="1">
      <alignment horizontal="right" vertical="center" wrapText="1" readingOrder="1"/>
    </xf>
    <xf numFmtId="49" fontId="59" fillId="9" borderId="31" xfId="0" applyNumberFormat="1" applyFont="1" applyFill="1" applyBorder="1" applyAlignment="1">
      <alignment horizontal="right" vertical="center" wrapText="1" readingOrder="1"/>
    </xf>
    <xf numFmtId="168" fontId="59" fillId="9" borderId="31" xfId="6" applyFont="1" applyFill="1" applyBorder="1" applyAlignment="1">
      <alignment horizontal="right" vertical="center" wrapText="1" readingOrder="1"/>
    </xf>
    <xf numFmtId="0" fontId="63" fillId="0" borderId="0" xfId="0" applyFont="1" applyAlignment="1">
      <alignment vertical="top" wrapText="1"/>
    </xf>
    <xf numFmtId="0" fontId="64" fillId="0" borderId="0" xfId="0" applyFont="1" applyAlignment="1">
      <alignment vertical="center"/>
    </xf>
    <xf numFmtId="0" fontId="65" fillId="0" borderId="0" xfId="0" applyFont="1" applyAlignment="1">
      <alignment vertical="center"/>
    </xf>
    <xf numFmtId="0" fontId="66" fillId="0" borderId="5" xfId="0" applyFont="1" applyBorder="1" applyAlignment="1">
      <alignment horizontal="left" vertical="center"/>
    </xf>
    <xf numFmtId="0" fontId="66" fillId="0" borderId="5" xfId="0" applyFont="1" applyBorder="1" applyAlignment="1">
      <alignment horizontal="right" vertical="center"/>
    </xf>
    <xf numFmtId="0" fontId="14" fillId="0" borderId="5" xfId="0" applyFont="1" applyBorder="1" applyAlignment="1">
      <alignment vertical="center"/>
    </xf>
    <xf numFmtId="176" fontId="67" fillId="0" borderId="33" xfId="0" applyNumberFormat="1" applyFont="1" applyBorder="1" applyAlignment="1">
      <alignment horizontal="left" vertical="center"/>
    </xf>
    <xf numFmtId="0" fontId="67" fillId="0" borderId="33" xfId="0" applyFont="1" applyBorder="1" applyAlignment="1">
      <alignment vertical="center"/>
    </xf>
    <xf numFmtId="177" fontId="67" fillId="0" borderId="33" xfId="0" applyNumberFormat="1" applyFont="1" applyBorder="1" applyAlignment="1">
      <alignment horizontal="right" vertical="center"/>
    </xf>
    <xf numFmtId="0" fontId="66" fillId="0" borderId="33" xfId="0" applyFont="1" applyBorder="1" applyAlignment="1">
      <alignment vertical="center"/>
    </xf>
    <xf numFmtId="177" fontId="66" fillId="0" borderId="33" xfId="0" applyNumberFormat="1" applyFont="1" applyBorder="1" applyAlignment="1">
      <alignment horizontal="right" vertical="center"/>
    </xf>
    <xf numFmtId="0" fontId="66" fillId="4" borderId="2" xfId="0" applyFont="1" applyFill="1" applyBorder="1" applyAlignment="1">
      <alignment vertical="center"/>
    </xf>
    <xf numFmtId="177" fontId="66" fillId="4" borderId="2" xfId="0" applyNumberFormat="1" applyFont="1" applyFill="1" applyBorder="1" applyAlignment="1">
      <alignment horizontal="right" vertical="center"/>
    </xf>
    <xf numFmtId="0" fontId="20" fillId="0" borderId="0" xfId="0" applyFont="1" applyAlignment="1">
      <alignment vertical="top" wrapText="1"/>
    </xf>
    <xf numFmtId="0" fontId="64" fillId="0" borderId="0" xfId="0" applyFont="1" applyAlignment="1">
      <alignment vertical="center" wrapText="1"/>
    </xf>
    <xf numFmtId="0" fontId="65" fillId="0" borderId="0" xfId="0" applyFont="1" applyAlignment="1">
      <alignment vertical="center" wrapText="1"/>
    </xf>
    <xf numFmtId="0" fontId="14" fillId="0" borderId="5" xfId="0" applyFont="1" applyBorder="1" applyAlignment="1">
      <alignment vertical="center" wrapText="1"/>
    </xf>
    <xf numFmtId="10" fontId="66" fillId="4" borderId="2" xfId="0" applyNumberFormat="1" applyFont="1" applyFill="1" applyBorder="1" applyAlignment="1">
      <alignment horizontal="right" vertical="center"/>
    </xf>
    <xf numFmtId="0" fontId="56" fillId="0" borderId="0" xfId="0" applyFont="1"/>
    <xf numFmtId="169" fontId="13" fillId="0" borderId="0" xfId="0" applyNumberFormat="1" applyFont="1"/>
    <xf numFmtId="0" fontId="57" fillId="0" borderId="0" xfId="0" applyFont="1"/>
    <xf numFmtId="169" fontId="57" fillId="0" borderId="0" xfId="0" applyNumberFormat="1" applyFont="1"/>
    <xf numFmtId="0" fontId="68" fillId="0" borderId="0" xfId="0" applyFont="1" applyAlignment="1">
      <alignment vertical="center"/>
    </xf>
    <xf numFmtId="170" fontId="69" fillId="0" borderId="0" xfId="0" applyNumberFormat="1" applyFont="1" applyAlignment="1">
      <alignment vertical="center"/>
    </xf>
    <xf numFmtId="0" fontId="72" fillId="0" borderId="0" xfId="0" applyFont="1" applyAlignment="1">
      <alignment horizontal="left"/>
    </xf>
    <xf numFmtId="0" fontId="72" fillId="0" borderId="0" xfId="0" applyFont="1" applyAlignment="1">
      <alignment horizontal="right"/>
    </xf>
    <xf numFmtId="0" fontId="73" fillId="0" borderId="0" xfId="0" applyFont="1" applyAlignment="1">
      <alignment horizontal="left"/>
    </xf>
    <xf numFmtId="37" fontId="72" fillId="0" borderId="0" xfId="0" applyNumberFormat="1" applyFont="1" applyAlignment="1">
      <alignment horizontal="right"/>
    </xf>
    <xf numFmtId="0" fontId="73" fillId="0" borderId="1" xfId="0" applyFont="1" applyBorder="1" applyAlignment="1">
      <alignment horizontal="left"/>
    </xf>
    <xf numFmtId="37" fontId="73" fillId="0" borderId="1" xfId="0" applyNumberFormat="1" applyFont="1" applyBorder="1" applyAlignment="1">
      <alignment horizontal="right"/>
    </xf>
    <xf numFmtId="0" fontId="69" fillId="0" borderId="0" xfId="0" applyFont="1"/>
    <xf numFmtId="0" fontId="70" fillId="0" borderId="0" xfId="0" applyFont="1" applyAlignment="1">
      <alignment horizontal="left"/>
    </xf>
    <xf numFmtId="0" fontId="71" fillId="0" borderId="0" xfId="0" applyFont="1" applyAlignment="1">
      <alignment horizontal="left"/>
    </xf>
    <xf numFmtId="0" fontId="45" fillId="0" borderId="17" xfId="0" applyFont="1" applyBorder="1" applyAlignment="1">
      <alignment horizontal="right"/>
    </xf>
    <xf numFmtId="0" fontId="45" fillId="0" borderId="0" xfId="0" applyFont="1" applyAlignment="1">
      <alignment horizontal="right"/>
    </xf>
    <xf numFmtId="170" fontId="69" fillId="0" borderId="0" xfId="0" applyNumberFormat="1" applyFont="1" applyAlignment="1">
      <alignment horizontal="left" vertical="center"/>
    </xf>
  </cellXfs>
  <cellStyles count="51">
    <cellStyle name="Comma" xfId="6" builtinId="3"/>
    <cellStyle name="Comma [0] 2" xfId="15" xr:uid="{CDE3AB20-619A-4D17-A5F4-A4BCDFD65E54}"/>
    <cellStyle name="Comma [0] 3" xfId="19" xr:uid="{D87BBFD8-B4CD-4092-8DC9-7485244F6B52}"/>
    <cellStyle name="Comma [0] 4" xfId="29" xr:uid="{102C359E-DD99-48F4-9F8A-B90FF37DF94A}"/>
    <cellStyle name="Comma 10" xfId="37" xr:uid="{742F3BDC-F130-4A46-B8B4-A074458DBFEB}"/>
    <cellStyle name="Comma 10 2" xfId="41" xr:uid="{81B8BABF-A7F1-4D2D-A834-EFCBB98F9283}"/>
    <cellStyle name="Comma 10 3" xfId="42" xr:uid="{F511A3C2-5F55-4B29-8C15-34F4EF62760C}"/>
    <cellStyle name="Comma 10 4" xfId="44" xr:uid="{62847AE9-5528-4058-961E-F02597A00FCC}"/>
    <cellStyle name="Comma 10 4 2" xfId="46" xr:uid="{98F79BFA-857F-4CFC-BCDD-AC6347AC3547}"/>
    <cellStyle name="Comma 10 4 2 2" xfId="48" xr:uid="{3BFBDDAC-96E0-4C15-BD0E-39581394FA78}"/>
    <cellStyle name="Comma 11" xfId="40" xr:uid="{62C5C6E5-DFE9-4911-A594-6FD6EE2297AE}"/>
    <cellStyle name="Comma 2" xfId="4" xr:uid="{EAE35FC4-F310-4176-AB37-A292315CF989}"/>
    <cellStyle name="Comma 3" xfId="9" xr:uid="{5772025C-2638-42B6-B16B-58CCEBEBDED8}"/>
    <cellStyle name="Comma 4" xfId="14" xr:uid="{3794C99C-9C11-4AEA-8BE7-EEBD321EBC8D}"/>
    <cellStyle name="Comma 5" xfId="18" xr:uid="{246CDDBF-409D-4743-A8C0-74435E10876C}"/>
    <cellStyle name="Comma 6" xfId="21" xr:uid="{DF14DCA1-9592-4A4B-A011-73E67CBE310D}"/>
    <cellStyle name="Comma 7" xfId="23" xr:uid="{2CFA8E02-C7A2-44E8-BD70-C6E4963EABF0}"/>
    <cellStyle name="Comma 8" xfId="28" xr:uid="{B3E59AA0-A79C-409A-9F82-E3B42CC93D43}"/>
    <cellStyle name="Comma 9" xfId="33" xr:uid="{A35F4DE5-5F1E-4CD7-A05E-2DC2685A5C4F}"/>
    <cellStyle name="Currency [0] 2" xfId="13" xr:uid="{CFBE64CE-F003-4A30-B1D5-956F0DB02234}"/>
    <cellStyle name="Currency [0] 3" xfId="17" xr:uid="{EBA45BD0-9FD0-4F27-A0BA-8AA748BD8176}"/>
    <cellStyle name="Currency [0] 4" xfId="27" xr:uid="{04F9240C-E23B-43A4-B905-E574BD5C36A0}"/>
    <cellStyle name="Currency 2" xfId="12" xr:uid="{CF15DF7C-D01A-4FB8-8EBC-F835181FBA2C}"/>
    <cellStyle name="Currency 3" xfId="16" xr:uid="{E3938EDE-9281-448B-996A-CFA1B6BE10D1}"/>
    <cellStyle name="Currency 4" xfId="25" xr:uid="{4D521557-B6DA-41DB-8045-FED29293B68F}"/>
    <cellStyle name="Currency 5" xfId="26" xr:uid="{B48C7981-33B0-4510-9B55-2FC947176058}"/>
    <cellStyle name="Currency 6" xfId="35" xr:uid="{0ACA6B90-3FA4-46E7-B47D-4F527EC9CB8C}"/>
    <cellStyle name="Currency 7" xfId="39" xr:uid="{9C0A7B61-4F81-4F66-9E14-FD37D00565B4}"/>
    <cellStyle name="Hyperlink" xfId="1" builtinId="8"/>
    <cellStyle name="Hyperlink 2" xfId="5" xr:uid="{07D31857-CAD9-43E3-A3AC-7C7F45264594}"/>
    <cellStyle name="Normal" xfId="0" builtinId="0"/>
    <cellStyle name="Normal 10" xfId="32" xr:uid="{B6213043-5838-4C4F-A9BB-32689C3FF116}"/>
    <cellStyle name="Normal 11" xfId="36" xr:uid="{DAAAD4C1-98F9-4361-A31E-2F1F4E6DFF38}"/>
    <cellStyle name="Normal 11 2" xfId="43" xr:uid="{59C6D677-BDBD-4F8B-96A7-3A552EA56407}"/>
    <cellStyle name="Normal 11 3" xfId="45" xr:uid="{8770D25A-6E8B-4FE6-B7C8-2D39EB6494D0}"/>
    <cellStyle name="Normal 11 3 2" xfId="47" xr:uid="{BF727347-2104-4202-B43E-593D5DC64DA7}"/>
    <cellStyle name="Normal 11 3 2 2" xfId="49" xr:uid="{5AFF70BD-1EDD-4B9C-94FF-AD1863F94267}"/>
    <cellStyle name="Normal 12" xfId="50" xr:uid="{B263BFF7-EFEB-45E0-BC9A-23B5C23DE55E}"/>
    <cellStyle name="Normal 2" xfId="2" xr:uid="{2612A3AE-F073-4438-A344-260CB441B95B}"/>
    <cellStyle name="Normal 3" xfId="3" xr:uid="{82D0B6D6-394C-4B53-ACE8-4F5B4F1E293A}"/>
    <cellStyle name="Normal 4" xfId="7" xr:uid="{D2750E39-1B39-440D-BA43-E0FEEFBE5EE4}"/>
    <cellStyle name="Normal 5" xfId="8" xr:uid="{FE5DA299-9052-43CC-9C1C-1BF36CE36DB6}"/>
    <cellStyle name="Normal 6" xfId="10" xr:uid="{5360DBAA-2191-4760-98BB-F920D2AD8C7A}"/>
    <cellStyle name="Normal 7" xfId="20" xr:uid="{90E28581-5F50-4FC7-9A40-871D1A830BF8}"/>
    <cellStyle name="Normal 8" xfId="22" xr:uid="{909B923F-EEC1-4604-9A22-66ABD23505DE}"/>
    <cellStyle name="Normal 9" xfId="30" xr:uid="{348B0B53-8B3D-4CB9-B2A2-E5F3B10C0303}"/>
    <cellStyle name="Output" xfId="31" builtinId="21"/>
    <cellStyle name="Percent 2" xfId="11" xr:uid="{D3A31A18-A532-45AD-840A-DBDC96A8EE42}"/>
    <cellStyle name="Percent 3" xfId="24" xr:uid="{76352B7E-09AF-46BD-81A4-6D058795BAD3}"/>
    <cellStyle name="Percent 4" xfId="34" xr:uid="{07D15AD1-FE51-46A5-B383-E37CA782482B}"/>
    <cellStyle name="Percent 5" xfId="38" xr:uid="{CF927A7E-90E1-49D9-84AB-6F570FFD502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5.png"/></Relationships>
</file>

<file path=xl/drawings/_rels/drawing6.xml.rels><?xml version="1.0" encoding="UTF-8" standalone="yes"?>
<Relationships xmlns="http://schemas.openxmlformats.org/package/2006/relationships"><Relationship Id="rId1" Type="http://schemas.openxmlformats.org/officeDocument/2006/relationships/image" Target="../media/image6.png"/></Relationships>
</file>

<file path=xl/drawings/drawing1.xml><?xml version="1.0" encoding="utf-8"?>
<xdr:wsDr xmlns:xdr="http://schemas.openxmlformats.org/drawingml/2006/spreadsheetDrawing" xmlns:a="http://schemas.openxmlformats.org/drawingml/2006/main">
  <xdr:twoCellAnchor editAs="oneCell">
    <xdr:from>
      <xdr:col>1</xdr:col>
      <xdr:colOff>561975</xdr:colOff>
      <xdr:row>18</xdr:row>
      <xdr:rowOff>66675</xdr:rowOff>
    </xdr:from>
    <xdr:to>
      <xdr:col>7</xdr:col>
      <xdr:colOff>18490</xdr:colOff>
      <xdr:row>26</xdr:row>
      <xdr:rowOff>152224</xdr:rowOff>
    </xdr:to>
    <xdr:pic>
      <xdr:nvPicPr>
        <xdr:cNvPr id="2" name="Picture 1">
          <a:extLst>
            <a:ext uri="{FF2B5EF4-FFF2-40B4-BE49-F238E27FC236}">
              <a16:creationId xmlns:a16="http://schemas.microsoft.com/office/drawing/2014/main" id="{7F52AA79-F44C-4E07-BBD7-F7FE08C858E2}"/>
            </a:ext>
          </a:extLst>
        </xdr:cNvPr>
        <xdr:cNvPicPr>
          <a:picLocks noChangeAspect="1"/>
        </xdr:cNvPicPr>
      </xdr:nvPicPr>
      <xdr:blipFill>
        <a:blip xmlns:r="http://schemas.openxmlformats.org/officeDocument/2006/relationships" r:embed="rId1"/>
        <a:stretch>
          <a:fillRect/>
        </a:stretch>
      </xdr:blipFill>
      <xdr:spPr>
        <a:xfrm>
          <a:off x="1171575" y="3019425"/>
          <a:ext cx="4476190" cy="140952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9525</xdr:colOff>
      <xdr:row>1</xdr:row>
      <xdr:rowOff>66675</xdr:rowOff>
    </xdr:from>
    <xdr:to>
      <xdr:col>15</xdr:col>
      <xdr:colOff>532298</xdr:colOff>
      <xdr:row>19</xdr:row>
      <xdr:rowOff>75805</xdr:rowOff>
    </xdr:to>
    <xdr:pic>
      <xdr:nvPicPr>
        <xdr:cNvPr id="2" name="Picture 2">
          <a:extLst>
            <a:ext uri="{FF2B5EF4-FFF2-40B4-BE49-F238E27FC236}">
              <a16:creationId xmlns:a16="http://schemas.microsoft.com/office/drawing/2014/main" id="{1A02B4F3-CD08-474A-1E7E-E07C662DB4DD}"/>
            </a:ext>
          </a:extLst>
        </xdr:cNvPr>
        <xdr:cNvPicPr>
          <a:picLocks noChangeAspect="1"/>
        </xdr:cNvPicPr>
      </xdr:nvPicPr>
      <xdr:blipFill>
        <a:blip xmlns:r="http://schemas.openxmlformats.org/officeDocument/2006/relationships" r:embed="rId1"/>
        <a:stretch>
          <a:fillRect/>
        </a:stretch>
      </xdr:blipFill>
      <xdr:spPr>
        <a:xfrm>
          <a:off x="6048375" y="266700"/>
          <a:ext cx="8819048" cy="31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4</xdr:row>
      <xdr:rowOff>57150</xdr:rowOff>
    </xdr:from>
    <xdr:to>
      <xdr:col>13</xdr:col>
      <xdr:colOff>27858</xdr:colOff>
      <xdr:row>15</xdr:row>
      <xdr:rowOff>47404</xdr:rowOff>
    </xdr:to>
    <xdr:pic>
      <xdr:nvPicPr>
        <xdr:cNvPr id="3" name="Picture 2">
          <a:extLst>
            <a:ext uri="{FF2B5EF4-FFF2-40B4-BE49-F238E27FC236}">
              <a16:creationId xmlns:a16="http://schemas.microsoft.com/office/drawing/2014/main" id="{B4A65883-A953-C0CF-E322-7C572D90BEE8}"/>
            </a:ext>
          </a:extLst>
        </xdr:cNvPr>
        <xdr:cNvPicPr>
          <a:picLocks noChangeAspect="1"/>
        </xdr:cNvPicPr>
      </xdr:nvPicPr>
      <xdr:blipFill>
        <a:blip xmlns:r="http://schemas.openxmlformats.org/officeDocument/2006/relationships" r:embed="rId1"/>
        <a:stretch>
          <a:fillRect/>
        </a:stretch>
      </xdr:blipFill>
      <xdr:spPr>
        <a:xfrm>
          <a:off x="5057775" y="1009650"/>
          <a:ext cx="5733333" cy="177142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28575</xdr:colOff>
      <xdr:row>0</xdr:row>
      <xdr:rowOff>9525</xdr:rowOff>
    </xdr:from>
    <xdr:to>
      <xdr:col>13</xdr:col>
      <xdr:colOff>332384</xdr:colOff>
      <xdr:row>14</xdr:row>
      <xdr:rowOff>66380</xdr:rowOff>
    </xdr:to>
    <xdr:pic>
      <xdr:nvPicPr>
        <xdr:cNvPr id="3" name="Picture 2">
          <a:extLst>
            <a:ext uri="{FF2B5EF4-FFF2-40B4-BE49-F238E27FC236}">
              <a16:creationId xmlns:a16="http://schemas.microsoft.com/office/drawing/2014/main" id="{BDF4E43A-0B50-F727-3594-99561F31D8A2}"/>
            </a:ext>
          </a:extLst>
        </xdr:cNvPr>
        <xdr:cNvPicPr>
          <a:picLocks noChangeAspect="1"/>
        </xdr:cNvPicPr>
      </xdr:nvPicPr>
      <xdr:blipFill>
        <a:blip xmlns:r="http://schemas.openxmlformats.org/officeDocument/2006/relationships" r:embed="rId1"/>
        <a:stretch>
          <a:fillRect/>
        </a:stretch>
      </xdr:blipFill>
      <xdr:spPr>
        <a:xfrm>
          <a:off x="5429250" y="9525"/>
          <a:ext cx="7923809" cy="236190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311150</xdr:colOff>
      <xdr:row>0</xdr:row>
      <xdr:rowOff>0</xdr:rowOff>
    </xdr:from>
    <xdr:to>
      <xdr:col>26</xdr:col>
      <xdr:colOff>217944</xdr:colOff>
      <xdr:row>30</xdr:row>
      <xdr:rowOff>113637</xdr:rowOff>
    </xdr:to>
    <xdr:pic>
      <xdr:nvPicPr>
        <xdr:cNvPr id="2" name="Picture 1">
          <a:extLst>
            <a:ext uri="{FF2B5EF4-FFF2-40B4-BE49-F238E27FC236}">
              <a16:creationId xmlns:a16="http://schemas.microsoft.com/office/drawing/2014/main" id="{A26AC9F8-0CAB-F31F-B03B-A7F27158539F}"/>
            </a:ext>
          </a:extLst>
        </xdr:cNvPr>
        <xdr:cNvPicPr>
          <a:picLocks noChangeAspect="1"/>
        </xdr:cNvPicPr>
      </xdr:nvPicPr>
      <xdr:blipFill>
        <a:blip xmlns:r="http://schemas.openxmlformats.org/officeDocument/2006/relationships" r:embed="rId1"/>
        <a:stretch>
          <a:fillRect/>
        </a:stretch>
      </xdr:blipFill>
      <xdr:spPr>
        <a:xfrm>
          <a:off x="8921750" y="0"/>
          <a:ext cx="9050794" cy="5304762"/>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11</xdr:col>
      <xdr:colOff>381000</xdr:colOff>
      <xdr:row>0</xdr:row>
      <xdr:rowOff>238125</xdr:rowOff>
    </xdr:from>
    <xdr:to>
      <xdr:col>26</xdr:col>
      <xdr:colOff>475095</xdr:colOff>
      <xdr:row>31</xdr:row>
      <xdr:rowOff>94594</xdr:rowOff>
    </xdr:to>
    <xdr:pic>
      <xdr:nvPicPr>
        <xdr:cNvPr id="2" name="Picture 1">
          <a:extLst>
            <a:ext uri="{FF2B5EF4-FFF2-40B4-BE49-F238E27FC236}">
              <a16:creationId xmlns:a16="http://schemas.microsoft.com/office/drawing/2014/main" id="{D7C92DA7-10CA-6609-2C06-D04D1AC19E7E}"/>
            </a:ext>
          </a:extLst>
        </xdr:cNvPr>
        <xdr:cNvPicPr>
          <a:picLocks noChangeAspect="1"/>
        </xdr:cNvPicPr>
      </xdr:nvPicPr>
      <xdr:blipFill>
        <a:blip xmlns:r="http://schemas.openxmlformats.org/officeDocument/2006/relationships" r:embed="rId1"/>
        <a:stretch>
          <a:fillRect/>
        </a:stretch>
      </xdr:blipFill>
      <xdr:spPr>
        <a:xfrm>
          <a:off x="8286750" y="238125"/>
          <a:ext cx="9238095" cy="5247619"/>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285F4"/>
      </a:accent1>
      <a:accent2>
        <a:srgbClr val="EA4335"/>
      </a:accent2>
      <a:accent3>
        <a:srgbClr val="FBBC04"/>
      </a:accent3>
      <a:accent4>
        <a:srgbClr val="34A853"/>
      </a:accent4>
      <a:accent5>
        <a:srgbClr val="FF6D01"/>
      </a:accent5>
      <a:accent6>
        <a:srgbClr val="46BDC6"/>
      </a:accent6>
      <a:hlink>
        <a:srgbClr val="1155CC"/>
      </a:hlink>
      <a:folHlink>
        <a:srgbClr val="1155CC"/>
      </a:folHlink>
    </a:clrScheme>
    <a:fontScheme name="Sheets">
      <a:majorFont>
        <a:latin typeface="Arial"/>
        <a:ea typeface="Arial"/>
        <a:cs typeface="Arial"/>
      </a:majorFont>
      <a:minorFont>
        <a:latin typeface="Arial"/>
        <a:ea typeface="Arial"/>
        <a:cs typeface="Arial"/>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9A19C3-E635-41FD-AC75-5DD975514F11}">
  <sheetPr>
    <tabColor rgb="FF00B050"/>
  </sheetPr>
  <dimension ref="A1:K50"/>
  <sheetViews>
    <sheetView topLeftCell="A19" workbookViewId="0">
      <selection activeCell="B32" sqref="B32"/>
    </sheetView>
  </sheetViews>
  <sheetFormatPr defaultRowHeight="14" x14ac:dyDescent="0.3"/>
  <cols>
    <col min="1" max="1" width="21.7265625" style="178" customWidth="1"/>
    <col min="2" max="2" width="17.81640625" style="105" bestFit="1" customWidth="1"/>
    <col min="3" max="3" width="16.54296875" style="110" bestFit="1" customWidth="1"/>
    <col min="4" max="4" width="15.453125" style="105" bestFit="1" customWidth="1"/>
    <col min="5" max="5" width="9.7265625" style="38" bestFit="1" customWidth="1"/>
    <col min="6" max="6" width="10.54296875" style="168" customWidth="1"/>
    <col min="7" max="7" width="9" style="144" customWidth="1"/>
    <col min="8" max="8" width="18.1796875" style="105" bestFit="1" customWidth="1"/>
    <col min="9" max="9" width="11.453125" style="106" customWidth="1"/>
    <col min="10" max="10" width="15" style="107" bestFit="1" customWidth="1"/>
  </cols>
  <sheetData>
    <row r="1" spans="1:10" ht="21.75" customHeight="1" x14ac:dyDescent="0.3">
      <c r="A1" s="159" t="s">
        <v>0</v>
      </c>
      <c r="D1" s="83"/>
      <c r="E1" s="84"/>
      <c r="F1" s="160"/>
      <c r="G1" s="108"/>
      <c r="H1" s="83"/>
      <c r="I1" s="83"/>
      <c r="J1" s="85"/>
    </row>
    <row r="2" spans="1:10" x14ac:dyDescent="0.3">
      <c r="A2" s="170" t="s">
        <v>1</v>
      </c>
      <c r="B2" s="37" t="s">
        <v>2</v>
      </c>
      <c r="C2" s="37" t="s">
        <v>3</v>
      </c>
      <c r="D2" s="37" t="s">
        <v>4</v>
      </c>
      <c r="E2" s="86"/>
      <c r="F2" s="161" t="s">
        <v>5</v>
      </c>
      <c r="G2" s="142" t="s">
        <v>6</v>
      </c>
      <c r="H2" s="87"/>
      <c r="I2" s="88"/>
      <c r="J2" s="142">
        <v>9</v>
      </c>
    </row>
    <row r="3" spans="1:10" ht="28" x14ac:dyDescent="0.25">
      <c r="A3" s="171" t="s">
        <v>7</v>
      </c>
      <c r="B3" s="89" t="s">
        <v>8</v>
      </c>
      <c r="C3" s="90" t="s">
        <v>9</v>
      </c>
      <c r="D3" s="89" t="s">
        <v>10</v>
      </c>
      <c r="E3" s="91" t="s">
        <v>11</v>
      </c>
      <c r="F3" s="162" t="s">
        <v>12</v>
      </c>
      <c r="G3" s="143" t="s">
        <v>13</v>
      </c>
      <c r="H3" s="92" t="s">
        <v>14</v>
      </c>
      <c r="I3" s="92" t="s">
        <v>15</v>
      </c>
      <c r="J3" s="93" t="s">
        <v>16</v>
      </c>
    </row>
    <row r="4" spans="1:10" x14ac:dyDescent="0.3">
      <c r="A4" s="172" t="s">
        <v>17</v>
      </c>
      <c r="B4" s="151"/>
      <c r="C4" s="151"/>
      <c r="D4" s="151"/>
      <c r="E4" s="115"/>
      <c r="F4" s="154"/>
      <c r="G4" s="155"/>
      <c r="H4" s="155"/>
      <c r="I4" s="155"/>
      <c r="J4" s="115"/>
    </row>
    <row r="5" spans="1:10" x14ac:dyDescent="0.3">
      <c r="A5" s="172">
        <v>44043</v>
      </c>
      <c r="B5" s="152"/>
      <c r="C5" s="152"/>
      <c r="D5" s="151"/>
      <c r="E5" s="115"/>
      <c r="F5" s="156"/>
      <c r="G5" s="155"/>
      <c r="H5" s="155"/>
      <c r="I5" s="155"/>
      <c r="J5" s="115"/>
    </row>
    <row r="6" spans="1:10" x14ac:dyDescent="0.3">
      <c r="A6" s="172">
        <v>44074</v>
      </c>
      <c r="B6" s="152"/>
      <c r="C6" s="152"/>
      <c r="D6" s="151"/>
      <c r="E6" s="115"/>
      <c r="F6" s="154"/>
      <c r="G6" s="155"/>
      <c r="H6" s="155"/>
      <c r="I6" s="155"/>
      <c r="J6" s="115"/>
    </row>
    <row r="7" spans="1:10" x14ac:dyDescent="0.3">
      <c r="A7" s="173">
        <v>44104</v>
      </c>
      <c r="B7" s="153"/>
      <c r="C7" s="153"/>
      <c r="D7" s="153"/>
      <c r="E7" s="115"/>
      <c r="F7" s="157"/>
      <c r="G7" s="158"/>
      <c r="H7" s="158"/>
      <c r="I7" s="158"/>
      <c r="J7" s="115"/>
    </row>
    <row r="8" spans="1:10" x14ac:dyDescent="0.3">
      <c r="A8" s="172">
        <v>44135</v>
      </c>
      <c r="B8" s="152"/>
      <c r="C8" s="152"/>
      <c r="D8" s="151"/>
      <c r="E8" s="115"/>
      <c r="F8" s="154"/>
      <c r="G8" s="155"/>
      <c r="H8" s="155"/>
      <c r="I8" s="158"/>
      <c r="J8" s="115"/>
    </row>
    <row r="9" spans="1:10" x14ac:dyDescent="0.3">
      <c r="A9" s="172">
        <v>44165</v>
      </c>
      <c r="B9" s="152"/>
      <c r="C9" s="152"/>
      <c r="D9" s="151"/>
      <c r="E9" s="115"/>
      <c r="F9" s="154"/>
      <c r="G9" s="155"/>
      <c r="H9" s="155"/>
      <c r="I9" s="155"/>
      <c r="J9" s="115"/>
    </row>
    <row r="10" spans="1:10" x14ac:dyDescent="0.3">
      <c r="A10" s="173">
        <v>44196</v>
      </c>
      <c r="B10" s="152"/>
      <c r="C10" s="152"/>
      <c r="D10" s="152"/>
      <c r="E10" s="115"/>
      <c r="F10" s="157"/>
      <c r="G10" s="158"/>
      <c r="H10" s="158"/>
      <c r="I10" s="158"/>
      <c r="J10" s="115"/>
    </row>
    <row r="11" spans="1:10" x14ac:dyDescent="0.3">
      <c r="A11" s="172">
        <v>44227</v>
      </c>
      <c r="B11" s="152"/>
      <c r="C11" s="152"/>
      <c r="D11" s="151"/>
      <c r="E11" s="115"/>
      <c r="F11" s="154"/>
      <c r="G11" s="155"/>
      <c r="H11" s="155"/>
      <c r="I11" s="155"/>
      <c r="J11" s="115"/>
    </row>
    <row r="12" spans="1:10" x14ac:dyDescent="0.3">
      <c r="A12" s="172">
        <v>44255</v>
      </c>
      <c r="B12" s="152"/>
      <c r="C12" s="152"/>
      <c r="D12" s="151"/>
      <c r="E12" s="115"/>
      <c r="F12" s="154"/>
      <c r="G12" s="155"/>
      <c r="H12" s="155"/>
      <c r="I12" s="155"/>
      <c r="J12" s="115"/>
    </row>
    <row r="13" spans="1:10" x14ac:dyDescent="0.3">
      <c r="A13" s="173">
        <v>44286</v>
      </c>
      <c r="B13" s="152"/>
      <c r="C13" s="152"/>
      <c r="D13" s="152"/>
      <c r="E13" s="115"/>
      <c r="F13" s="157"/>
      <c r="G13" s="158"/>
      <c r="H13" s="158"/>
      <c r="I13" s="155"/>
      <c r="J13" s="115"/>
    </row>
    <row r="14" spans="1:10" x14ac:dyDescent="0.3">
      <c r="A14" s="172">
        <v>44316</v>
      </c>
      <c r="B14" s="152"/>
      <c r="C14" s="152"/>
      <c r="D14" s="151"/>
      <c r="E14" s="115"/>
      <c r="F14" s="154"/>
      <c r="G14" s="155"/>
      <c r="H14" s="155"/>
      <c r="I14" s="155"/>
      <c r="J14" s="115"/>
    </row>
    <row r="15" spans="1:10" x14ac:dyDescent="0.3">
      <c r="A15" s="172">
        <v>44347</v>
      </c>
      <c r="B15" s="152"/>
      <c r="C15" s="152"/>
      <c r="D15" s="151"/>
      <c r="E15" s="115"/>
      <c r="F15" s="154"/>
      <c r="G15" s="155"/>
      <c r="H15" s="155"/>
      <c r="I15" s="155"/>
      <c r="J15" s="115"/>
    </row>
    <row r="16" spans="1:10" x14ac:dyDescent="0.3">
      <c r="A16" s="173">
        <v>44377</v>
      </c>
      <c r="B16" s="153"/>
      <c r="C16" s="152"/>
      <c r="D16" s="153"/>
      <c r="E16" s="115"/>
      <c r="F16" s="157"/>
      <c r="G16" s="158"/>
      <c r="H16" s="158"/>
      <c r="I16" s="158"/>
      <c r="J16" s="115"/>
    </row>
    <row r="17" spans="1:11" x14ac:dyDescent="0.3">
      <c r="A17" s="20" t="s">
        <v>18</v>
      </c>
      <c r="B17" s="94"/>
      <c r="C17" s="94"/>
      <c r="D17" s="94"/>
      <c r="E17" s="94"/>
      <c r="F17" s="94"/>
      <c r="G17" s="94"/>
      <c r="H17" s="94"/>
      <c r="I17" s="94"/>
      <c r="J17" s="94"/>
    </row>
    <row r="18" spans="1:11" x14ac:dyDescent="0.3">
      <c r="A18" s="17"/>
      <c r="B18" s="95"/>
      <c r="C18" s="95"/>
      <c r="D18" s="95"/>
      <c r="E18" s="96"/>
      <c r="F18" s="163"/>
      <c r="G18" s="95"/>
      <c r="H18" s="95"/>
      <c r="I18" s="95"/>
      <c r="J18" s="96"/>
    </row>
    <row r="19" spans="1:11" ht="28.5" customHeight="1" x14ac:dyDescent="0.25">
      <c r="A19" s="174" t="s">
        <v>19</v>
      </c>
      <c r="B19" s="97" t="s">
        <v>20</v>
      </c>
      <c r="C19" s="97" t="s">
        <v>9</v>
      </c>
      <c r="D19" s="97" t="s">
        <v>10</v>
      </c>
      <c r="E19" s="98" t="s">
        <v>11</v>
      </c>
      <c r="F19" s="164" t="s">
        <v>12</v>
      </c>
      <c r="G19" s="99" t="s">
        <v>21</v>
      </c>
      <c r="H19" s="99" t="s">
        <v>14</v>
      </c>
      <c r="I19" s="99" t="s">
        <v>15</v>
      </c>
      <c r="J19" s="100" t="s">
        <v>16</v>
      </c>
    </row>
    <row r="20" spans="1:11" x14ac:dyDescent="0.3">
      <c r="A20" s="175">
        <v>44043</v>
      </c>
      <c r="B20" s="152"/>
      <c r="C20" s="152"/>
      <c r="D20" s="151"/>
      <c r="E20" s="147">
        <f t="shared" ref="E20:E31" si="0">C20-D20</f>
        <v>0</v>
      </c>
      <c r="F20" s="154"/>
      <c r="G20" s="155"/>
      <c r="H20" s="155"/>
      <c r="I20" s="155"/>
      <c r="J20" s="115">
        <f>E20+G20+H20+I20</f>
        <v>0</v>
      </c>
    </row>
    <row r="21" spans="1:11" x14ac:dyDescent="0.3">
      <c r="A21" s="175">
        <v>44074</v>
      </c>
      <c r="B21" s="152"/>
      <c r="C21" s="152"/>
      <c r="D21" s="151"/>
      <c r="E21" s="147">
        <f t="shared" si="0"/>
        <v>0</v>
      </c>
      <c r="F21" s="154"/>
      <c r="G21" s="155"/>
      <c r="H21" s="155"/>
      <c r="I21" s="155"/>
      <c r="J21" s="115">
        <f t="shared" ref="J21:J31" si="1">E21+G21+H21+I21</f>
        <v>0</v>
      </c>
    </row>
    <row r="22" spans="1:11" ht="17.5" x14ac:dyDescent="0.35">
      <c r="A22" s="175">
        <v>44104</v>
      </c>
      <c r="B22" s="216">
        <v>6374057</v>
      </c>
      <c r="C22" s="216">
        <v>578030</v>
      </c>
      <c r="D22" s="216">
        <v>250857</v>
      </c>
      <c r="E22" s="147">
        <f t="shared" si="0"/>
        <v>327173</v>
      </c>
      <c r="F22" s="157"/>
      <c r="G22" s="158"/>
      <c r="H22" s="158"/>
      <c r="I22" s="217">
        <v>2442</v>
      </c>
      <c r="J22" s="115">
        <f t="shared" si="1"/>
        <v>329615</v>
      </c>
      <c r="K22" s="5" t="s">
        <v>22</v>
      </c>
    </row>
    <row r="23" spans="1:11" x14ac:dyDescent="0.3">
      <c r="A23" s="175">
        <v>44135</v>
      </c>
      <c r="B23" s="152"/>
      <c r="C23" s="152"/>
      <c r="D23" s="151"/>
      <c r="E23" s="147">
        <f t="shared" si="0"/>
        <v>0</v>
      </c>
      <c r="F23" s="154"/>
      <c r="G23" s="155"/>
      <c r="H23" s="155"/>
      <c r="I23" s="155"/>
      <c r="J23" s="115">
        <f t="shared" si="1"/>
        <v>0</v>
      </c>
    </row>
    <row r="24" spans="1:11" x14ac:dyDescent="0.3">
      <c r="A24" s="175">
        <v>44165</v>
      </c>
      <c r="B24" s="152"/>
      <c r="C24" s="152"/>
      <c r="D24" s="151"/>
      <c r="E24" s="147">
        <f t="shared" si="0"/>
        <v>0</v>
      </c>
      <c r="F24" s="154"/>
      <c r="G24" s="155"/>
      <c r="H24" s="155"/>
      <c r="I24" s="155"/>
      <c r="J24" s="115">
        <f t="shared" si="1"/>
        <v>0</v>
      </c>
    </row>
    <row r="25" spans="1:11" ht="17.5" x14ac:dyDescent="0.35">
      <c r="A25" s="175">
        <v>44196</v>
      </c>
      <c r="B25" s="216">
        <v>5960793</v>
      </c>
      <c r="C25" s="216">
        <v>541890</v>
      </c>
      <c r="D25" s="216">
        <v>241222</v>
      </c>
      <c r="E25" s="147">
        <f t="shared" si="0"/>
        <v>300668</v>
      </c>
      <c r="F25" s="157"/>
      <c r="G25" s="158"/>
      <c r="H25" s="158"/>
      <c r="I25" s="217">
        <v>1941</v>
      </c>
      <c r="J25" s="115">
        <f t="shared" si="1"/>
        <v>302609</v>
      </c>
      <c r="K25" s="5" t="s">
        <v>22</v>
      </c>
    </row>
    <row r="26" spans="1:11" x14ac:dyDescent="0.3">
      <c r="A26" s="175">
        <v>44227</v>
      </c>
      <c r="B26" s="152"/>
      <c r="C26" s="152"/>
      <c r="D26" s="151"/>
      <c r="E26" s="147">
        <f t="shared" si="0"/>
        <v>0</v>
      </c>
      <c r="F26" s="154"/>
      <c r="G26" s="155"/>
      <c r="H26" s="155"/>
      <c r="I26" s="155"/>
      <c r="J26" s="115">
        <f t="shared" si="1"/>
        <v>0</v>
      </c>
    </row>
    <row r="27" spans="1:11" x14ac:dyDescent="0.3">
      <c r="A27" s="175">
        <v>44255</v>
      </c>
      <c r="B27" s="152"/>
      <c r="C27" s="152"/>
      <c r="D27" s="152"/>
      <c r="E27" s="147">
        <f t="shared" si="0"/>
        <v>0</v>
      </c>
      <c r="F27" s="154"/>
      <c r="G27" s="155"/>
      <c r="H27" s="155"/>
      <c r="I27" s="155"/>
      <c r="J27" s="115">
        <f t="shared" si="1"/>
        <v>0</v>
      </c>
    </row>
    <row r="28" spans="1:11" ht="17.5" x14ac:dyDescent="0.35">
      <c r="A28" s="175">
        <v>44286</v>
      </c>
      <c r="B28" s="216">
        <v>5397528</v>
      </c>
      <c r="C28" s="217">
        <v>490555</v>
      </c>
      <c r="D28" s="217">
        <v>253279</v>
      </c>
      <c r="E28" s="147">
        <f t="shared" si="0"/>
        <v>237276</v>
      </c>
      <c r="F28" s="165"/>
      <c r="G28" s="158"/>
      <c r="H28" s="217">
        <v>160283</v>
      </c>
      <c r="I28" s="217">
        <v>1941</v>
      </c>
      <c r="J28" s="115">
        <f t="shared" si="1"/>
        <v>399500</v>
      </c>
      <c r="K28" s="5" t="s">
        <v>22</v>
      </c>
    </row>
    <row r="29" spans="1:11" x14ac:dyDescent="0.3">
      <c r="A29" s="175">
        <v>44316</v>
      </c>
      <c r="B29" s="152"/>
      <c r="C29" s="152"/>
      <c r="D29" s="151"/>
      <c r="E29" s="147">
        <f t="shared" si="0"/>
        <v>0</v>
      </c>
      <c r="F29" s="154"/>
      <c r="G29" s="155"/>
      <c r="H29" s="155"/>
      <c r="I29" s="155"/>
      <c r="J29" s="115">
        <f t="shared" si="1"/>
        <v>0</v>
      </c>
    </row>
    <row r="30" spans="1:11" x14ac:dyDescent="0.3">
      <c r="A30" s="175">
        <v>44347</v>
      </c>
      <c r="B30" s="152"/>
      <c r="C30" s="152"/>
      <c r="D30" s="152"/>
      <c r="E30" s="147">
        <f t="shared" si="0"/>
        <v>0</v>
      </c>
      <c r="F30" s="154"/>
      <c r="G30" s="155"/>
      <c r="H30" s="155"/>
      <c r="I30" s="155"/>
      <c r="J30" s="115">
        <f t="shared" si="1"/>
        <v>0</v>
      </c>
    </row>
    <row r="31" spans="1:11" ht="17.5" x14ac:dyDescent="0.35">
      <c r="A31" s="175">
        <v>44377</v>
      </c>
      <c r="B31" s="216">
        <v>6822888</v>
      </c>
      <c r="C31" s="217">
        <v>620262</v>
      </c>
      <c r="D31" s="217">
        <v>306381</v>
      </c>
      <c r="E31" s="147">
        <f t="shared" si="0"/>
        <v>313881</v>
      </c>
      <c r="F31" s="157"/>
      <c r="G31" s="158"/>
      <c r="H31" s="158"/>
      <c r="I31" s="217">
        <v>1941</v>
      </c>
      <c r="J31" s="115">
        <f t="shared" si="1"/>
        <v>315822</v>
      </c>
      <c r="K31" s="5" t="s">
        <v>22</v>
      </c>
    </row>
    <row r="32" spans="1:11" x14ac:dyDescent="0.3">
      <c r="A32" s="29" t="s">
        <v>23</v>
      </c>
      <c r="B32" s="101">
        <v>86695</v>
      </c>
      <c r="C32" s="101">
        <v>5187</v>
      </c>
      <c r="D32" s="101">
        <v>26197</v>
      </c>
      <c r="E32" s="101">
        <v>-21010</v>
      </c>
      <c r="F32" s="166">
        <v>5941</v>
      </c>
      <c r="G32" s="102">
        <v>969</v>
      </c>
      <c r="H32" s="102">
        <v>0</v>
      </c>
      <c r="I32" s="102">
        <v>0</v>
      </c>
      <c r="J32" s="102">
        <v>-20041</v>
      </c>
    </row>
    <row r="33" spans="1:10" ht="14.5" thickBot="1" x14ac:dyDescent="0.35">
      <c r="A33" s="176" t="s">
        <v>24</v>
      </c>
      <c r="B33" s="103">
        <v>-11290.589999999997</v>
      </c>
      <c r="C33" s="103">
        <v>-669.90999999999985</v>
      </c>
      <c r="D33" s="103">
        <v>1083.919999999991</v>
      </c>
      <c r="E33" s="104">
        <v>-1753.8299999999945</v>
      </c>
      <c r="F33" s="167">
        <v>-5941</v>
      </c>
      <c r="G33" s="103">
        <v>-969</v>
      </c>
      <c r="H33" s="103">
        <v>0</v>
      </c>
      <c r="I33" s="103">
        <v>0</v>
      </c>
      <c r="J33" s="104">
        <v>-2722.8299999999945</v>
      </c>
    </row>
    <row r="34" spans="1:10" ht="14.5" thickTop="1" x14ac:dyDescent="0.3">
      <c r="A34" s="22"/>
      <c r="B34" s="95"/>
      <c r="C34" s="95"/>
      <c r="D34" s="95"/>
      <c r="E34" s="96"/>
      <c r="F34" s="163"/>
      <c r="G34" s="95"/>
      <c r="H34" s="95"/>
      <c r="I34" s="95"/>
      <c r="J34" s="96"/>
    </row>
    <row r="35" spans="1:10" x14ac:dyDescent="0.3">
      <c r="A35" s="177"/>
      <c r="B35" s="109"/>
      <c r="C35" s="145"/>
      <c r="D35" s="118"/>
    </row>
    <row r="36" spans="1:10" x14ac:dyDescent="0.3">
      <c r="A36" s="121" t="s">
        <v>25</v>
      </c>
      <c r="B36" s="113"/>
      <c r="C36" s="114"/>
      <c r="D36" s="169"/>
      <c r="E36" s="187"/>
      <c r="F36" s="187"/>
      <c r="G36" s="188"/>
    </row>
    <row r="37" spans="1:10" x14ac:dyDescent="0.3">
      <c r="A37" s="122" t="s">
        <v>26</v>
      </c>
      <c r="B37" s="125" t="s">
        <v>2</v>
      </c>
      <c r="C37" s="126" t="s">
        <v>3</v>
      </c>
      <c r="D37" s="127" t="s">
        <v>4</v>
      </c>
      <c r="E37" s="127" t="s">
        <v>5</v>
      </c>
      <c r="F37" s="127" t="s">
        <v>6</v>
      </c>
      <c r="G37" s="128" t="s">
        <v>27</v>
      </c>
    </row>
    <row r="38" spans="1:10" x14ac:dyDescent="0.3">
      <c r="A38" s="139">
        <v>44043</v>
      </c>
      <c r="B38" s="140">
        <v>0</v>
      </c>
      <c r="C38" s="141">
        <v>0</v>
      </c>
      <c r="D38" s="189">
        <v>0</v>
      </c>
      <c r="E38" s="189">
        <v>0</v>
      </c>
      <c r="F38" s="189">
        <v>0</v>
      </c>
      <c r="G38" s="190">
        <v>0</v>
      </c>
    </row>
    <row r="39" spans="1:10" x14ac:dyDescent="0.3">
      <c r="A39" s="120">
        <v>44074</v>
      </c>
      <c r="B39" s="129">
        <v>0</v>
      </c>
      <c r="C39" s="130">
        <v>0</v>
      </c>
      <c r="D39" s="191">
        <v>0</v>
      </c>
      <c r="E39" s="191">
        <v>0</v>
      </c>
      <c r="F39" s="191">
        <v>0</v>
      </c>
      <c r="G39" s="192">
        <v>0</v>
      </c>
    </row>
    <row r="40" spans="1:10" x14ac:dyDescent="0.3">
      <c r="A40" s="119">
        <v>44104</v>
      </c>
      <c r="B40" s="131">
        <v>0</v>
      </c>
      <c r="C40" s="132">
        <v>0</v>
      </c>
      <c r="D40" s="193">
        <v>2206.1999999999989</v>
      </c>
      <c r="E40" s="193">
        <v>0</v>
      </c>
      <c r="F40" s="193">
        <v>0</v>
      </c>
      <c r="G40" s="194">
        <v>0.47000000000025466</v>
      </c>
    </row>
    <row r="41" spans="1:10" x14ac:dyDescent="0.3">
      <c r="A41" s="120">
        <v>44135</v>
      </c>
      <c r="B41" s="129">
        <v>0</v>
      </c>
      <c r="C41" s="130">
        <v>0</v>
      </c>
      <c r="D41" s="191">
        <v>0</v>
      </c>
      <c r="E41" s="191">
        <v>0</v>
      </c>
      <c r="F41" s="191">
        <v>0</v>
      </c>
      <c r="G41" s="192">
        <v>0</v>
      </c>
    </row>
    <row r="42" spans="1:10" x14ac:dyDescent="0.3">
      <c r="A42" s="120">
        <v>44165</v>
      </c>
      <c r="B42" s="129">
        <v>0</v>
      </c>
      <c r="C42" s="130">
        <v>0</v>
      </c>
      <c r="D42" s="191">
        <v>0</v>
      </c>
      <c r="E42" s="191">
        <v>0</v>
      </c>
      <c r="F42" s="191">
        <v>0</v>
      </c>
      <c r="G42" s="192">
        <v>0</v>
      </c>
    </row>
    <row r="43" spans="1:10" x14ac:dyDescent="0.3">
      <c r="A43" s="119">
        <v>44196</v>
      </c>
      <c r="B43" s="131">
        <v>7.999999999992724E-2</v>
      </c>
      <c r="C43" s="132">
        <v>0.18000000000000682</v>
      </c>
      <c r="D43" s="193">
        <v>-1122.9900000000007</v>
      </c>
      <c r="E43" s="193">
        <v>0</v>
      </c>
      <c r="F43" s="193">
        <v>0</v>
      </c>
      <c r="G43" s="194">
        <v>-0.4500000000007276</v>
      </c>
    </row>
    <row r="44" spans="1:10" x14ac:dyDescent="0.3">
      <c r="A44" s="120">
        <v>44227</v>
      </c>
      <c r="B44" s="129">
        <v>0</v>
      </c>
      <c r="C44" s="130">
        <v>0</v>
      </c>
      <c r="D44" s="191">
        <v>0</v>
      </c>
      <c r="E44" s="191">
        <v>0</v>
      </c>
      <c r="F44" s="191">
        <v>0</v>
      </c>
      <c r="G44" s="192">
        <v>0</v>
      </c>
    </row>
    <row r="45" spans="1:10" x14ac:dyDescent="0.3">
      <c r="A45" s="120">
        <v>44255</v>
      </c>
      <c r="B45" s="129">
        <v>0</v>
      </c>
      <c r="C45" s="130">
        <v>0</v>
      </c>
      <c r="D45" s="191">
        <v>0</v>
      </c>
      <c r="E45" s="191">
        <v>0</v>
      </c>
      <c r="F45" s="191">
        <v>0</v>
      </c>
      <c r="G45" s="192">
        <v>0</v>
      </c>
    </row>
    <row r="46" spans="1:10" x14ac:dyDescent="0.3">
      <c r="A46" s="119">
        <v>44286</v>
      </c>
      <c r="B46" s="131">
        <v>-0.46000000000276486</v>
      </c>
      <c r="C46" s="132">
        <v>-0.25999999999976353</v>
      </c>
      <c r="D46" s="193">
        <v>4.9999999997453415E-2</v>
      </c>
      <c r="E46" s="193">
        <v>-5941</v>
      </c>
      <c r="F46" s="193">
        <v>-969</v>
      </c>
      <c r="G46" s="194">
        <v>0</v>
      </c>
    </row>
    <row r="47" spans="1:10" x14ac:dyDescent="0.3">
      <c r="A47" s="120">
        <v>44316</v>
      </c>
      <c r="B47" s="129">
        <v>0</v>
      </c>
      <c r="C47" s="130">
        <v>0</v>
      </c>
      <c r="D47" s="191">
        <v>0</v>
      </c>
      <c r="E47" s="191">
        <v>0</v>
      </c>
      <c r="F47" s="191">
        <v>0</v>
      </c>
      <c r="G47" s="192">
        <v>0</v>
      </c>
    </row>
    <row r="48" spans="1:10" x14ac:dyDescent="0.3">
      <c r="A48" s="120">
        <v>44347</v>
      </c>
      <c r="B48" s="129">
        <v>0</v>
      </c>
      <c r="C48" s="130">
        <v>0</v>
      </c>
      <c r="D48" s="191">
        <v>0</v>
      </c>
      <c r="E48" s="191">
        <v>0</v>
      </c>
      <c r="F48" s="191">
        <v>0</v>
      </c>
      <c r="G48" s="192">
        <v>0</v>
      </c>
    </row>
    <row r="49" spans="1:7" x14ac:dyDescent="0.3">
      <c r="A49" s="120">
        <v>44377</v>
      </c>
      <c r="B49" s="129">
        <v>-11290.209999999985</v>
      </c>
      <c r="C49" s="130">
        <v>-669.83000000000038</v>
      </c>
      <c r="D49" s="191">
        <v>0.65999999999803549</v>
      </c>
      <c r="E49" s="191">
        <v>0</v>
      </c>
      <c r="F49" s="191">
        <v>0</v>
      </c>
      <c r="G49" s="192">
        <v>0</v>
      </c>
    </row>
    <row r="50" spans="1:7" x14ac:dyDescent="0.3">
      <c r="A50" s="124"/>
      <c r="B50" s="123">
        <v>-11290.589999999987</v>
      </c>
      <c r="C50" s="123">
        <v>-669.91000000000008</v>
      </c>
      <c r="D50" s="123">
        <v>1083.9199999999937</v>
      </c>
      <c r="E50" s="123">
        <v>-5941</v>
      </c>
      <c r="F50" s="123">
        <v>-969</v>
      </c>
      <c r="G50" s="123">
        <v>1.9999999999527063E-2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901D3-2DE2-40B5-B230-D22A20DD2F15}">
  <sheetPr>
    <tabColor rgb="FF00B050"/>
  </sheetPr>
  <dimension ref="A1:N50"/>
  <sheetViews>
    <sheetView topLeftCell="A16" workbookViewId="0">
      <selection activeCell="B32" sqref="B32"/>
    </sheetView>
  </sheetViews>
  <sheetFormatPr defaultColWidth="9.1796875" defaultRowHeight="14" x14ac:dyDescent="0.3"/>
  <cols>
    <col min="1" max="1" width="17.1796875" style="18" customWidth="1"/>
    <col min="2" max="2" width="17.81640625" style="105" bestFit="1" customWidth="1"/>
    <col min="3" max="3" width="16.54296875" style="110" bestFit="1" customWidth="1"/>
    <col min="4" max="4" width="15.453125" style="105" bestFit="1" customWidth="1"/>
    <col min="5" max="5" width="14.54296875" style="38" bestFit="1" customWidth="1"/>
    <col min="6" max="6" width="14.7265625" style="168" bestFit="1" customWidth="1"/>
    <col min="7" max="7" width="12.81640625" style="144" bestFit="1" customWidth="1"/>
    <col min="8" max="8" width="18.1796875" style="105" bestFit="1" customWidth="1"/>
    <col min="9" max="9" width="11.453125" style="106" customWidth="1"/>
    <col min="10" max="10" width="15.1796875" style="107" bestFit="1" customWidth="1"/>
    <col min="11" max="11" width="19.1796875" style="111" customWidth="1"/>
    <col min="12" max="13" width="24" style="39" customWidth="1"/>
    <col min="14" max="14" width="7" style="39" customWidth="1"/>
    <col min="15" max="16384" width="9.1796875" style="18"/>
  </cols>
  <sheetData>
    <row r="1" spans="1:14" ht="21.75" customHeight="1" x14ac:dyDescent="0.3">
      <c r="A1" s="159" t="s">
        <v>28</v>
      </c>
      <c r="D1" s="83"/>
      <c r="E1" s="84"/>
      <c r="F1" s="160"/>
      <c r="G1" s="108"/>
      <c r="H1" s="83"/>
      <c r="I1" s="83"/>
      <c r="J1" s="85"/>
    </row>
    <row r="2" spans="1:14" x14ac:dyDescent="0.3">
      <c r="A2" s="207" t="s">
        <v>1</v>
      </c>
      <c r="B2" s="37" t="s">
        <v>2</v>
      </c>
      <c r="C2" s="37" t="s">
        <v>3</v>
      </c>
      <c r="D2" s="37" t="s">
        <v>4</v>
      </c>
      <c r="E2" s="86"/>
      <c r="F2" s="161" t="s">
        <v>5</v>
      </c>
      <c r="G2" s="142" t="s">
        <v>6</v>
      </c>
      <c r="H2" s="87"/>
      <c r="I2" s="88"/>
      <c r="J2" s="142">
        <v>9</v>
      </c>
    </row>
    <row r="3" spans="1:14" ht="28" x14ac:dyDescent="0.3">
      <c r="A3" s="16" t="s">
        <v>7</v>
      </c>
      <c r="B3" s="89" t="s">
        <v>8</v>
      </c>
      <c r="C3" s="90" t="s">
        <v>9</v>
      </c>
      <c r="D3" s="89" t="s">
        <v>10</v>
      </c>
      <c r="E3" s="91" t="s">
        <v>11</v>
      </c>
      <c r="F3" s="162" t="s">
        <v>12</v>
      </c>
      <c r="G3" s="143" t="s">
        <v>13</v>
      </c>
      <c r="H3" s="92" t="s">
        <v>14</v>
      </c>
      <c r="I3" s="92" t="s">
        <v>15</v>
      </c>
      <c r="J3" s="93" t="s">
        <v>16</v>
      </c>
      <c r="K3" s="93" t="s">
        <v>29</v>
      </c>
      <c r="L3" s="44"/>
      <c r="M3" s="44"/>
      <c r="N3" s="44"/>
    </row>
    <row r="4" spans="1:14" x14ac:dyDescent="0.3">
      <c r="A4" s="19" t="s">
        <v>17</v>
      </c>
      <c r="B4" s="151"/>
      <c r="C4" s="151"/>
      <c r="D4" s="151"/>
      <c r="E4" s="115">
        <f t="shared" ref="E4:E16" si="0">C4-D4</f>
        <v>0</v>
      </c>
      <c r="F4" s="154"/>
      <c r="G4" s="155"/>
      <c r="H4" s="155"/>
      <c r="I4" s="155"/>
      <c r="J4" s="115">
        <f t="shared" ref="J4:J16" si="1">E4+G4+H4+I4</f>
        <v>0</v>
      </c>
      <c r="K4" s="136" t="s">
        <v>30</v>
      </c>
      <c r="L4" s="18"/>
      <c r="M4" s="18"/>
      <c r="N4" s="18"/>
    </row>
    <row r="5" spans="1:14" x14ac:dyDescent="0.3">
      <c r="A5" s="27">
        <v>43677</v>
      </c>
      <c r="B5" s="152"/>
      <c r="C5" s="152"/>
      <c r="D5" s="151"/>
      <c r="E5" s="115">
        <f t="shared" si="0"/>
        <v>0</v>
      </c>
      <c r="F5" s="208"/>
      <c r="G5" s="155"/>
      <c r="H5" s="155"/>
      <c r="I5" s="155"/>
      <c r="J5" s="115">
        <f t="shared" si="1"/>
        <v>0</v>
      </c>
      <c r="K5" s="136"/>
      <c r="L5" s="136"/>
      <c r="M5" s="133"/>
      <c r="N5" s="136"/>
    </row>
    <row r="6" spans="1:14" x14ac:dyDescent="0.3">
      <c r="A6" s="27">
        <v>43708</v>
      </c>
      <c r="B6" s="152"/>
      <c r="C6" s="152"/>
      <c r="D6" s="151"/>
      <c r="E6" s="115">
        <f t="shared" si="0"/>
        <v>0</v>
      </c>
      <c r="F6" s="208"/>
      <c r="G6" s="155"/>
      <c r="H6" s="155"/>
      <c r="I6" s="155"/>
      <c r="J6" s="115">
        <f t="shared" si="1"/>
        <v>0</v>
      </c>
      <c r="K6" s="136"/>
      <c r="L6" s="136"/>
      <c r="M6" s="133"/>
      <c r="N6" s="136"/>
    </row>
    <row r="7" spans="1:14" s="112" customFormat="1" x14ac:dyDescent="0.3">
      <c r="A7" s="27">
        <v>43738</v>
      </c>
      <c r="B7" s="153"/>
      <c r="C7" s="153"/>
      <c r="D7" s="153"/>
      <c r="E7" s="115">
        <f t="shared" si="0"/>
        <v>0</v>
      </c>
      <c r="F7" s="208"/>
      <c r="G7" s="155"/>
      <c r="H7" s="158"/>
      <c r="I7" s="158"/>
      <c r="J7" s="115">
        <f>E7+G7+H7+I7</f>
        <v>0</v>
      </c>
      <c r="K7" s="136"/>
      <c r="L7" s="146"/>
      <c r="M7" s="133"/>
      <c r="N7" s="146"/>
    </row>
    <row r="8" spans="1:14" x14ac:dyDescent="0.3">
      <c r="A8" s="27">
        <v>43769</v>
      </c>
      <c r="B8" s="152"/>
      <c r="C8" s="152"/>
      <c r="D8" s="151"/>
      <c r="E8" s="115">
        <f t="shared" si="0"/>
        <v>0</v>
      </c>
      <c r="F8" s="208"/>
      <c r="G8" s="155"/>
      <c r="H8" s="158"/>
      <c r="I8" s="158"/>
      <c r="J8" s="115">
        <f>E8+G8+H8+I8</f>
        <v>0</v>
      </c>
      <c r="K8" s="136"/>
      <c r="L8" s="136"/>
      <c r="M8" s="133"/>
      <c r="N8" s="136"/>
    </row>
    <row r="9" spans="1:14" x14ac:dyDescent="0.3">
      <c r="A9" s="27">
        <v>43799</v>
      </c>
      <c r="B9" s="152"/>
      <c r="C9" s="152"/>
      <c r="D9" s="151"/>
      <c r="E9" s="115">
        <f t="shared" si="0"/>
        <v>0</v>
      </c>
      <c r="F9" s="208"/>
      <c r="G9" s="155"/>
      <c r="H9" s="155"/>
      <c r="I9" s="155"/>
      <c r="J9" s="115">
        <f>E9+G9+H9+I9</f>
        <v>0</v>
      </c>
      <c r="K9" s="136"/>
      <c r="L9" s="136"/>
      <c r="M9" s="133"/>
      <c r="N9" s="136"/>
    </row>
    <row r="10" spans="1:14" s="112" customFormat="1" x14ac:dyDescent="0.3">
      <c r="A10" s="27">
        <v>43830</v>
      </c>
      <c r="B10" s="152"/>
      <c r="C10" s="152"/>
      <c r="D10" s="152"/>
      <c r="E10" s="115">
        <f t="shared" si="0"/>
        <v>0</v>
      </c>
      <c r="F10" s="208"/>
      <c r="G10" s="155"/>
      <c r="H10" s="209"/>
      <c r="I10" s="158"/>
      <c r="J10" s="115">
        <f t="shared" si="1"/>
        <v>0</v>
      </c>
      <c r="K10" s="136"/>
      <c r="L10" s="146"/>
      <c r="M10" s="133"/>
      <c r="N10" s="146"/>
    </row>
    <row r="11" spans="1:14" x14ac:dyDescent="0.3">
      <c r="A11" s="27">
        <v>43861</v>
      </c>
      <c r="B11" s="152"/>
      <c r="C11" s="152"/>
      <c r="D11" s="151"/>
      <c r="E11" s="115">
        <f t="shared" si="0"/>
        <v>0</v>
      </c>
      <c r="F11" s="208"/>
      <c r="G11" s="155"/>
      <c r="H11" s="155"/>
      <c r="I11" s="155"/>
      <c r="J11" s="115">
        <f t="shared" si="1"/>
        <v>0</v>
      </c>
      <c r="K11" s="136"/>
      <c r="L11" s="136"/>
      <c r="M11" s="133"/>
      <c r="N11" s="136"/>
    </row>
    <row r="12" spans="1:14" x14ac:dyDescent="0.3">
      <c r="A12" s="27">
        <v>43889</v>
      </c>
      <c r="B12" s="152"/>
      <c r="C12" s="152"/>
      <c r="D12" s="151"/>
      <c r="E12" s="115">
        <f t="shared" si="0"/>
        <v>0</v>
      </c>
      <c r="F12" s="208"/>
      <c r="G12" s="155"/>
      <c r="H12" s="155"/>
      <c r="I12" s="155"/>
      <c r="J12" s="115">
        <f t="shared" si="1"/>
        <v>0</v>
      </c>
      <c r="K12" s="136"/>
      <c r="L12" s="136"/>
      <c r="M12" s="133"/>
      <c r="N12" s="136"/>
    </row>
    <row r="13" spans="1:14" s="112" customFormat="1" x14ac:dyDescent="0.3">
      <c r="A13" s="27">
        <v>43921</v>
      </c>
      <c r="B13" s="152"/>
      <c r="C13" s="152"/>
      <c r="D13" s="152"/>
      <c r="E13" s="115">
        <f t="shared" si="0"/>
        <v>0</v>
      </c>
      <c r="F13" s="208"/>
      <c r="G13" s="158"/>
      <c r="H13" s="155"/>
      <c r="I13" s="155"/>
      <c r="J13" s="115">
        <f t="shared" si="1"/>
        <v>0</v>
      </c>
      <c r="K13" s="136"/>
      <c r="L13" s="146"/>
      <c r="M13" s="133"/>
      <c r="N13" s="146"/>
    </row>
    <row r="14" spans="1:14" x14ac:dyDescent="0.3">
      <c r="A14" s="27">
        <v>43951</v>
      </c>
      <c r="B14" s="152"/>
      <c r="C14" s="152"/>
      <c r="D14" s="151"/>
      <c r="E14" s="115">
        <f t="shared" si="0"/>
        <v>0</v>
      </c>
      <c r="F14" s="208"/>
      <c r="G14" s="155"/>
      <c r="H14" s="155"/>
      <c r="I14" s="155"/>
      <c r="J14" s="115">
        <f t="shared" si="1"/>
        <v>0</v>
      </c>
      <c r="K14" s="136"/>
      <c r="L14" s="136"/>
      <c r="M14" s="133"/>
      <c r="N14" s="136"/>
    </row>
    <row r="15" spans="1:14" x14ac:dyDescent="0.3">
      <c r="A15" s="27">
        <v>43982</v>
      </c>
      <c r="B15" s="152"/>
      <c r="C15" s="152"/>
      <c r="D15" s="151"/>
      <c r="E15" s="115">
        <f t="shared" si="0"/>
        <v>0</v>
      </c>
      <c r="F15" s="208"/>
      <c r="G15" s="155"/>
      <c r="H15" s="155"/>
      <c r="I15" s="155"/>
      <c r="J15" s="115">
        <f t="shared" si="1"/>
        <v>0</v>
      </c>
      <c r="K15" s="136"/>
      <c r="L15" s="136"/>
      <c r="M15" s="133"/>
      <c r="N15" s="136"/>
    </row>
    <row r="16" spans="1:14" s="112" customFormat="1" x14ac:dyDescent="0.3">
      <c r="A16" s="27">
        <v>44012</v>
      </c>
      <c r="B16" s="153"/>
      <c r="C16" s="152"/>
      <c r="D16" s="153"/>
      <c r="E16" s="115">
        <f t="shared" si="0"/>
        <v>0</v>
      </c>
      <c r="F16" s="208"/>
      <c r="G16" s="158"/>
      <c r="H16" s="158"/>
      <c r="I16" s="158"/>
      <c r="J16" s="115">
        <f t="shared" si="1"/>
        <v>0</v>
      </c>
      <c r="K16" s="146"/>
      <c r="L16" s="146"/>
      <c r="M16" s="210"/>
      <c r="N16" s="146"/>
    </row>
    <row r="17" spans="1:14" s="21" customFormat="1" x14ac:dyDescent="0.3">
      <c r="A17" s="20" t="s">
        <v>18</v>
      </c>
      <c r="B17" s="94">
        <f>SUM(B4:B16)</f>
        <v>0</v>
      </c>
      <c r="C17" s="94">
        <f>SUM(C4:C16)</f>
        <v>0</v>
      </c>
      <c r="D17" s="94">
        <f>SUM(D4:D16)</f>
        <v>0</v>
      </c>
      <c r="E17" s="94">
        <f>SUM(E4:E16)</f>
        <v>0</v>
      </c>
      <c r="F17" s="94">
        <f t="shared" ref="F17:J17" si="2">SUM(F4:F16)</f>
        <v>0</v>
      </c>
      <c r="G17" s="94">
        <f t="shared" si="2"/>
        <v>0</v>
      </c>
      <c r="H17" s="94">
        <f t="shared" si="2"/>
        <v>0</v>
      </c>
      <c r="I17" s="94">
        <f t="shared" si="2"/>
        <v>0</v>
      </c>
      <c r="J17" s="94">
        <f t="shared" si="2"/>
        <v>0</v>
      </c>
      <c r="K17" s="134"/>
      <c r="L17" s="211"/>
      <c r="M17" s="211"/>
      <c r="N17" s="211"/>
    </row>
    <row r="18" spans="1:14" x14ac:dyDescent="0.3">
      <c r="A18" s="17"/>
      <c r="B18" s="95"/>
      <c r="C18" s="95"/>
      <c r="D18" s="95"/>
      <c r="E18" s="96"/>
      <c r="F18" s="163"/>
      <c r="G18" s="95"/>
      <c r="H18" s="95"/>
      <c r="I18" s="95"/>
      <c r="J18" s="96"/>
      <c r="K18" s="134"/>
      <c r="L18" s="211"/>
      <c r="M18" s="211"/>
      <c r="N18" s="211"/>
    </row>
    <row r="19" spans="1:14" ht="28.5" customHeight="1" x14ac:dyDescent="0.3">
      <c r="A19" s="30" t="s">
        <v>19</v>
      </c>
      <c r="B19" s="97" t="s">
        <v>20</v>
      </c>
      <c r="C19" s="97" t="s">
        <v>9</v>
      </c>
      <c r="D19" s="97" t="s">
        <v>10</v>
      </c>
      <c r="E19" s="98" t="s">
        <v>11</v>
      </c>
      <c r="F19" s="164" t="s">
        <v>12</v>
      </c>
      <c r="G19" s="99" t="s">
        <v>21</v>
      </c>
      <c r="H19" s="99" t="s">
        <v>14</v>
      </c>
      <c r="I19" s="99" t="s">
        <v>15</v>
      </c>
      <c r="J19" s="100" t="s">
        <v>16</v>
      </c>
      <c r="K19" s="134"/>
      <c r="L19" s="211"/>
      <c r="M19" s="211"/>
      <c r="N19" s="211"/>
    </row>
    <row r="20" spans="1:14" s="28" customFormat="1" x14ac:dyDescent="0.3">
      <c r="A20" s="27">
        <v>43677</v>
      </c>
      <c r="B20" s="212"/>
      <c r="C20" s="212"/>
      <c r="D20" s="212"/>
      <c r="E20" s="115">
        <f t="shared" ref="E20:E30" si="3">C20-D20</f>
        <v>0</v>
      </c>
      <c r="F20" s="208"/>
      <c r="G20" s="208"/>
      <c r="H20" s="213"/>
      <c r="I20" s="213"/>
      <c r="J20" s="115">
        <f t="shared" ref="J20:J31" si="4">E20+G20+H20+I20</f>
        <v>0</v>
      </c>
      <c r="K20" s="136"/>
      <c r="L20" s="136"/>
      <c r="M20" s="136"/>
      <c r="N20" s="136"/>
    </row>
    <row r="21" spans="1:14" s="28" customFormat="1" x14ac:dyDescent="0.3">
      <c r="A21" s="27">
        <v>43708</v>
      </c>
      <c r="B21" s="212"/>
      <c r="C21" s="212"/>
      <c r="D21" s="212"/>
      <c r="E21" s="115">
        <f t="shared" si="3"/>
        <v>0</v>
      </c>
      <c r="F21" s="208"/>
      <c r="G21" s="208"/>
      <c r="H21" s="213"/>
      <c r="I21" s="213"/>
      <c r="J21" s="115">
        <f t="shared" si="4"/>
        <v>0</v>
      </c>
      <c r="K21" s="136"/>
      <c r="L21" s="136"/>
      <c r="M21" s="136"/>
      <c r="N21" s="136"/>
    </row>
    <row r="22" spans="1:14" s="28" customFormat="1" ht="17.5" x14ac:dyDescent="0.35">
      <c r="A22" s="27">
        <v>43738</v>
      </c>
      <c r="B22" s="216">
        <v>5685181</v>
      </c>
      <c r="C22" s="216">
        <v>516796</v>
      </c>
      <c r="D22" s="216">
        <v>267995</v>
      </c>
      <c r="E22" s="115">
        <f>C22-D22</f>
        <v>248801</v>
      </c>
      <c r="F22" s="208"/>
      <c r="G22" s="208"/>
      <c r="H22" s="217">
        <v>59987</v>
      </c>
      <c r="I22" s="218">
        <v>373</v>
      </c>
      <c r="J22" s="214">
        <f t="shared" si="4"/>
        <v>309161</v>
      </c>
      <c r="K22" s="136" t="s">
        <v>31</v>
      </c>
      <c r="L22" s="136"/>
      <c r="M22" s="136"/>
      <c r="N22" s="136"/>
    </row>
    <row r="23" spans="1:14" s="28" customFormat="1" x14ac:dyDescent="0.3">
      <c r="A23" s="27">
        <v>43769</v>
      </c>
      <c r="B23" s="212"/>
      <c r="C23" s="212"/>
      <c r="D23" s="212"/>
      <c r="E23" s="115">
        <f t="shared" si="3"/>
        <v>0</v>
      </c>
      <c r="F23" s="208"/>
      <c r="G23" s="208"/>
      <c r="H23" s="213"/>
      <c r="I23" s="213"/>
      <c r="J23" s="115">
        <f t="shared" si="4"/>
        <v>0</v>
      </c>
      <c r="K23" s="136"/>
      <c r="L23" s="136"/>
      <c r="M23" s="136"/>
      <c r="N23" s="136"/>
    </row>
    <row r="24" spans="1:14" s="28" customFormat="1" x14ac:dyDescent="0.3">
      <c r="A24" s="27">
        <v>43799</v>
      </c>
      <c r="B24" s="212"/>
      <c r="C24" s="212"/>
      <c r="D24" s="212"/>
      <c r="E24" s="115">
        <f t="shared" si="3"/>
        <v>0</v>
      </c>
      <c r="F24" s="208"/>
      <c r="G24" s="208"/>
      <c r="H24" s="213"/>
      <c r="I24" s="213"/>
      <c r="J24" s="115">
        <f t="shared" si="4"/>
        <v>0</v>
      </c>
      <c r="K24" s="136"/>
      <c r="L24" s="136"/>
      <c r="M24" s="136"/>
      <c r="N24" s="136"/>
    </row>
    <row r="25" spans="1:14" s="28" customFormat="1" ht="17.5" x14ac:dyDescent="0.35">
      <c r="A25" s="27">
        <v>43830</v>
      </c>
      <c r="B25" s="216">
        <v>6849671</v>
      </c>
      <c r="C25" s="217">
        <v>622697</v>
      </c>
      <c r="D25" s="219">
        <v>261603</v>
      </c>
      <c r="E25" s="115">
        <f t="shared" si="3"/>
        <v>361094</v>
      </c>
      <c r="F25" s="208"/>
      <c r="G25" s="208"/>
      <c r="H25" s="217">
        <v>72207</v>
      </c>
      <c r="I25" s="217">
        <v>1440</v>
      </c>
      <c r="J25" s="214">
        <f>E25+G25+H25+I25</f>
        <v>434741</v>
      </c>
      <c r="K25" s="136" t="s">
        <v>31</v>
      </c>
      <c r="L25" s="136"/>
      <c r="M25" s="136"/>
      <c r="N25" s="136"/>
    </row>
    <row r="26" spans="1:14" s="28" customFormat="1" x14ac:dyDescent="0.3">
      <c r="A26" s="27">
        <v>43861</v>
      </c>
      <c r="B26" s="212"/>
      <c r="C26" s="212"/>
      <c r="D26" s="212"/>
      <c r="E26" s="115">
        <f t="shared" si="3"/>
        <v>0</v>
      </c>
      <c r="F26" s="208"/>
      <c r="G26" s="208"/>
      <c r="H26" s="213"/>
      <c r="I26" s="213"/>
      <c r="J26" s="115">
        <f t="shared" si="4"/>
        <v>0</v>
      </c>
      <c r="K26" s="136"/>
      <c r="L26" s="136"/>
      <c r="M26" s="136"/>
      <c r="N26" s="136"/>
    </row>
    <row r="27" spans="1:14" s="28" customFormat="1" x14ac:dyDescent="0.3">
      <c r="A27" s="27">
        <v>43889</v>
      </c>
      <c r="B27" s="212"/>
      <c r="C27" s="212"/>
      <c r="D27" s="212"/>
      <c r="E27" s="115">
        <f>C27-D27</f>
        <v>0</v>
      </c>
      <c r="F27" s="208"/>
      <c r="G27" s="208"/>
      <c r="H27" s="213"/>
      <c r="I27" s="213"/>
      <c r="J27" s="115">
        <f t="shared" si="4"/>
        <v>0</v>
      </c>
      <c r="K27" s="136"/>
      <c r="L27" s="136"/>
      <c r="M27" s="136"/>
      <c r="N27" s="136"/>
    </row>
    <row r="28" spans="1:14" s="28" customFormat="1" ht="17.5" x14ac:dyDescent="0.35">
      <c r="A28" s="27">
        <v>43921</v>
      </c>
      <c r="B28" s="216">
        <v>4777323</v>
      </c>
      <c r="C28" s="217">
        <v>434053</v>
      </c>
      <c r="D28" s="217">
        <v>220760</v>
      </c>
      <c r="E28" s="115">
        <f t="shared" si="3"/>
        <v>213293</v>
      </c>
      <c r="F28" s="208"/>
      <c r="G28" s="208"/>
      <c r="H28" s="213"/>
      <c r="I28" s="217">
        <v>1440</v>
      </c>
      <c r="J28" s="214">
        <f t="shared" si="4"/>
        <v>214733</v>
      </c>
      <c r="K28" s="136" t="s">
        <v>31</v>
      </c>
      <c r="L28" s="136"/>
      <c r="M28" s="136"/>
      <c r="N28" s="136"/>
    </row>
    <row r="29" spans="1:14" s="28" customFormat="1" x14ac:dyDescent="0.3">
      <c r="A29" s="27">
        <v>43951</v>
      </c>
      <c r="B29" s="212"/>
      <c r="C29" s="212"/>
      <c r="D29" s="212"/>
      <c r="E29" s="115">
        <f t="shared" si="3"/>
        <v>0</v>
      </c>
      <c r="F29" s="208"/>
      <c r="G29" s="208"/>
      <c r="H29" s="213"/>
      <c r="I29" s="213"/>
      <c r="J29" s="115">
        <f t="shared" si="4"/>
        <v>0</v>
      </c>
      <c r="K29" s="136"/>
      <c r="L29" s="136"/>
      <c r="M29" s="136"/>
      <c r="N29" s="136"/>
    </row>
    <row r="30" spans="1:14" s="28" customFormat="1" x14ac:dyDescent="0.3">
      <c r="A30" s="27">
        <v>43982</v>
      </c>
      <c r="B30" s="212"/>
      <c r="C30" s="212"/>
      <c r="D30" s="212"/>
      <c r="E30" s="115">
        <f t="shared" si="3"/>
        <v>0</v>
      </c>
      <c r="F30" s="208"/>
      <c r="G30" s="208"/>
      <c r="H30" s="213"/>
      <c r="I30" s="213"/>
      <c r="J30" s="115">
        <f t="shared" si="4"/>
        <v>0</v>
      </c>
      <c r="K30" s="136"/>
      <c r="L30" s="136"/>
      <c r="M30" s="136"/>
      <c r="N30" s="136"/>
    </row>
    <row r="31" spans="1:14" s="28" customFormat="1" ht="17.5" x14ac:dyDescent="0.35">
      <c r="A31" s="27">
        <v>44012</v>
      </c>
      <c r="B31" s="216">
        <v>6522896</v>
      </c>
      <c r="C31" s="216">
        <v>592990</v>
      </c>
      <c r="D31" s="216">
        <v>272631</v>
      </c>
      <c r="E31" s="115">
        <f>C31-D31</f>
        <v>320359</v>
      </c>
      <c r="F31" s="208"/>
      <c r="G31" s="208"/>
      <c r="H31" s="213"/>
      <c r="I31" s="217">
        <v>1440</v>
      </c>
      <c r="J31" s="214">
        <f t="shared" si="4"/>
        <v>321799</v>
      </c>
      <c r="K31" s="136" t="s">
        <v>31</v>
      </c>
      <c r="L31" s="136"/>
      <c r="M31" s="136"/>
      <c r="N31" s="136"/>
    </row>
    <row r="32" spans="1:14" s="28" customFormat="1" x14ac:dyDescent="0.3">
      <c r="A32" s="215" t="s">
        <v>23</v>
      </c>
      <c r="B32" s="215">
        <f t="shared" ref="B32:J32" si="5">SUM(B20:B31)</f>
        <v>23835071</v>
      </c>
      <c r="C32" s="215">
        <f t="shared" si="5"/>
        <v>2166536</v>
      </c>
      <c r="D32" s="215">
        <f t="shared" si="5"/>
        <v>1022989</v>
      </c>
      <c r="E32" s="215">
        <f t="shared" si="5"/>
        <v>1143547</v>
      </c>
      <c r="F32" s="215">
        <f t="shared" si="5"/>
        <v>0</v>
      </c>
      <c r="G32" s="215">
        <f t="shared" si="5"/>
        <v>0</v>
      </c>
      <c r="H32" s="215">
        <f t="shared" si="5"/>
        <v>132194</v>
      </c>
      <c r="I32" s="215">
        <f t="shared" si="5"/>
        <v>4693</v>
      </c>
      <c r="J32" s="215">
        <f t="shared" si="5"/>
        <v>1280434</v>
      </c>
      <c r="K32" s="136"/>
      <c r="L32" s="211"/>
      <c r="M32" s="211"/>
      <c r="N32" s="211"/>
    </row>
    <row r="33" spans="1:14" ht="14.5" thickBot="1" x14ac:dyDescent="0.35">
      <c r="A33" s="103" t="s">
        <v>24</v>
      </c>
      <c r="B33" s="103">
        <f t="shared" ref="B33:J33" si="6">(B17-B32)</f>
        <v>-23835071</v>
      </c>
      <c r="C33" s="103">
        <f t="shared" si="6"/>
        <v>-2166536</v>
      </c>
      <c r="D33" s="103">
        <f t="shared" si="6"/>
        <v>-1022989</v>
      </c>
      <c r="E33" s="104">
        <f t="shared" si="6"/>
        <v>-1143547</v>
      </c>
      <c r="F33" s="167">
        <f t="shared" si="6"/>
        <v>0</v>
      </c>
      <c r="G33" s="103">
        <f>(G17-G32)</f>
        <v>0</v>
      </c>
      <c r="H33" s="103">
        <f t="shared" si="6"/>
        <v>-132194</v>
      </c>
      <c r="I33" s="103">
        <f t="shared" si="6"/>
        <v>-4693</v>
      </c>
      <c r="J33" s="104">
        <f t="shared" si="6"/>
        <v>-1280434</v>
      </c>
      <c r="K33" s="133"/>
      <c r="L33" s="136"/>
      <c r="M33" s="136"/>
      <c r="N33" s="136"/>
    </row>
    <row r="34" spans="1:14" ht="14.5" thickTop="1" x14ac:dyDescent="0.3">
      <c r="A34" s="22"/>
      <c r="B34" s="95"/>
      <c r="C34" s="95"/>
      <c r="D34" s="95"/>
      <c r="E34" s="96"/>
      <c r="F34" s="163"/>
      <c r="G34" s="95"/>
      <c r="H34" s="95"/>
      <c r="I34" s="95"/>
      <c r="J34" s="96"/>
      <c r="K34" s="133"/>
      <c r="L34" s="40"/>
      <c r="M34" s="40"/>
      <c r="N34" s="40"/>
    </row>
    <row r="35" spans="1:14" x14ac:dyDescent="0.3">
      <c r="A35" s="138"/>
      <c r="B35" s="109"/>
      <c r="C35" s="145"/>
      <c r="D35" s="118"/>
    </row>
    <row r="36" spans="1:14" x14ac:dyDescent="0.3">
      <c r="A36" s="121" t="s">
        <v>32</v>
      </c>
      <c r="B36" s="113"/>
      <c r="C36" s="114"/>
      <c r="D36" s="169"/>
      <c r="E36" s="187"/>
      <c r="F36" s="187"/>
      <c r="G36" s="188"/>
    </row>
    <row r="37" spans="1:14" x14ac:dyDescent="0.3">
      <c r="A37" s="122" t="s">
        <v>26</v>
      </c>
      <c r="B37" s="125" t="s">
        <v>2</v>
      </c>
      <c r="C37" s="126" t="s">
        <v>3</v>
      </c>
      <c r="D37" s="127" t="s">
        <v>4</v>
      </c>
      <c r="E37" s="127" t="s">
        <v>5</v>
      </c>
      <c r="F37" s="127" t="s">
        <v>6</v>
      </c>
      <c r="G37" s="128" t="s">
        <v>27</v>
      </c>
    </row>
    <row r="38" spans="1:14" x14ac:dyDescent="0.3">
      <c r="A38" s="139">
        <f t="shared" ref="A38:A49" si="7">A20</f>
        <v>43677</v>
      </c>
      <c r="B38" s="140">
        <v>0</v>
      </c>
      <c r="C38" s="141">
        <v>0</v>
      </c>
      <c r="D38" s="189">
        <v>0</v>
      </c>
      <c r="E38" s="189">
        <v>0</v>
      </c>
      <c r="F38" s="189">
        <v>0</v>
      </c>
      <c r="G38" s="190">
        <v>0</v>
      </c>
    </row>
    <row r="39" spans="1:14" x14ac:dyDescent="0.3">
      <c r="A39" s="120">
        <f t="shared" si="7"/>
        <v>43708</v>
      </c>
      <c r="B39" s="129">
        <v>0</v>
      </c>
      <c r="C39" s="130">
        <v>0</v>
      </c>
      <c r="D39" s="191">
        <v>0</v>
      </c>
      <c r="E39" s="191">
        <v>0</v>
      </c>
      <c r="F39" s="191">
        <v>0</v>
      </c>
      <c r="G39" s="192">
        <v>0</v>
      </c>
    </row>
    <row r="40" spans="1:14" x14ac:dyDescent="0.3">
      <c r="A40" s="119">
        <f t="shared" si="7"/>
        <v>43738</v>
      </c>
      <c r="B40" s="131">
        <v>0</v>
      </c>
      <c r="C40" s="132">
        <v>0</v>
      </c>
      <c r="D40" s="193">
        <v>0</v>
      </c>
      <c r="E40" s="193">
        <v>0</v>
      </c>
      <c r="F40" s="193">
        <v>0</v>
      </c>
      <c r="G40" s="194">
        <v>0.47000000000025466</v>
      </c>
    </row>
    <row r="41" spans="1:14" x14ac:dyDescent="0.3">
      <c r="A41" s="120">
        <f t="shared" si="7"/>
        <v>43769</v>
      </c>
      <c r="B41" s="129">
        <v>0</v>
      </c>
      <c r="C41" s="130">
        <v>0</v>
      </c>
      <c r="D41" s="191">
        <v>0</v>
      </c>
      <c r="E41" s="191">
        <v>0</v>
      </c>
      <c r="F41" s="191">
        <v>0</v>
      </c>
      <c r="G41" s="192">
        <v>0</v>
      </c>
    </row>
    <row r="42" spans="1:14" x14ac:dyDescent="0.3">
      <c r="A42" s="120">
        <f t="shared" si="7"/>
        <v>43799</v>
      </c>
      <c r="B42" s="129">
        <v>0</v>
      </c>
      <c r="C42" s="130">
        <v>0</v>
      </c>
      <c r="D42" s="191">
        <v>0</v>
      </c>
      <c r="E42" s="191">
        <v>0</v>
      </c>
      <c r="F42" s="191">
        <v>0</v>
      </c>
      <c r="G42" s="192">
        <v>0</v>
      </c>
    </row>
    <row r="43" spans="1:14" x14ac:dyDescent="0.3">
      <c r="A43" s="119">
        <f t="shared" si="7"/>
        <v>43830</v>
      </c>
      <c r="B43" s="131">
        <v>0</v>
      </c>
      <c r="C43" s="132">
        <v>0</v>
      </c>
      <c r="D43" s="193">
        <v>2.0000000000436557E-2</v>
      </c>
      <c r="E43" s="193">
        <v>0</v>
      </c>
      <c r="F43" s="193">
        <v>0</v>
      </c>
      <c r="G43" s="194">
        <v>-0.4500000000007276</v>
      </c>
    </row>
    <row r="44" spans="1:14" x14ac:dyDescent="0.3">
      <c r="A44" s="120">
        <f t="shared" si="7"/>
        <v>43861</v>
      </c>
      <c r="B44" s="129">
        <v>0</v>
      </c>
      <c r="C44" s="130">
        <v>0</v>
      </c>
      <c r="D44" s="191">
        <v>0</v>
      </c>
      <c r="E44" s="191">
        <v>0</v>
      </c>
      <c r="F44" s="191">
        <v>0</v>
      </c>
      <c r="G44" s="192">
        <v>0</v>
      </c>
    </row>
    <row r="45" spans="1:14" x14ac:dyDescent="0.3">
      <c r="A45" s="120">
        <f t="shared" si="7"/>
        <v>43889</v>
      </c>
      <c r="B45" s="129">
        <v>0</v>
      </c>
      <c r="C45" s="130">
        <v>0</v>
      </c>
      <c r="D45" s="191">
        <v>0</v>
      </c>
      <c r="E45" s="191">
        <v>0</v>
      </c>
      <c r="F45" s="191">
        <v>0</v>
      </c>
      <c r="G45" s="192">
        <v>0</v>
      </c>
    </row>
    <row r="46" spans="1:14" x14ac:dyDescent="0.3">
      <c r="A46" s="119">
        <f t="shared" si="7"/>
        <v>43921</v>
      </c>
      <c r="B46" s="131">
        <v>0</v>
      </c>
      <c r="C46" s="132">
        <v>0</v>
      </c>
      <c r="D46" s="193">
        <v>-169.61999999999898</v>
      </c>
      <c r="E46" s="193">
        <v>0</v>
      </c>
      <c r="F46" s="193">
        <v>0</v>
      </c>
      <c r="G46" s="194">
        <v>0</v>
      </c>
    </row>
    <row r="47" spans="1:14" x14ac:dyDescent="0.3">
      <c r="A47" s="120">
        <f t="shared" si="7"/>
        <v>43951</v>
      </c>
      <c r="B47" s="129">
        <v>0</v>
      </c>
      <c r="C47" s="130">
        <v>0</v>
      </c>
      <c r="D47" s="191">
        <v>0</v>
      </c>
      <c r="E47" s="191">
        <v>0</v>
      </c>
      <c r="F47" s="191">
        <v>0</v>
      </c>
      <c r="G47" s="192">
        <v>0</v>
      </c>
    </row>
    <row r="48" spans="1:14" s="105" customFormat="1" x14ac:dyDescent="0.3">
      <c r="A48" s="120">
        <f t="shared" si="7"/>
        <v>43982</v>
      </c>
      <c r="B48" s="129">
        <v>0</v>
      </c>
      <c r="C48" s="130">
        <v>0</v>
      </c>
      <c r="D48" s="191">
        <v>0</v>
      </c>
      <c r="E48" s="191">
        <v>0</v>
      </c>
      <c r="F48" s="191">
        <v>0</v>
      </c>
      <c r="G48" s="192">
        <v>0</v>
      </c>
      <c r="I48" s="106"/>
      <c r="J48" s="107"/>
      <c r="K48" s="111"/>
      <c r="L48" s="39"/>
      <c r="M48" s="39"/>
      <c r="N48" s="39"/>
    </row>
    <row r="49" spans="1:14" s="105" customFormat="1" x14ac:dyDescent="0.3">
      <c r="A49" s="120">
        <f t="shared" si="7"/>
        <v>44012</v>
      </c>
      <c r="B49" s="129">
        <v>0</v>
      </c>
      <c r="C49" s="130">
        <v>0</v>
      </c>
      <c r="D49" s="191">
        <v>0.8999999999996362</v>
      </c>
      <c r="E49" s="191">
        <v>0</v>
      </c>
      <c r="F49" s="191">
        <v>0</v>
      </c>
      <c r="G49" s="192">
        <v>0</v>
      </c>
      <c r="I49" s="106"/>
      <c r="J49" s="107"/>
      <c r="K49" s="111"/>
      <c r="L49" s="39"/>
      <c r="M49" s="39"/>
      <c r="N49" s="39"/>
    </row>
    <row r="50" spans="1:14" s="105" customFormat="1" x14ac:dyDescent="0.3">
      <c r="A50" s="124"/>
      <c r="B50" s="123">
        <f t="shared" ref="B50:G50" si="8">SUM(B38:B49)</f>
        <v>0</v>
      </c>
      <c r="C50" s="123">
        <f t="shared" si="8"/>
        <v>0</v>
      </c>
      <c r="D50" s="123">
        <f t="shared" si="8"/>
        <v>-168.69999999999891</v>
      </c>
      <c r="E50" s="123">
        <f t="shared" si="8"/>
        <v>0</v>
      </c>
      <c r="F50" s="123">
        <f t="shared" si="8"/>
        <v>0</v>
      </c>
      <c r="G50" s="123">
        <f t="shared" si="8"/>
        <v>1.9999999999527063E-2</v>
      </c>
      <c r="I50" s="106"/>
      <c r="J50" s="107"/>
      <c r="K50" s="111"/>
      <c r="L50" s="39"/>
      <c r="M50" s="39"/>
      <c r="N50" s="39"/>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3C3EB7-B838-4057-87C7-8019AE7A7CA9}">
  <sheetPr codeName="Sheet36">
    <tabColor rgb="FF00B050"/>
  </sheetPr>
  <dimension ref="C4:J26"/>
  <sheetViews>
    <sheetView topLeftCell="A13" workbookViewId="0">
      <selection activeCell="B32" sqref="B32"/>
    </sheetView>
  </sheetViews>
  <sheetFormatPr defaultColWidth="9.1796875" defaultRowHeight="12.5" x14ac:dyDescent="0.25"/>
  <cols>
    <col min="1" max="2" width="9.1796875" style="45"/>
    <col min="3" max="3" width="12.81640625" style="69" bestFit="1" customWidth="1"/>
    <col min="4" max="4" width="23" style="45" bestFit="1" customWidth="1"/>
    <col min="5" max="5" width="6.7265625" style="45" bestFit="1" customWidth="1"/>
    <col min="6" max="6" width="9.7265625" style="45" customWidth="1"/>
    <col min="7" max="7" width="13.81640625" style="69" bestFit="1" customWidth="1"/>
    <col min="8" max="8" width="11.26953125" style="80" bestFit="1" customWidth="1"/>
    <col min="9" max="9" width="38" style="80" bestFit="1" customWidth="1"/>
    <col min="10" max="10" width="18.1796875" style="45" customWidth="1"/>
    <col min="11" max="16384" width="9.1796875" style="45"/>
  </cols>
  <sheetData>
    <row r="4" spans="3:10" ht="13" x14ac:dyDescent="0.3">
      <c r="C4" s="46" t="s">
        <v>33</v>
      </c>
      <c r="D4" s="46"/>
      <c r="E4" s="46"/>
      <c r="F4" s="46"/>
      <c r="G4" s="47"/>
      <c r="H4" s="48" t="s">
        <v>34</v>
      </c>
      <c r="I4" s="48" t="s">
        <v>35</v>
      </c>
    </row>
    <row r="5" spans="3:10" ht="13" x14ac:dyDescent="0.3">
      <c r="C5" s="49"/>
      <c r="D5" s="50"/>
      <c r="E5" s="50"/>
      <c r="F5" s="50"/>
      <c r="G5" s="51"/>
      <c r="H5" s="52"/>
      <c r="I5" s="53"/>
    </row>
    <row r="6" spans="3:10" ht="13" x14ac:dyDescent="0.3">
      <c r="C6" s="54" t="s">
        <v>36</v>
      </c>
      <c r="D6" s="45" t="s">
        <v>37</v>
      </c>
      <c r="F6" s="55" t="s">
        <v>36</v>
      </c>
      <c r="G6" s="56">
        <v>11625</v>
      </c>
      <c r="H6" s="135" t="s">
        <v>38</v>
      </c>
      <c r="I6" s="57" t="s">
        <v>39</v>
      </c>
    </row>
    <row r="7" spans="3:10" ht="13" x14ac:dyDescent="0.3">
      <c r="C7" s="58"/>
      <c r="D7" s="59"/>
      <c r="E7" s="59"/>
      <c r="F7" s="59"/>
      <c r="G7" s="60"/>
      <c r="H7" s="61"/>
      <c r="I7" s="62"/>
    </row>
    <row r="9" spans="3:10" ht="13" x14ac:dyDescent="0.3">
      <c r="C9" s="63" t="s">
        <v>40</v>
      </c>
      <c r="D9" s="50" t="s">
        <v>41</v>
      </c>
      <c r="E9" s="51">
        <v>2.37</v>
      </c>
      <c r="F9" s="51">
        <v>100</v>
      </c>
      <c r="G9" s="64">
        <f>+E9/F9</f>
        <v>2.3700000000000002E-2</v>
      </c>
      <c r="H9" s="52"/>
      <c r="I9" s="53"/>
      <c r="J9" s="65" t="s">
        <v>42</v>
      </c>
    </row>
    <row r="10" spans="3:10" ht="13" x14ac:dyDescent="0.3">
      <c r="C10" s="54"/>
      <c r="D10" s="45" t="s">
        <v>43</v>
      </c>
      <c r="G10" s="66">
        <v>538583.5</v>
      </c>
      <c r="H10" s="67"/>
      <c r="I10" s="68"/>
      <c r="J10" s="69"/>
    </row>
    <row r="11" spans="3:10" ht="13" x14ac:dyDescent="0.3">
      <c r="C11" s="54" t="s">
        <v>44</v>
      </c>
      <c r="D11" s="45" t="s">
        <v>45</v>
      </c>
      <c r="G11" s="66">
        <v>0</v>
      </c>
      <c r="H11" s="67"/>
      <c r="I11" s="68"/>
      <c r="J11" s="45" t="s">
        <v>46</v>
      </c>
    </row>
    <row r="12" spans="3:10" ht="13" x14ac:dyDescent="0.3">
      <c r="C12" s="54"/>
      <c r="D12" s="45" t="s">
        <v>47</v>
      </c>
      <c r="G12" s="66">
        <v>0</v>
      </c>
      <c r="H12" s="67"/>
      <c r="I12" s="68"/>
      <c r="J12" s="69"/>
    </row>
    <row r="13" spans="3:10" ht="14.5" x14ac:dyDescent="0.3">
      <c r="C13" s="54"/>
      <c r="D13" s="45" t="s">
        <v>48</v>
      </c>
      <c r="G13" s="66">
        <v>0</v>
      </c>
      <c r="H13" s="67"/>
      <c r="I13" s="68"/>
      <c r="J13" s="70" t="s">
        <v>49</v>
      </c>
    </row>
    <row r="14" spans="3:10" ht="13" x14ac:dyDescent="0.3">
      <c r="C14" s="54" t="s">
        <v>50</v>
      </c>
      <c r="D14" s="45" t="s">
        <v>51</v>
      </c>
      <c r="G14" s="66">
        <v>0</v>
      </c>
      <c r="H14" s="67"/>
      <c r="I14" s="68"/>
    </row>
    <row r="15" spans="3:10" ht="13.5" thickBot="1" x14ac:dyDescent="0.35">
      <c r="C15" s="71"/>
      <c r="D15" s="72" t="s">
        <v>52</v>
      </c>
      <c r="E15" s="72"/>
      <c r="F15" s="72"/>
      <c r="G15" s="73">
        <f>SUM(G10:G14)</f>
        <v>538583.5</v>
      </c>
      <c r="H15" s="67"/>
      <c r="I15" s="68"/>
    </row>
    <row r="16" spans="3:10" ht="13" x14ac:dyDescent="0.3">
      <c r="C16" s="74"/>
      <c r="D16" s="59"/>
      <c r="E16" s="59"/>
      <c r="F16" s="75" t="s">
        <v>40</v>
      </c>
      <c r="G16" s="76">
        <f>+G9*G15</f>
        <v>12764.428950000001</v>
      </c>
      <c r="H16" s="77">
        <f>+G16</f>
        <v>12764.428950000001</v>
      </c>
      <c r="I16" s="78" t="s">
        <v>53</v>
      </c>
      <c r="J16" s="79">
        <f>+G16/G9</f>
        <v>538583.5</v>
      </c>
    </row>
    <row r="17" spans="3:10" x14ac:dyDescent="0.25">
      <c r="J17" s="79"/>
    </row>
    <row r="18" spans="3:10" x14ac:dyDescent="0.25">
      <c r="C18" s="45"/>
      <c r="G18" s="81"/>
    </row>
    <row r="19" spans="3:10" x14ac:dyDescent="0.25">
      <c r="C19" s="45"/>
      <c r="G19" s="81"/>
    </row>
    <row r="20" spans="3:10" x14ac:dyDescent="0.25">
      <c r="C20" s="45"/>
      <c r="E20" s="82"/>
      <c r="F20" s="82"/>
      <c r="G20" s="81"/>
    </row>
    <row r="21" spans="3:10" x14ac:dyDescent="0.25">
      <c r="C21" s="45"/>
      <c r="E21" s="82"/>
      <c r="F21" s="82"/>
      <c r="G21" s="81"/>
    </row>
    <row r="22" spans="3:10" x14ac:dyDescent="0.25">
      <c r="C22" s="45"/>
      <c r="G22" s="81"/>
    </row>
    <row r="23" spans="3:10" x14ac:dyDescent="0.25">
      <c r="C23" s="45"/>
      <c r="G23" s="81"/>
    </row>
    <row r="24" spans="3:10" x14ac:dyDescent="0.25">
      <c r="C24" s="45"/>
      <c r="G24" s="80"/>
    </row>
    <row r="25" spans="3:10" x14ac:dyDescent="0.25">
      <c r="C25" s="45"/>
      <c r="E25" s="81"/>
      <c r="F25" s="81"/>
      <c r="G25" s="79"/>
    </row>
    <row r="26" spans="3:10" ht="14.5" x14ac:dyDescent="0.25">
      <c r="C26" s="70"/>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3A3370-021F-4A09-AEC9-DF9C13B5F386}">
  <sheetPr>
    <tabColor rgb="FF00B050"/>
  </sheetPr>
  <dimension ref="A1:Q97"/>
  <sheetViews>
    <sheetView workbookViewId="0">
      <pane xSplit="3" ySplit="2" topLeftCell="D3" activePane="bottomRight" state="frozen"/>
      <selection pane="topRight" activeCell="H37" sqref="H37"/>
      <selection pane="bottomLeft" activeCell="H37" sqref="H37"/>
      <selection pane="bottomRight" activeCell="I24" sqref="I24"/>
    </sheetView>
  </sheetViews>
  <sheetFormatPr defaultRowHeight="12.5" x14ac:dyDescent="0.25"/>
  <cols>
    <col min="1" max="1" width="9.81640625" bestFit="1" customWidth="1"/>
    <col min="2" max="2" width="21.7265625" customWidth="1"/>
    <col min="3" max="3" width="52.453125" hidden="1" customWidth="1"/>
    <col min="4" max="4" width="45.1796875" customWidth="1"/>
    <col min="5" max="5" width="9.81640625" bestFit="1" customWidth="1"/>
    <col min="7" max="7" width="9.81640625" bestFit="1" customWidth="1"/>
  </cols>
  <sheetData>
    <row r="1" spans="1:17" ht="13" x14ac:dyDescent="0.3">
      <c r="A1" s="24"/>
      <c r="B1" s="24"/>
      <c r="C1" s="24"/>
      <c r="D1" s="24"/>
      <c r="E1" s="24"/>
      <c r="F1" s="24"/>
      <c r="G1" s="24"/>
    </row>
    <row r="2" spans="1:17" ht="13" x14ac:dyDescent="0.3">
      <c r="A2" s="24" t="s">
        <v>54</v>
      </c>
      <c r="B2" s="24" t="s">
        <v>55</v>
      </c>
      <c r="C2" s="24" t="s">
        <v>56</v>
      </c>
      <c r="D2" s="24" t="s">
        <v>57</v>
      </c>
      <c r="E2" s="24" t="s">
        <v>58</v>
      </c>
      <c r="F2" s="24" t="s">
        <v>59</v>
      </c>
      <c r="G2" s="24" t="s">
        <v>60</v>
      </c>
    </row>
    <row r="3" spans="1:17" s="23" customFormat="1" x14ac:dyDescent="0.25">
      <c r="A3" s="8"/>
      <c r="B3" s="8"/>
      <c r="C3" s="8"/>
      <c r="D3" s="8"/>
      <c r="E3" s="25"/>
      <c r="F3" s="25"/>
      <c r="G3" s="25"/>
      <c r="H3"/>
      <c r="I3"/>
      <c r="J3"/>
      <c r="K3"/>
      <c r="L3"/>
      <c r="M3"/>
      <c r="N3"/>
      <c r="O3" s="25"/>
      <c r="P3" s="34"/>
      <c r="Q3" s="33"/>
    </row>
    <row r="4" spans="1:17" s="23" customFormat="1" x14ac:dyDescent="0.25">
      <c r="A4" s="8"/>
      <c r="B4" s="8"/>
      <c r="C4" s="8"/>
      <c r="D4" s="8"/>
      <c r="E4" s="25"/>
      <c r="F4" s="25"/>
      <c r="G4" s="25"/>
      <c r="H4"/>
      <c r="I4"/>
      <c r="J4"/>
      <c r="K4"/>
      <c r="L4"/>
      <c r="M4"/>
      <c r="N4"/>
      <c r="O4" s="25"/>
      <c r="P4" s="34"/>
      <c r="Q4" s="33"/>
    </row>
    <row r="5" spans="1:17" s="23" customFormat="1" x14ac:dyDescent="0.25">
      <c r="A5" s="8"/>
      <c r="B5" s="8"/>
      <c r="C5" s="8"/>
      <c r="D5" s="8"/>
      <c r="E5" s="25"/>
      <c r="F5" s="25"/>
      <c r="G5" s="25"/>
      <c r="H5"/>
      <c r="I5"/>
      <c r="J5"/>
      <c r="K5"/>
      <c r="L5"/>
      <c r="M5"/>
      <c r="N5"/>
      <c r="O5" s="25"/>
      <c r="P5" s="34"/>
      <c r="Q5" s="33"/>
    </row>
    <row r="6" spans="1:17" s="23" customFormat="1" x14ac:dyDescent="0.25">
      <c r="A6" s="8"/>
      <c r="B6" s="8"/>
      <c r="C6" s="8"/>
      <c r="D6" s="8"/>
      <c r="E6" s="25"/>
      <c r="F6" s="25"/>
      <c r="G6" s="25"/>
      <c r="H6"/>
      <c r="I6"/>
      <c r="J6"/>
      <c r="K6"/>
      <c r="L6"/>
      <c r="M6"/>
      <c r="N6"/>
      <c r="O6" s="25"/>
      <c r="P6" s="34"/>
      <c r="Q6" s="33"/>
    </row>
    <row r="7" spans="1:17" s="23" customFormat="1" x14ac:dyDescent="0.25">
      <c r="A7" s="8"/>
      <c r="B7" s="8"/>
      <c r="C7" s="8"/>
      <c r="D7" s="8"/>
      <c r="E7" s="25"/>
      <c r="F7" s="25"/>
      <c r="G7" s="25"/>
      <c r="H7"/>
      <c r="I7"/>
      <c r="J7"/>
      <c r="K7"/>
      <c r="L7"/>
      <c r="M7"/>
      <c r="N7"/>
      <c r="O7" s="25"/>
      <c r="P7" s="34"/>
      <c r="Q7" s="33"/>
    </row>
    <row r="8" spans="1:17" s="23" customFormat="1" x14ac:dyDescent="0.25">
      <c r="A8" s="8"/>
      <c r="B8" s="8"/>
      <c r="C8" s="8"/>
      <c r="D8" s="8"/>
      <c r="E8" s="25"/>
      <c r="F8" s="25"/>
      <c r="G8" s="25"/>
      <c r="H8"/>
      <c r="I8"/>
      <c r="J8"/>
      <c r="K8"/>
      <c r="L8"/>
      <c r="M8"/>
      <c r="N8"/>
      <c r="O8" s="25"/>
      <c r="P8" s="34"/>
      <c r="Q8" s="33"/>
    </row>
    <row r="9" spans="1:17" s="23" customFormat="1" x14ac:dyDescent="0.25">
      <c r="A9" s="8"/>
      <c r="B9" s="8"/>
      <c r="C9" s="8"/>
      <c r="D9" s="8"/>
      <c r="E9" s="25"/>
      <c r="F9" s="25"/>
      <c r="G9" s="25"/>
      <c r="H9"/>
      <c r="I9"/>
      <c r="J9"/>
      <c r="K9"/>
      <c r="L9"/>
      <c r="M9"/>
      <c r="N9"/>
      <c r="O9" s="25"/>
      <c r="P9" s="34"/>
      <c r="Q9" s="33"/>
    </row>
    <row r="10" spans="1:17" s="23" customFormat="1" x14ac:dyDescent="0.25">
      <c r="A10" s="8"/>
      <c r="B10" s="8"/>
      <c r="C10" s="8"/>
      <c r="D10" s="8"/>
      <c r="E10" s="25"/>
      <c r="F10" s="25"/>
      <c r="G10" s="25"/>
      <c r="H10"/>
      <c r="I10"/>
      <c r="J10"/>
      <c r="K10"/>
      <c r="L10"/>
      <c r="M10"/>
      <c r="N10"/>
      <c r="O10" s="25"/>
      <c r="P10" s="34"/>
      <c r="Q10" s="33"/>
    </row>
    <row r="11" spans="1:17" s="23" customFormat="1" x14ac:dyDescent="0.25">
      <c r="A11" s="8"/>
      <c r="B11" s="8"/>
      <c r="C11" s="8"/>
      <c r="D11" s="8"/>
      <c r="E11" s="25"/>
      <c r="F11" s="25"/>
      <c r="G11" s="25"/>
      <c r="H11"/>
      <c r="I11"/>
      <c r="J11"/>
      <c r="K11"/>
      <c r="L11"/>
      <c r="M11"/>
      <c r="N11"/>
      <c r="O11" s="25"/>
      <c r="P11" s="34"/>
      <c r="Q11" s="33"/>
    </row>
    <row r="12" spans="1:17" s="23" customFormat="1" x14ac:dyDescent="0.25">
      <c r="A12" s="8"/>
      <c r="B12" s="8"/>
      <c r="C12" s="8"/>
      <c r="D12" s="8"/>
      <c r="E12" s="25"/>
      <c r="F12" s="25"/>
      <c r="G12" s="25"/>
      <c r="H12"/>
      <c r="I12"/>
      <c r="J12"/>
      <c r="K12"/>
      <c r="L12"/>
      <c r="M12"/>
      <c r="N12"/>
      <c r="O12" s="25"/>
      <c r="P12" s="34"/>
      <c r="Q12" s="33"/>
    </row>
    <row r="13" spans="1:17" s="23" customFormat="1" x14ac:dyDescent="0.25">
      <c r="A13" s="8"/>
      <c r="B13" s="8"/>
      <c r="C13" s="8"/>
      <c r="D13" s="8"/>
      <c r="E13" s="117"/>
      <c r="F13" s="117"/>
      <c r="G13" s="117"/>
      <c r="H13"/>
      <c r="I13"/>
      <c r="J13"/>
      <c r="K13"/>
      <c r="L13"/>
      <c r="M13"/>
      <c r="N13"/>
      <c r="O13" s="25"/>
      <c r="P13" s="34"/>
      <c r="Q13" s="33"/>
    </row>
    <row r="14" spans="1:17" x14ac:dyDescent="0.25">
      <c r="A14" s="8"/>
      <c r="B14" s="8"/>
      <c r="C14" s="8"/>
      <c r="D14" s="8"/>
      <c r="E14" s="25"/>
      <c r="F14" s="25"/>
      <c r="G14" s="25"/>
    </row>
    <row r="15" spans="1:17" x14ac:dyDescent="0.25">
      <c r="A15" s="8"/>
      <c r="B15" s="8"/>
      <c r="C15" s="8"/>
      <c r="D15" s="8"/>
      <c r="E15" s="25"/>
      <c r="F15" s="25"/>
      <c r="G15" s="25"/>
    </row>
    <row r="16" spans="1:17" x14ac:dyDescent="0.25">
      <c r="A16" s="8"/>
      <c r="B16" s="8"/>
      <c r="C16" s="8"/>
      <c r="D16" s="8"/>
      <c r="E16" s="25"/>
      <c r="F16" s="25"/>
      <c r="G16" s="25"/>
    </row>
    <row r="17" spans="1:7" x14ac:dyDescent="0.25">
      <c r="A17" s="8"/>
      <c r="B17" s="8"/>
      <c r="C17" s="8"/>
      <c r="D17" s="8"/>
      <c r="E17" s="25"/>
      <c r="F17" s="25"/>
      <c r="G17" s="25"/>
    </row>
    <row r="18" spans="1:7" x14ac:dyDescent="0.25">
      <c r="A18" s="8"/>
      <c r="B18" s="8"/>
      <c r="C18" s="8"/>
      <c r="D18" s="8"/>
      <c r="E18" s="25"/>
      <c r="F18" s="25"/>
      <c r="G18" s="25"/>
    </row>
    <row r="19" spans="1:7" x14ac:dyDescent="0.25">
      <c r="A19" s="8"/>
      <c r="B19" s="8"/>
      <c r="C19" s="8"/>
      <c r="D19" s="8"/>
      <c r="E19" s="25"/>
      <c r="F19" s="25"/>
      <c r="G19" s="25"/>
    </row>
    <row r="20" spans="1:7" x14ac:dyDescent="0.25">
      <c r="A20" s="8"/>
      <c r="B20" s="8"/>
      <c r="C20" s="8"/>
      <c r="D20" s="8"/>
      <c r="E20" s="25"/>
      <c r="F20" s="25"/>
      <c r="G20" s="25"/>
    </row>
    <row r="21" spans="1:7" x14ac:dyDescent="0.25">
      <c r="A21" s="8"/>
      <c r="B21" s="8"/>
      <c r="C21" s="8"/>
      <c r="D21" s="8"/>
      <c r="E21" s="25"/>
      <c r="F21" s="25"/>
      <c r="G21" s="25"/>
    </row>
    <row r="22" spans="1:7" x14ac:dyDescent="0.25">
      <c r="A22" s="8"/>
      <c r="B22" s="8"/>
      <c r="C22" s="8"/>
      <c r="D22" s="8"/>
      <c r="E22" s="25"/>
      <c r="F22" s="25"/>
      <c r="G22" s="25"/>
    </row>
    <row r="23" spans="1:7" x14ac:dyDescent="0.25">
      <c r="A23" s="8"/>
      <c r="B23" s="8"/>
      <c r="C23" s="8"/>
      <c r="D23" s="8"/>
      <c r="E23" s="25"/>
      <c r="F23" s="25"/>
      <c r="G23" s="25"/>
    </row>
    <row r="24" spans="1:7" x14ac:dyDescent="0.25">
      <c r="A24" s="8"/>
      <c r="B24" s="8"/>
      <c r="C24" s="8"/>
      <c r="D24" s="8"/>
      <c r="E24" s="25"/>
      <c r="F24" s="25"/>
      <c r="G24" s="25"/>
    </row>
    <row r="25" spans="1:7" x14ac:dyDescent="0.25">
      <c r="A25" s="8"/>
      <c r="B25" s="8"/>
      <c r="C25" s="8"/>
      <c r="D25" s="8"/>
      <c r="E25" s="25"/>
      <c r="F25" s="25"/>
      <c r="G25" s="25"/>
    </row>
    <row r="26" spans="1:7" x14ac:dyDescent="0.25">
      <c r="A26" s="8"/>
      <c r="B26" s="8"/>
      <c r="C26" s="8"/>
      <c r="D26" s="8"/>
      <c r="E26" s="25"/>
      <c r="F26" s="25"/>
      <c r="G26" s="25"/>
    </row>
    <row r="27" spans="1:7" x14ac:dyDescent="0.25">
      <c r="A27" s="8"/>
      <c r="B27" s="8"/>
      <c r="C27" s="8"/>
      <c r="D27" s="8"/>
      <c r="E27" s="25"/>
      <c r="F27" s="25"/>
      <c r="G27" s="25"/>
    </row>
    <row r="28" spans="1:7" x14ac:dyDescent="0.25">
      <c r="A28" s="8"/>
      <c r="B28" s="8"/>
      <c r="C28" s="8"/>
      <c r="D28" s="8"/>
      <c r="E28" s="25"/>
      <c r="F28" s="25"/>
      <c r="G28" s="25"/>
    </row>
    <row r="29" spans="1:7" x14ac:dyDescent="0.25">
      <c r="A29" s="8"/>
      <c r="B29" s="8"/>
      <c r="C29" s="8"/>
      <c r="D29" s="8"/>
      <c r="E29" s="25"/>
      <c r="F29" s="25"/>
      <c r="G29" s="25"/>
    </row>
    <row r="30" spans="1:7" x14ac:dyDescent="0.25">
      <c r="A30" s="8"/>
      <c r="B30" s="8"/>
      <c r="C30" s="8"/>
      <c r="D30" s="8"/>
      <c r="E30" s="25"/>
      <c r="F30" s="25"/>
      <c r="G30" s="25"/>
    </row>
    <row r="31" spans="1:7" x14ac:dyDescent="0.25">
      <c r="A31" s="8"/>
      <c r="B31" s="8"/>
      <c r="C31" s="8"/>
      <c r="D31" s="8"/>
      <c r="E31" s="25"/>
      <c r="F31" s="25"/>
      <c r="G31" s="25"/>
    </row>
    <row r="32" spans="1:7" x14ac:dyDescent="0.25">
      <c r="A32" s="8"/>
      <c r="B32" s="8"/>
      <c r="C32" s="8"/>
      <c r="D32" s="8"/>
      <c r="E32" s="25"/>
      <c r="F32" s="25"/>
      <c r="G32" s="25"/>
    </row>
    <row r="33" spans="1:7" x14ac:dyDescent="0.25">
      <c r="A33" s="8"/>
      <c r="B33" s="8"/>
      <c r="C33" s="8"/>
      <c r="D33" s="8"/>
      <c r="E33" s="25"/>
      <c r="F33" s="25"/>
      <c r="G33" s="25"/>
    </row>
    <row r="34" spans="1:7" x14ac:dyDescent="0.25">
      <c r="A34" s="8"/>
      <c r="B34" s="8"/>
      <c r="C34" s="8"/>
      <c r="D34" s="8"/>
      <c r="E34" s="25"/>
      <c r="F34" s="25"/>
      <c r="G34" s="25"/>
    </row>
    <row r="35" spans="1:7" x14ac:dyDescent="0.25">
      <c r="A35" s="8"/>
      <c r="B35" s="8"/>
      <c r="C35" s="8"/>
      <c r="D35" s="8"/>
      <c r="E35" s="25"/>
      <c r="F35" s="25"/>
      <c r="G35" s="25"/>
    </row>
    <row r="36" spans="1:7" x14ac:dyDescent="0.25">
      <c r="A36" s="8"/>
      <c r="B36" s="8"/>
      <c r="C36" s="8"/>
      <c r="D36" s="8"/>
      <c r="E36" s="25"/>
      <c r="F36" s="25"/>
      <c r="G36" s="25"/>
    </row>
    <row r="37" spans="1:7" x14ac:dyDescent="0.25">
      <c r="A37" s="8"/>
      <c r="B37" s="8"/>
      <c r="C37" s="8"/>
      <c r="D37" s="8"/>
      <c r="E37" s="25"/>
      <c r="F37" s="25"/>
      <c r="G37" s="25"/>
    </row>
    <row r="38" spans="1:7" x14ac:dyDescent="0.25">
      <c r="A38" s="8"/>
      <c r="B38" s="8"/>
      <c r="C38" s="8"/>
      <c r="D38" s="8"/>
      <c r="E38" s="25"/>
      <c r="F38" s="25"/>
      <c r="G38" s="25"/>
    </row>
    <row r="39" spans="1:7" x14ac:dyDescent="0.25">
      <c r="A39" s="8"/>
      <c r="B39" s="8"/>
      <c r="C39" s="8"/>
      <c r="D39" s="8"/>
      <c r="E39" s="25"/>
      <c r="F39" s="25"/>
      <c r="G39" s="25"/>
    </row>
    <row r="40" spans="1:7" x14ac:dyDescent="0.25">
      <c r="A40" s="8"/>
      <c r="B40" s="8"/>
      <c r="C40" s="8"/>
      <c r="D40" s="8"/>
      <c r="E40" s="25"/>
      <c r="F40" s="25"/>
      <c r="G40" s="25"/>
    </row>
    <row r="41" spans="1:7" x14ac:dyDescent="0.25">
      <c r="A41" s="8"/>
      <c r="B41" s="8"/>
      <c r="C41" s="8"/>
      <c r="D41" s="8"/>
      <c r="E41" s="25"/>
      <c r="F41" s="25"/>
      <c r="G41" s="25"/>
    </row>
    <row r="42" spans="1:7" x14ac:dyDescent="0.25">
      <c r="A42" s="8"/>
      <c r="B42" s="8"/>
      <c r="C42" s="8"/>
      <c r="D42" s="8"/>
      <c r="E42" s="25"/>
      <c r="F42" s="25"/>
      <c r="G42" s="25"/>
    </row>
    <row r="43" spans="1:7" x14ac:dyDescent="0.25">
      <c r="A43" s="8"/>
      <c r="B43" s="8"/>
      <c r="C43" s="8"/>
      <c r="D43" s="8"/>
      <c r="E43" s="25"/>
      <c r="F43" s="25"/>
      <c r="G43" s="25"/>
    </row>
    <row r="44" spans="1:7" x14ac:dyDescent="0.25">
      <c r="A44" s="8"/>
      <c r="B44" s="8"/>
      <c r="C44" s="8"/>
      <c r="D44" s="8"/>
      <c r="E44" s="25"/>
      <c r="F44" s="25"/>
      <c r="G44" s="25"/>
    </row>
    <row r="45" spans="1:7" x14ac:dyDescent="0.25">
      <c r="A45" s="8"/>
      <c r="B45" s="8"/>
      <c r="C45" s="8"/>
      <c r="D45" s="8"/>
      <c r="E45" s="25"/>
      <c r="F45" s="25"/>
      <c r="G45" s="25"/>
    </row>
    <row r="46" spans="1:7" x14ac:dyDescent="0.25">
      <c r="A46" s="8"/>
      <c r="B46" s="8"/>
      <c r="C46" s="8"/>
      <c r="D46" s="8"/>
      <c r="E46" s="25"/>
      <c r="F46" s="25"/>
      <c r="G46" s="25"/>
    </row>
    <row r="47" spans="1:7" x14ac:dyDescent="0.25">
      <c r="A47" s="8"/>
      <c r="B47" s="8"/>
      <c r="C47" s="8"/>
      <c r="D47" s="8"/>
      <c r="E47" s="25"/>
      <c r="F47" s="25"/>
      <c r="G47" s="25"/>
    </row>
    <row r="48" spans="1:7" x14ac:dyDescent="0.25">
      <c r="A48" s="8"/>
      <c r="B48" s="8"/>
      <c r="C48" s="8"/>
      <c r="D48" s="8"/>
      <c r="E48" s="25"/>
      <c r="F48" s="25"/>
      <c r="G48" s="25"/>
    </row>
    <row r="49" spans="1:7" x14ac:dyDescent="0.25">
      <c r="A49" s="8"/>
      <c r="B49" s="8"/>
      <c r="C49" s="8"/>
      <c r="D49" s="8"/>
      <c r="E49" s="25"/>
      <c r="F49" s="25"/>
      <c r="G49" s="25"/>
    </row>
    <row r="50" spans="1:7" x14ac:dyDescent="0.25">
      <c r="A50" s="8"/>
      <c r="B50" s="8"/>
      <c r="C50" s="8"/>
      <c r="D50" s="8"/>
      <c r="E50" s="25"/>
      <c r="F50" s="25"/>
      <c r="G50" s="25"/>
    </row>
    <row r="51" spans="1:7" x14ac:dyDescent="0.25">
      <c r="A51" s="8"/>
      <c r="B51" s="8"/>
      <c r="C51" s="8"/>
      <c r="D51" s="8"/>
      <c r="E51" s="25"/>
      <c r="F51" s="25"/>
      <c r="G51" s="25"/>
    </row>
    <row r="52" spans="1:7" x14ac:dyDescent="0.25">
      <c r="A52" s="8"/>
      <c r="B52" s="8"/>
      <c r="C52" s="8"/>
      <c r="D52" s="8"/>
      <c r="E52" s="25"/>
      <c r="F52" s="25"/>
      <c r="G52" s="25"/>
    </row>
    <row r="53" spans="1:7" x14ac:dyDescent="0.25">
      <c r="A53" s="8"/>
      <c r="B53" s="8"/>
      <c r="C53" s="8"/>
      <c r="D53" s="8"/>
      <c r="E53" s="25"/>
      <c r="F53" s="25"/>
      <c r="G53" s="25"/>
    </row>
    <row r="54" spans="1:7" x14ac:dyDescent="0.25">
      <c r="A54" s="8"/>
      <c r="B54" s="8"/>
      <c r="C54" s="8"/>
      <c r="D54" s="8"/>
      <c r="E54" s="25"/>
      <c r="F54" s="25"/>
      <c r="G54" s="25"/>
    </row>
    <row r="55" spans="1:7" x14ac:dyDescent="0.25">
      <c r="A55" s="8"/>
      <c r="B55" s="8"/>
      <c r="C55" s="8"/>
      <c r="D55" s="8"/>
      <c r="E55" s="25"/>
      <c r="F55" s="25"/>
      <c r="G55" s="25"/>
    </row>
    <row r="56" spans="1:7" x14ac:dyDescent="0.25">
      <c r="A56" s="8"/>
      <c r="B56" s="8"/>
      <c r="C56" s="8"/>
      <c r="D56" s="8"/>
      <c r="E56" s="25"/>
      <c r="F56" s="25"/>
      <c r="G56" s="25"/>
    </row>
    <row r="57" spans="1:7" x14ac:dyDescent="0.25">
      <c r="A57" s="8"/>
      <c r="B57" s="8"/>
      <c r="C57" s="8"/>
      <c r="D57" s="8"/>
      <c r="E57" s="25"/>
      <c r="F57" s="25"/>
      <c r="G57" s="25"/>
    </row>
    <row r="58" spans="1:7" x14ac:dyDescent="0.25">
      <c r="A58" s="8"/>
      <c r="B58" s="8"/>
      <c r="C58" s="8"/>
      <c r="D58" s="8"/>
      <c r="E58" s="25"/>
      <c r="F58" s="25"/>
      <c r="G58" s="25"/>
    </row>
    <row r="59" spans="1:7" x14ac:dyDescent="0.25">
      <c r="A59" s="8"/>
      <c r="B59" s="8"/>
      <c r="C59" s="8"/>
      <c r="D59" s="8"/>
      <c r="E59" s="25"/>
      <c r="F59" s="25"/>
      <c r="G59" s="25"/>
    </row>
    <row r="60" spans="1:7" x14ac:dyDescent="0.25">
      <c r="A60" s="8"/>
      <c r="B60" s="8"/>
      <c r="C60" s="8"/>
      <c r="D60" s="8"/>
      <c r="E60" s="25"/>
      <c r="F60" s="25"/>
      <c r="G60" s="25"/>
    </row>
    <row r="61" spans="1:7" x14ac:dyDescent="0.25">
      <c r="A61" s="8"/>
      <c r="B61" s="8"/>
      <c r="C61" s="8"/>
      <c r="D61" s="8"/>
      <c r="E61" s="25"/>
      <c r="F61" s="25"/>
      <c r="G61" s="25"/>
    </row>
    <row r="62" spans="1:7" x14ac:dyDescent="0.25">
      <c r="A62" s="8"/>
      <c r="B62" s="8"/>
      <c r="C62" s="8"/>
      <c r="D62" s="8"/>
      <c r="E62" s="25"/>
      <c r="F62" s="25"/>
      <c r="G62" s="25"/>
    </row>
    <row r="63" spans="1:7" x14ac:dyDescent="0.25">
      <c r="A63" s="8"/>
      <c r="B63" s="8"/>
      <c r="C63" s="8"/>
      <c r="D63" s="8"/>
      <c r="E63" s="25"/>
      <c r="F63" s="25"/>
      <c r="G63" s="25"/>
    </row>
    <row r="64" spans="1:7" x14ac:dyDescent="0.25">
      <c r="A64" s="8"/>
      <c r="B64" s="8"/>
      <c r="C64" s="8"/>
      <c r="D64" s="8"/>
      <c r="E64" s="25"/>
      <c r="F64" s="25"/>
      <c r="G64" s="25"/>
    </row>
    <row r="65" spans="1:7" x14ac:dyDescent="0.25">
      <c r="A65" s="8"/>
      <c r="B65" s="8"/>
      <c r="C65" s="8"/>
      <c r="D65" s="8"/>
      <c r="E65" s="25"/>
      <c r="F65" s="25"/>
      <c r="G65" s="25"/>
    </row>
    <row r="66" spans="1:7" x14ac:dyDescent="0.25">
      <c r="A66" s="8"/>
      <c r="B66" s="8"/>
      <c r="C66" s="8"/>
      <c r="D66" s="8"/>
      <c r="E66" s="25"/>
      <c r="F66" s="25"/>
      <c r="G66" s="25"/>
    </row>
    <row r="67" spans="1:7" x14ac:dyDescent="0.25">
      <c r="A67" s="8"/>
      <c r="B67" s="8"/>
      <c r="C67" s="8"/>
      <c r="D67" s="8"/>
      <c r="E67" s="25"/>
      <c r="F67" s="25"/>
      <c r="G67" s="25"/>
    </row>
    <row r="68" spans="1:7" x14ac:dyDescent="0.25">
      <c r="A68" s="8"/>
      <c r="B68" s="8"/>
      <c r="C68" s="8"/>
      <c r="D68" s="8"/>
      <c r="E68" s="25"/>
      <c r="F68" s="25"/>
      <c r="G68" s="25"/>
    </row>
    <row r="69" spans="1:7" x14ac:dyDescent="0.25">
      <c r="A69" s="116"/>
      <c r="B69" s="11"/>
      <c r="C69" s="11"/>
      <c r="D69" s="11"/>
      <c r="E69" s="117"/>
      <c r="F69" s="117"/>
      <c r="G69" s="117"/>
    </row>
    <row r="70" spans="1:7" x14ac:dyDescent="0.25">
      <c r="A70" s="8"/>
      <c r="B70" s="8"/>
      <c r="C70" s="8"/>
      <c r="D70" s="8"/>
      <c r="E70" s="25"/>
      <c r="F70" s="25"/>
      <c r="G70" s="25"/>
    </row>
    <row r="71" spans="1:7" x14ac:dyDescent="0.25">
      <c r="A71" s="8"/>
      <c r="B71" s="8"/>
      <c r="C71" s="8"/>
      <c r="D71" s="8"/>
      <c r="E71" s="25"/>
      <c r="F71" s="25"/>
      <c r="G71" s="25"/>
    </row>
    <row r="72" spans="1:7" x14ac:dyDescent="0.25">
      <c r="A72" s="8"/>
      <c r="B72" s="8"/>
      <c r="C72" s="8"/>
      <c r="D72" s="8"/>
      <c r="E72" s="25"/>
      <c r="F72" s="25"/>
      <c r="G72" s="25"/>
    </row>
    <row r="73" spans="1:7" x14ac:dyDescent="0.25">
      <c r="A73" s="8"/>
      <c r="B73" s="8"/>
      <c r="C73" s="8"/>
      <c r="D73" s="8"/>
      <c r="E73" s="25"/>
      <c r="F73" s="25"/>
      <c r="G73" s="25"/>
    </row>
    <row r="74" spans="1:7" x14ac:dyDescent="0.25">
      <c r="A74" s="8"/>
      <c r="B74" s="8"/>
      <c r="C74" s="8"/>
      <c r="D74" s="8"/>
      <c r="E74" s="25"/>
      <c r="F74" s="25"/>
      <c r="G74" s="25"/>
    </row>
    <row r="75" spans="1:7" x14ac:dyDescent="0.25">
      <c r="A75" s="8"/>
      <c r="B75" s="8"/>
      <c r="C75" s="8"/>
      <c r="D75" s="8"/>
      <c r="E75" s="25"/>
      <c r="F75" s="25"/>
      <c r="G75" s="25"/>
    </row>
    <row r="76" spans="1:7" x14ac:dyDescent="0.25">
      <c r="A76" s="8"/>
      <c r="B76" s="8"/>
      <c r="C76" s="8"/>
      <c r="D76" s="8"/>
      <c r="E76" s="25"/>
      <c r="F76" s="25"/>
      <c r="G76" s="25"/>
    </row>
    <row r="77" spans="1:7" x14ac:dyDescent="0.25">
      <c r="A77" s="8"/>
      <c r="B77" s="8"/>
      <c r="C77" s="8"/>
      <c r="D77" s="8"/>
      <c r="E77" s="25"/>
      <c r="F77" s="25"/>
      <c r="G77" s="25"/>
    </row>
    <row r="78" spans="1:7" x14ac:dyDescent="0.25">
      <c r="A78" s="8"/>
      <c r="B78" s="8"/>
      <c r="C78" s="8"/>
      <c r="D78" s="8"/>
      <c r="E78" s="25"/>
      <c r="F78" s="25"/>
      <c r="G78" s="25"/>
    </row>
    <row r="79" spans="1:7" x14ac:dyDescent="0.25">
      <c r="A79" s="8"/>
      <c r="B79" s="8"/>
      <c r="C79" s="8"/>
      <c r="D79" s="8"/>
      <c r="E79" s="25"/>
      <c r="F79" s="25"/>
      <c r="G79" s="25"/>
    </row>
    <row r="80" spans="1:7" x14ac:dyDescent="0.25">
      <c r="A80" s="8"/>
      <c r="B80" s="8"/>
      <c r="C80" s="8"/>
      <c r="D80" s="8"/>
      <c r="E80" s="25"/>
      <c r="F80" s="25"/>
      <c r="G80" s="25"/>
    </row>
    <row r="81" spans="1:7" x14ac:dyDescent="0.25">
      <c r="A81" s="8"/>
      <c r="B81" s="8"/>
      <c r="C81" s="8"/>
      <c r="D81" s="8"/>
      <c r="E81" s="25"/>
      <c r="F81" s="25"/>
      <c r="G81" s="25"/>
    </row>
    <row r="82" spans="1:7" x14ac:dyDescent="0.25">
      <c r="A82" s="8"/>
      <c r="B82" s="8"/>
      <c r="C82" s="8"/>
      <c r="D82" s="8"/>
      <c r="E82" s="25"/>
      <c r="F82" s="25"/>
      <c r="G82" s="25"/>
    </row>
    <row r="83" spans="1:7" x14ac:dyDescent="0.25">
      <c r="A83" s="8"/>
      <c r="B83" s="8"/>
      <c r="C83" s="8"/>
      <c r="D83" s="8"/>
      <c r="E83" s="25"/>
      <c r="F83" s="25"/>
      <c r="G83" s="25"/>
    </row>
    <row r="84" spans="1:7" x14ac:dyDescent="0.25">
      <c r="A84" s="8"/>
      <c r="B84" s="8"/>
      <c r="C84" s="8"/>
      <c r="D84" s="8"/>
      <c r="E84" s="25"/>
      <c r="F84" s="25"/>
      <c r="G84" s="25"/>
    </row>
    <row r="85" spans="1:7" x14ac:dyDescent="0.25">
      <c r="A85" s="8"/>
      <c r="B85" s="8"/>
      <c r="C85" s="8"/>
      <c r="D85" s="8"/>
      <c r="E85" s="25"/>
      <c r="F85" s="25"/>
      <c r="G85" s="25"/>
    </row>
    <row r="86" spans="1:7" x14ac:dyDescent="0.25">
      <c r="A86" s="8"/>
      <c r="B86" s="8"/>
      <c r="C86" s="8"/>
      <c r="D86" s="8"/>
      <c r="E86" s="25"/>
      <c r="F86" s="25"/>
      <c r="G86" s="25"/>
    </row>
    <row r="87" spans="1:7" x14ac:dyDescent="0.25">
      <c r="A87" s="8"/>
      <c r="B87" s="8"/>
      <c r="C87" s="8"/>
      <c r="D87" s="8"/>
      <c r="E87" s="25"/>
      <c r="F87" s="25"/>
      <c r="G87" s="25"/>
    </row>
    <row r="88" spans="1:7" x14ac:dyDescent="0.25">
      <c r="A88" s="8"/>
      <c r="B88" s="8"/>
      <c r="C88" s="8"/>
      <c r="D88" s="8"/>
      <c r="E88" s="25"/>
      <c r="F88" s="25"/>
      <c r="G88" s="25"/>
    </row>
    <row r="89" spans="1:7" x14ac:dyDescent="0.25">
      <c r="A89" s="8"/>
      <c r="B89" s="8"/>
      <c r="C89" s="8"/>
      <c r="D89" s="8"/>
      <c r="E89" s="25"/>
      <c r="F89" s="25"/>
      <c r="G89" s="25"/>
    </row>
    <row r="90" spans="1:7" x14ac:dyDescent="0.25">
      <c r="A90" s="8"/>
      <c r="B90" s="8"/>
      <c r="C90" s="8"/>
      <c r="D90" s="8"/>
      <c r="E90" s="25"/>
      <c r="F90" s="25"/>
      <c r="G90" s="25"/>
    </row>
    <row r="91" spans="1:7" x14ac:dyDescent="0.25">
      <c r="A91" s="8"/>
      <c r="B91" s="8"/>
      <c r="C91" s="8"/>
      <c r="D91" s="8"/>
      <c r="E91" s="25"/>
      <c r="F91" s="25"/>
      <c r="G91" s="25"/>
    </row>
    <row r="92" spans="1:7" x14ac:dyDescent="0.25">
      <c r="A92" s="8"/>
      <c r="B92" s="8"/>
      <c r="C92" s="8"/>
      <c r="D92" s="8"/>
      <c r="E92" s="25"/>
      <c r="F92" s="25"/>
      <c r="G92" s="25"/>
    </row>
    <row r="93" spans="1:7" x14ac:dyDescent="0.25">
      <c r="A93" s="8"/>
      <c r="B93" s="8"/>
      <c r="C93" s="8"/>
      <c r="D93" s="8"/>
      <c r="E93" s="25"/>
      <c r="F93" s="25"/>
      <c r="G93" s="25"/>
    </row>
    <row r="94" spans="1:7" x14ac:dyDescent="0.25">
      <c r="A94" s="8"/>
      <c r="B94" s="8"/>
      <c r="C94" s="8"/>
      <c r="D94" s="8"/>
      <c r="E94" s="25"/>
      <c r="F94" s="25"/>
      <c r="G94" s="25"/>
    </row>
    <row r="95" spans="1:7" x14ac:dyDescent="0.25">
      <c r="A95" s="8"/>
      <c r="B95" s="8"/>
      <c r="C95" s="8"/>
      <c r="D95" s="8"/>
      <c r="E95" s="25"/>
      <c r="F95" s="25"/>
      <c r="G95" s="25"/>
    </row>
    <row r="96" spans="1:7" x14ac:dyDescent="0.25">
      <c r="A96" s="8"/>
      <c r="B96" s="8"/>
      <c r="C96" s="8"/>
      <c r="D96" s="8"/>
      <c r="E96" s="25"/>
      <c r="F96" s="25"/>
      <c r="G96" s="25"/>
    </row>
    <row r="97" spans="1:7" x14ac:dyDescent="0.25">
      <c r="A97" s="116"/>
      <c r="B97" s="11"/>
      <c r="C97" s="11"/>
      <c r="D97" s="11"/>
      <c r="E97" s="117"/>
      <c r="F97" s="117"/>
      <c r="G97" s="117"/>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0">
    <tabColor rgb="FFFFFF00"/>
    <outlinePr summaryBelow="0" summaryRight="0"/>
  </sheetPr>
  <dimension ref="A1:I49"/>
  <sheetViews>
    <sheetView workbookViewId="0">
      <pane xSplit="2" ySplit="7" topLeftCell="C8" activePane="bottomRight" state="frozen"/>
      <selection pane="topRight" activeCell="B32" sqref="B32"/>
      <selection pane="bottomLeft" activeCell="B32" sqref="B32"/>
      <selection pane="bottomRight" activeCell="A5" sqref="A5"/>
    </sheetView>
  </sheetViews>
  <sheetFormatPr defaultColWidth="14.453125" defaultRowHeight="15.75" customHeight="1" x14ac:dyDescent="0.25"/>
  <cols>
    <col min="1" max="1" width="64" customWidth="1"/>
    <col min="2" max="2" width="4" customWidth="1"/>
    <col min="3" max="3" width="15" customWidth="1"/>
    <col min="4" max="9" width="7.54296875" style="42" customWidth="1"/>
    <col min="10" max="16384" width="14.453125" style="41"/>
  </cols>
  <sheetData>
    <row r="1" spans="1:9" ht="15.75" customHeight="1" x14ac:dyDescent="0.35">
      <c r="A1" s="264" t="s">
        <v>61</v>
      </c>
      <c r="B1" s="264"/>
      <c r="C1" s="264"/>
    </row>
    <row r="2" spans="1:9" ht="13" x14ac:dyDescent="0.3">
      <c r="A2" s="265" t="s">
        <v>62</v>
      </c>
      <c r="B2" s="265"/>
      <c r="C2" s="265"/>
    </row>
    <row r="3" spans="1:9" ht="12.75" customHeight="1" x14ac:dyDescent="0.3">
      <c r="A3" s="265" t="s">
        <v>63</v>
      </c>
      <c r="B3" s="265"/>
      <c r="C3" s="265"/>
    </row>
    <row r="6" spans="1:9" ht="15.75" customHeight="1" x14ac:dyDescent="0.25">
      <c r="A6" s="257" t="s">
        <v>64</v>
      </c>
      <c r="C6" s="258" t="s">
        <v>65</v>
      </c>
    </row>
    <row r="7" spans="1:9" ht="15.75" customHeight="1" x14ac:dyDescent="0.25">
      <c r="A7" s="257" t="s">
        <v>66</v>
      </c>
      <c r="C7" s="258" t="s">
        <v>1</v>
      </c>
      <c r="D7" s="43"/>
      <c r="E7" s="43"/>
      <c r="F7" s="43"/>
      <c r="G7" s="43"/>
      <c r="H7" s="43"/>
      <c r="I7" s="43"/>
    </row>
    <row r="9" spans="1:9" ht="12.5" x14ac:dyDescent="0.25">
      <c r="A9" s="259" t="s">
        <v>67</v>
      </c>
    </row>
    <row r="10" spans="1:9" ht="11.5" x14ac:dyDescent="0.25">
      <c r="A10" s="257" t="s">
        <v>68</v>
      </c>
      <c r="B10" s="257" t="s">
        <v>2</v>
      </c>
      <c r="C10" s="260">
        <v>1029844</v>
      </c>
    </row>
    <row r="11" spans="1:9" ht="11.5" x14ac:dyDescent="0.25">
      <c r="A11" s="257" t="s">
        <v>69</v>
      </c>
      <c r="B11" s="257" t="s">
        <v>70</v>
      </c>
      <c r="C11" s="258" t="s">
        <v>71</v>
      </c>
    </row>
    <row r="13" spans="1:9" ht="15.75" customHeight="1" x14ac:dyDescent="0.25">
      <c r="A13" s="259" t="s">
        <v>72</v>
      </c>
    </row>
    <row r="14" spans="1:9" ht="11.5" x14ac:dyDescent="0.25">
      <c r="A14" s="257" t="s">
        <v>73</v>
      </c>
      <c r="B14" s="257" t="s">
        <v>5</v>
      </c>
      <c r="C14" s="260">
        <v>130092</v>
      </c>
    </row>
    <row r="15" spans="1:9" ht="11.5" x14ac:dyDescent="0.25">
      <c r="A15" s="257" t="s">
        <v>74</v>
      </c>
      <c r="B15" s="257" t="s">
        <v>6</v>
      </c>
      <c r="C15" s="260">
        <v>30600</v>
      </c>
    </row>
    <row r="16" spans="1:9" ht="11.5" x14ac:dyDescent="0.25">
      <c r="A16" s="257" t="s">
        <v>75</v>
      </c>
      <c r="B16" s="257" t="s">
        <v>76</v>
      </c>
      <c r="C16" s="260"/>
    </row>
    <row r="17" spans="1:3" ht="11.5" x14ac:dyDescent="0.25">
      <c r="A17" s="257" t="s">
        <v>77</v>
      </c>
      <c r="B17" s="257" t="s">
        <v>78</v>
      </c>
      <c r="C17" s="260"/>
    </row>
    <row r="18" spans="1:3" ht="11.5" x14ac:dyDescent="0.25">
      <c r="A18" s="257" t="s">
        <v>79</v>
      </c>
      <c r="B18" s="257" t="s">
        <v>80</v>
      </c>
      <c r="C18" s="260">
        <v>30600</v>
      </c>
    </row>
    <row r="20" spans="1:3" ht="15.75" customHeight="1" x14ac:dyDescent="0.25">
      <c r="A20" s="259" t="s">
        <v>81</v>
      </c>
    </row>
    <row r="21" spans="1:3" ht="11.5" x14ac:dyDescent="0.25">
      <c r="A21" s="257" t="s">
        <v>82</v>
      </c>
      <c r="B21" s="257" t="s">
        <v>83</v>
      </c>
      <c r="C21" s="260"/>
    </row>
    <row r="22" spans="1:3" ht="11.5" x14ac:dyDescent="0.25">
      <c r="A22" s="257" t="s">
        <v>84</v>
      </c>
      <c r="B22" s="257" t="s">
        <v>70</v>
      </c>
      <c r="C22" s="258" t="s">
        <v>70</v>
      </c>
    </row>
    <row r="23" spans="1:3" ht="11.5" x14ac:dyDescent="0.25">
      <c r="A23" s="257" t="s">
        <v>85</v>
      </c>
      <c r="B23" s="257" t="s">
        <v>86</v>
      </c>
      <c r="C23" s="260"/>
    </row>
    <row r="24" spans="1:3" ht="15.75" customHeight="1" x14ac:dyDescent="0.25">
      <c r="A24" s="257" t="s">
        <v>87</v>
      </c>
      <c r="B24" s="257" t="s">
        <v>88</v>
      </c>
      <c r="C24" s="260"/>
    </row>
    <row r="25" spans="1:3" ht="15.75" customHeight="1" x14ac:dyDescent="0.25">
      <c r="A25" s="257" t="s">
        <v>89</v>
      </c>
      <c r="B25" s="257" t="s">
        <v>90</v>
      </c>
      <c r="C25" s="260"/>
    </row>
    <row r="26" spans="1:3" ht="12.5" x14ac:dyDescent="0.25"/>
    <row r="27" spans="1:3" ht="12.5" x14ac:dyDescent="0.25">
      <c r="A27" s="259" t="s">
        <v>91</v>
      </c>
    </row>
    <row r="28" spans="1:3" ht="11.5" x14ac:dyDescent="0.25">
      <c r="A28" s="257" t="s">
        <v>92</v>
      </c>
      <c r="B28" s="257" t="s">
        <v>93</v>
      </c>
      <c r="C28" s="260"/>
    </row>
    <row r="29" spans="1:3" ht="11.5" x14ac:dyDescent="0.25">
      <c r="A29" s="257" t="s">
        <v>94</v>
      </c>
      <c r="B29" s="257" t="s">
        <v>70</v>
      </c>
      <c r="C29" s="258" t="s">
        <v>70</v>
      </c>
    </row>
    <row r="30" spans="1:3" ht="11.5" x14ac:dyDescent="0.25">
      <c r="A30" s="257" t="s">
        <v>95</v>
      </c>
      <c r="B30" s="257" t="s">
        <v>96</v>
      </c>
      <c r="C30" s="260"/>
    </row>
    <row r="31" spans="1:3" ht="11.5" x14ac:dyDescent="0.25">
      <c r="A31" s="257" t="s">
        <v>87</v>
      </c>
      <c r="B31" s="257" t="s">
        <v>97</v>
      </c>
      <c r="C31" s="260"/>
    </row>
    <row r="32" spans="1:3" ht="15.75" customHeight="1" x14ac:dyDescent="0.25">
      <c r="A32" s="257" t="s">
        <v>89</v>
      </c>
      <c r="B32" s="257" t="s">
        <v>98</v>
      </c>
      <c r="C32" s="260"/>
    </row>
    <row r="34" spans="1:3" ht="15.75" customHeight="1" x14ac:dyDescent="0.25">
      <c r="A34" s="259" t="s">
        <v>99</v>
      </c>
    </row>
    <row r="35" spans="1:3" ht="15.75" customHeight="1" x14ac:dyDescent="0.25">
      <c r="A35" s="257" t="s">
        <v>100</v>
      </c>
      <c r="B35" s="257" t="s">
        <v>3</v>
      </c>
      <c r="C35" s="260">
        <v>92999</v>
      </c>
    </row>
    <row r="36" spans="1:3" ht="15.75" customHeight="1" x14ac:dyDescent="0.25">
      <c r="A36" s="257" t="s">
        <v>101</v>
      </c>
      <c r="B36" s="257" t="s">
        <v>102</v>
      </c>
      <c r="C36" s="260">
        <v>30600</v>
      </c>
    </row>
    <row r="37" spans="1:3" ht="15.75" customHeight="1" x14ac:dyDescent="0.25">
      <c r="A37" s="257" t="s">
        <v>103</v>
      </c>
      <c r="B37" s="257" t="s">
        <v>104</v>
      </c>
      <c r="C37" s="260"/>
    </row>
    <row r="38" spans="1:3" ht="15.75" customHeight="1" x14ac:dyDescent="0.25">
      <c r="A38" s="257" t="s">
        <v>105</v>
      </c>
      <c r="B38" s="257" t="s">
        <v>106</v>
      </c>
      <c r="C38" s="260"/>
    </row>
    <row r="39" spans="1:3" ht="15.75" customHeight="1" x14ac:dyDescent="0.25">
      <c r="A39" s="257" t="s">
        <v>107</v>
      </c>
      <c r="B39" s="257" t="s">
        <v>108</v>
      </c>
      <c r="C39" s="260">
        <v>123599</v>
      </c>
    </row>
    <row r="41" spans="1:3" ht="15.75" customHeight="1" x14ac:dyDescent="0.25">
      <c r="A41" s="259" t="s">
        <v>109</v>
      </c>
    </row>
    <row r="42" spans="1:3" ht="15.75" customHeight="1" x14ac:dyDescent="0.25">
      <c r="A42" s="257" t="s">
        <v>110</v>
      </c>
      <c r="B42" s="257" t="s">
        <v>4</v>
      </c>
      <c r="C42" s="260">
        <v>42067</v>
      </c>
    </row>
    <row r="43" spans="1:3" ht="15.75" customHeight="1" x14ac:dyDescent="0.25">
      <c r="A43" s="257" t="s">
        <v>111</v>
      </c>
      <c r="B43" s="257" t="s">
        <v>112</v>
      </c>
      <c r="C43" s="260"/>
    </row>
    <row r="44" spans="1:3" ht="15.75" customHeight="1" x14ac:dyDescent="0.25">
      <c r="A44" s="257" t="s">
        <v>113</v>
      </c>
      <c r="B44" s="257" t="s">
        <v>114</v>
      </c>
      <c r="C44" s="260"/>
    </row>
    <row r="45" spans="1:3" ht="15.75" customHeight="1" x14ac:dyDescent="0.25">
      <c r="A45" s="257" t="s">
        <v>115</v>
      </c>
      <c r="B45" s="257" t="s">
        <v>116</v>
      </c>
      <c r="C45" s="260">
        <v>42067</v>
      </c>
    </row>
    <row r="47" spans="1:3" ht="15.75" customHeight="1" x14ac:dyDescent="0.25">
      <c r="A47" s="259" t="s">
        <v>117</v>
      </c>
    </row>
    <row r="48" spans="1:3" ht="15.75" customHeight="1" x14ac:dyDescent="0.25">
      <c r="A48" s="257" t="s">
        <v>118</v>
      </c>
      <c r="B48" s="257" t="s">
        <v>70</v>
      </c>
      <c r="C48" s="258" t="s">
        <v>71</v>
      </c>
    </row>
    <row r="49" spans="1:3" ht="15.75" customHeight="1" x14ac:dyDescent="0.25">
      <c r="A49" s="261" t="s">
        <v>119</v>
      </c>
      <c r="B49" s="261" t="s">
        <v>120</v>
      </c>
      <c r="C49" s="262">
        <v>81532</v>
      </c>
    </row>
  </sheetData>
  <mergeCells count="3">
    <mergeCell ref="A1:C1"/>
    <mergeCell ref="A2:C2"/>
    <mergeCell ref="A3:C3"/>
  </mergeCells>
  <pageMargins left="0.7" right="0.7" top="0.75" bottom="0.75" header="0.3" footer="0.3"/>
  <pageSetup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tabColor rgb="FFFFFF00"/>
    <outlinePr summaryBelow="0" summaryRight="0"/>
  </sheetPr>
  <dimension ref="A1:R10889"/>
  <sheetViews>
    <sheetView zoomScaleNormal="100" workbookViewId="0">
      <pane xSplit="1" ySplit="5" topLeftCell="B6" activePane="bottomRight" state="frozen"/>
      <selection pane="topRight" activeCell="B32" sqref="B32"/>
      <selection pane="bottomLeft" activeCell="B32" sqref="B32"/>
      <selection pane="bottomRight"/>
    </sheetView>
  </sheetViews>
  <sheetFormatPr defaultColWidth="14.453125" defaultRowHeight="15.75" customHeight="1" x14ac:dyDescent="0.25"/>
  <cols>
    <col min="1" max="1" width="26.54296875" customWidth="1"/>
    <col min="2" max="4" width="25" customWidth="1"/>
    <col min="5" max="7" width="15" customWidth="1"/>
    <col min="8" max="8" width="9.81640625" customWidth="1"/>
    <col min="9" max="10" width="15" customWidth="1"/>
    <col min="11" max="13" width="5.1796875" customWidth="1"/>
    <col min="14" max="14" width="7.453125" customWidth="1"/>
    <col min="15" max="15" width="2.54296875" customWidth="1"/>
    <col min="16" max="16" width="17.81640625" style="34" customWidth="1"/>
    <col min="17" max="17" width="4.26953125" style="33" customWidth="1"/>
    <col min="18" max="18" width="9.7265625" style="23" customWidth="1"/>
    <col min="19" max="20" width="14.453125" style="23" customWidth="1"/>
    <col min="21" max="16384" width="14.453125" style="23"/>
  </cols>
  <sheetData>
    <row r="1" spans="1:18" ht="15.75" customHeight="1" x14ac:dyDescent="0.35">
      <c r="A1" s="12" t="s">
        <v>121</v>
      </c>
      <c r="B1" s="12"/>
      <c r="C1" s="12"/>
      <c r="D1" s="12"/>
      <c r="E1" s="12"/>
      <c r="F1" s="12"/>
      <c r="G1" s="12"/>
      <c r="H1" s="12"/>
      <c r="I1" s="12"/>
      <c r="J1" s="12"/>
      <c r="K1" s="12"/>
      <c r="L1" s="12"/>
      <c r="M1" s="12"/>
      <c r="N1" s="12"/>
      <c r="O1" s="12"/>
      <c r="P1" s="204"/>
      <c r="Q1" s="205"/>
      <c r="R1" s="206"/>
    </row>
    <row r="2" spans="1:18" ht="13" x14ac:dyDescent="0.3">
      <c r="A2" s="7" t="s">
        <v>122</v>
      </c>
      <c r="B2" s="7"/>
      <c r="C2" s="7"/>
      <c r="D2" s="7"/>
      <c r="E2" s="7"/>
      <c r="F2" s="7"/>
      <c r="G2" s="7"/>
      <c r="H2" s="7"/>
      <c r="I2" s="7"/>
      <c r="J2" s="7"/>
      <c r="K2" s="7"/>
      <c r="L2" s="7"/>
      <c r="M2" s="7"/>
      <c r="N2" s="7"/>
      <c r="O2" s="7"/>
      <c r="P2" s="266" t="s">
        <v>123</v>
      </c>
      <c r="Q2" s="267"/>
      <c r="R2" s="199" t="e">
        <f>VLOOKUP(P:P,A:F,6,)</f>
        <v>#N/A</v>
      </c>
    </row>
    <row r="3" spans="1:18" ht="13.5" thickBot="1" x14ac:dyDescent="0.35">
      <c r="A3" s="7" t="s">
        <v>124</v>
      </c>
      <c r="B3" s="7"/>
      <c r="C3" s="7"/>
      <c r="D3" s="7"/>
      <c r="E3" s="7"/>
      <c r="F3" s="7"/>
      <c r="G3" s="7"/>
      <c r="H3" s="7"/>
      <c r="I3" s="7"/>
      <c r="J3" s="7"/>
      <c r="K3" s="7"/>
      <c r="L3" s="7"/>
      <c r="M3" s="7"/>
      <c r="N3" s="7"/>
      <c r="O3" s="7"/>
      <c r="P3" s="195" t="s">
        <v>125</v>
      </c>
      <c r="Q3" s="196" t="s">
        <v>3</v>
      </c>
      <c r="R3" s="197">
        <f>VLOOKUP(P:P,A:F,6,)</f>
        <v>40490.51</v>
      </c>
    </row>
    <row r="4" spans="1:18" ht="15.75" customHeight="1" thickBot="1" x14ac:dyDescent="0.3"/>
    <row r="5" spans="1:18" ht="13" x14ac:dyDescent="0.3">
      <c r="A5" s="24" t="s">
        <v>54</v>
      </c>
      <c r="B5" s="24" t="s">
        <v>55</v>
      </c>
      <c r="C5" s="24" t="s">
        <v>56</v>
      </c>
      <c r="D5" s="24" t="s">
        <v>57</v>
      </c>
      <c r="E5" s="24" t="s">
        <v>58</v>
      </c>
      <c r="F5" s="24" t="s">
        <v>59</v>
      </c>
      <c r="G5" s="24" t="s">
        <v>60</v>
      </c>
      <c r="H5" s="24"/>
      <c r="I5" s="24"/>
      <c r="J5" s="24"/>
      <c r="K5" s="24"/>
      <c r="L5" s="24"/>
      <c r="M5" s="24"/>
      <c r="N5" s="24"/>
      <c r="O5" s="24"/>
      <c r="P5" s="204"/>
      <c r="Q5" s="205"/>
      <c r="R5" s="206"/>
    </row>
    <row r="6" spans="1:18" ht="15.75" customHeight="1" x14ac:dyDescent="0.25">
      <c r="P6" s="266" t="s">
        <v>123</v>
      </c>
      <c r="Q6" s="267"/>
      <c r="R6" s="199" t="e">
        <f>VLOOKUP(P:P,A:E,5,)</f>
        <v>#N/A</v>
      </c>
    </row>
    <row r="7" spans="1:18" ht="12.5" x14ac:dyDescent="0.25">
      <c r="A7" s="220" t="s">
        <v>126</v>
      </c>
      <c r="P7" s="198" t="s">
        <v>125</v>
      </c>
      <c r="R7" s="199">
        <f>VLOOKUP(P:P,A:E,5,)</f>
        <v>445394.91</v>
      </c>
    </row>
    <row r="8" spans="1:18" ht="12.5" x14ac:dyDescent="0.25">
      <c r="A8" s="8" t="s">
        <v>127</v>
      </c>
      <c r="B8" s="8" t="s">
        <v>128</v>
      </c>
      <c r="C8" s="8" t="s">
        <v>129</v>
      </c>
      <c r="D8" s="8" t="s">
        <v>130</v>
      </c>
      <c r="E8" s="25">
        <v>3092.1</v>
      </c>
      <c r="F8" s="25">
        <v>281.10000000000002</v>
      </c>
      <c r="G8" s="25">
        <v>2811</v>
      </c>
      <c r="H8" s="25"/>
      <c r="I8" s="25"/>
      <c r="J8" s="25"/>
      <c r="K8" s="25"/>
      <c r="L8" s="25"/>
      <c r="M8" s="25"/>
      <c r="N8" s="25"/>
      <c r="O8" s="25"/>
      <c r="P8" s="198" t="s">
        <v>131</v>
      </c>
      <c r="R8" s="199">
        <f>VLOOKUP(P:P,A:E,5,)</f>
        <v>1035.92</v>
      </c>
    </row>
    <row r="9" spans="1:18" ht="12.5" x14ac:dyDescent="0.25">
      <c r="A9" s="8" t="s">
        <v>127</v>
      </c>
      <c r="B9" s="8" t="s">
        <v>132</v>
      </c>
      <c r="C9" s="8" t="s">
        <v>133</v>
      </c>
      <c r="D9" s="8" t="s">
        <v>134</v>
      </c>
      <c r="E9" s="25">
        <v>49.5</v>
      </c>
      <c r="F9" s="25">
        <v>4.5</v>
      </c>
      <c r="G9" s="25">
        <v>45</v>
      </c>
      <c r="H9" s="25"/>
      <c r="I9" s="25"/>
      <c r="J9" s="25"/>
      <c r="K9" s="25"/>
      <c r="L9" s="25"/>
      <c r="M9" s="25"/>
      <c r="N9" s="25"/>
      <c r="O9" s="25"/>
      <c r="P9" s="198" t="s">
        <v>135</v>
      </c>
      <c r="R9" s="199"/>
    </row>
    <row r="10" spans="1:18" ht="13" thickBot="1" x14ac:dyDescent="0.3">
      <c r="A10" s="8" t="s">
        <v>127</v>
      </c>
      <c r="B10" s="8" t="s">
        <v>132</v>
      </c>
      <c r="C10" s="8" t="s">
        <v>133</v>
      </c>
      <c r="D10" s="8" t="s">
        <v>136</v>
      </c>
      <c r="E10" s="25">
        <v>27.5</v>
      </c>
      <c r="F10" s="25">
        <v>2.5</v>
      </c>
      <c r="G10" s="25">
        <v>25</v>
      </c>
      <c r="H10" s="25"/>
      <c r="I10" s="25"/>
      <c r="J10" s="25"/>
      <c r="K10" s="25"/>
      <c r="L10" s="25"/>
      <c r="M10" s="25"/>
      <c r="N10" s="25"/>
      <c r="O10" s="25"/>
      <c r="P10" s="200"/>
      <c r="Q10" s="196" t="s">
        <v>2</v>
      </c>
      <c r="R10" s="197">
        <f>+R7+R8+R9</f>
        <v>446430.82999999996</v>
      </c>
    </row>
    <row r="11" spans="1:18" ht="13" thickBot="1" x14ac:dyDescent="0.3">
      <c r="A11" s="8" t="s">
        <v>127</v>
      </c>
      <c r="B11" s="8" t="s">
        <v>137</v>
      </c>
      <c r="C11" s="8" t="s">
        <v>133</v>
      </c>
      <c r="D11" s="8" t="s">
        <v>138</v>
      </c>
      <c r="E11" s="25">
        <v>1.93</v>
      </c>
      <c r="F11" s="25">
        <v>0.18</v>
      </c>
      <c r="G11" s="25">
        <v>1.75</v>
      </c>
      <c r="H11" s="25"/>
      <c r="I11" s="25"/>
      <c r="J11" s="25"/>
      <c r="K11" s="25"/>
      <c r="L11" s="25"/>
      <c r="M11" s="25"/>
      <c r="N11" s="25"/>
      <c r="O11" s="25"/>
      <c r="R11" s="33"/>
    </row>
    <row r="12" spans="1:18" ht="12.5" x14ac:dyDescent="0.25">
      <c r="A12" s="8" t="s">
        <v>127</v>
      </c>
      <c r="B12" s="8" t="s">
        <v>128</v>
      </c>
      <c r="C12" s="8" t="s">
        <v>139</v>
      </c>
      <c r="D12" s="8" t="s">
        <v>140</v>
      </c>
      <c r="E12" s="25">
        <v>1980</v>
      </c>
      <c r="F12" s="25">
        <v>180</v>
      </c>
      <c r="G12" s="25">
        <v>1800</v>
      </c>
      <c r="H12" s="25"/>
      <c r="I12" s="25"/>
      <c r="J12" s="25"/>
      <c r="K12" s="25"/>
      <c r="L12" s="25"/>
      <c r="M12" s="25"/>
      <c r="N12" s="25"/>
      <c r="O12" s="25"/>
      <c r="P12" s="204"/>
      <c r="Q12" s="205"/>
      <c r="R12" s="206"/>
    </row>
    <row r="13" spans="1:18" ht="12.5" x14ac:dyDescent="0.25">
      <c r="A13" s="8" t="s">
        <v>127</v>
      </c>
      <c r="B13" s="8" t="s">
        <v>128</v>
      </c>
      <c r="C13" s="8" t="s">
        <v>141</v>
      </c>
      <c r="D13" s="8" t="s">
        <v>142</v>
      </c>
      <c r="E13" s="25">
        <v>3135</v>
      </c>
      <c r="F13" s="25">
        <v>285</v>
      </c>
      <c r="G13" s="25">
        <v>2850</v>
      </c>
      <c r="H13" s="25"/>
      <c r="I13" s="25"/>
      <c r="J13" s="25"/>
      <c r="K13" s="25"/>
      <c r="L13" s="25"/>
      <c r="M13" s="25"/>
      <c r="N13" s="25"/>
      <c r="O13" s="25"/>
      <c r="P13" s="266" t="s">
        <v>123</v>
      </c>
      <c r="Q13" s="267"/>
      <c r="R13" s="201" t="e">
        <f>VLOOKUP(P:P,A:F,6,)</f>
        <v>#N/A</v>
      </c>
    </row>
    <row r="14" spans="1:18" ht="12.5" x14ac:dyDescent="0.25">
      <c r="A14" s="8" t="s">
        <v>127</v>
      </c>
      <c r="B14" s="8" t="s">
        <v>128</v>
      </c>
      <c r="C14" s="8" t="s">
        <v>141</v>
      </c>
      <c r="D14" s="8" t="s">
        <v>143</v>
      </c>
      <c r="E14" s="25">
        <v>935</v>
      </c>
      <c r="F14" s="25">
        <v>85</v>
      </c>
      <c r="G14" s="25">
        <v>850</v>
      </c>
      <c r="H14" s="25"/>
      <c r="I14" s="25"/>
      <c r="J14" s="25"/>
      <c r="K14" s="25"/>
      <c r="L14" s="25"/>
      <c r="M14" s="25"/>
      <c r="N14" s="25"/>
      <c r="O14" s="25"/>
      <c r="P14" s="198" t="s">
        <v>144</v>
      </c>
      <c r="Q14" s="148"/>
      <c r="R14" s="201"/>
    </row>
    <row r="15" spans="1:18" ht="12.5" x14ac:dyDescent="0.25">
      <c r="A15" s="8" t="s">
        <v>127</v>
      </c>
      <c r="B15" s="8" t="s">
        <v>128</v>
      </c>
      <c r="C15" s="8" t="s">
        <v>141</v>
      </c>
      <c r="D15" s="8" t="s">
        <v>145</v>
      </c>
      <c r="E15" s="25">
        <v>93.5</v>
      </c>
      <c r="F15" s="25">
        <v>8.5</v>
      </c>
      <c r="G15" s="25">
        <v>85</v>
      </c>
      <c r="H15" s="25"/>
      <c r="I15" s="25"/>
      <c r="J15" s="25"/>
      <c r="K15" s="25"/>
      <c r="L15" s="25"/>
      <c r="M15" s="25"/>
      <c r="N15" s="25"/>
      <c r="O15" s="25"/>
      <c r="P15" s="198" t="s">
        <v>146</v>
      </c>
      <c r="Q15" s="148"/>
      <c r="R15" s="201">
        <f>VLOOKUP(P:P,A:F,6,)</f>
        <v>18478.099999999999</v>
      </c>
    </row>
    <row r="16" spans="1:18" ht="13" thickBot="1" x14ac:dyDescent="0.3">
      <c r="A16" s="8" t="s">
        <v>127</v>
      </c>
      <c r="B16" s="8" t="s">
        <v>132</v>
      </c>
      <c r="C16" s="8" t="s">
        <v>147</v>
      </c>
      <c r="D16" s="8" t="s">
        <v>148</v>
      </c>
      <c r="E16" s="25">
        <v>297</v>
      </c>
      <c r="F16" s="25">
        <v>27</v>
      </c>
      <c r="G16" s="25">
        <v>270</v>
      </c>
      <c r="H16" s="25"/>
      <c r="I16" s="25"/>
      <c r="J16" s="25"/>
      <c r="K16" s="25"/>
      <c r="L16" s="25"/>
      <c r="M16" s="25"/>
      <c r="N16" s="25"/>
      <c r="O16" s="25"/>
      <c r="P16" s="195" t="s">
        <v>18</v>
      </c>
      <c r="Q16" s="202" t="s">
        <v>4</v>
      </c>
      <c r="R16" s="203">
        <f>SUM(R14:R15)</f>
        <v>18478.099999999999</v>
      </c>
    </row>
    <row r="17" spans="1:15" ht="12.5" x14ac:dyDescent="0.25">
      <c r="A17" s="8" t="s">
        <v>127</v>
      </c>
      <c r="B17" s="8" t="s">
        <v>132</v>
      </c>
      <c r="C17" s="8" t="s">
        <v>147</v>
      </c>
      <c r="D17" s="8" t="s">
        <v>149</v>
      </c>
      <c r="E17" s="25">
        <v>49.5</v>
      </c>
      <c r="F17" s="25">
        <v>4.5</v>
      </c>
      <c r="G17" s="25">
        <v>45</v>
      </c>
      <c r="H17" s="25"/>
      <c r="I17" s="25"/>
      <c r="J17" s="25"/>
      <c r="K17" s="25"/>
      <c r="L17" s="25"/>
      <c r="M17" s="25"/>
      <c r="N17" s="25"/>
      <c r="O17" s="25"/>
    </row>
    <row r="18" spans="1:15" ht="12.5" x14ac:dyDescent="0.25">
      <c r="A18" s="8" t="s">
        <v>127</v>
      </c>
      <c r="B18" s="8" t="s">
        <v>132</v>
      </c>
      <c r="C18" s="8" t="s">
        <v>147</v>
      </c>
      <c r="D18" s="8" t="s">
        <v>150</v>
      </c>
      <c r="E18" s="25">
        <v>304.92</v>
      </c>
      <c r="F18" s="25">
        <v>27.72</v>
      </c>
      <c r="G18" s="25">
        <v>277.2</v>
      </c>
      <c r="H18" s="25"/>
      <c r="I18" s="25"/>
      <c r="J18" s="25"/>
      <c r="K18" s="25"/>
      <c r="L18" s="25"/>
      <c r="M18" s="25"/>
      <c r="N18" s="25"/>
      <c r="O18" s="25"/>
    </row>
    <row r="19" spans="1:15" ht="12.5" x14ac:dyDescent="0.25">
      <c r="A19" s="8" t="s">
        <v>127</v>
      </c>
      <c r="B19" s="8" t="s">
        <v>128</v>
      </c>
      <c r="C19" s="8" t="s">
        <v>151</v>
      </c>
      <c r="D19" s="8" t="s">
        <v>152</v>
      </c>
      <c r="E19" s="25">
        <v>627</v>
      </c>
      <c r="F19" s="25">
        <v>57</v>
      </c>
      <c r="G19" s="25">
        <v>570</v>
      </c>
      <c r="H19" s="25"/>
      <c r="I19" s="25"/>
      <c r="J19" s="25"/>
      <c r="K19" s="25"/>
      <c r="L19" s="25"/>
      <c r="M19" s="25"/>
      <c r="N19" s="25"/>
      <c r="O19" s="25"/>
    </row>
    <row r="20" spans="1:15" ht="12.5" x14ac:dyDescent="0.25">
      <c r="A20" s="8" t="s">
        <v>127</v>
      </c>
      <c r="B20" s="8" t="s">
        <v>128</v>
      </c>
      <c r="C20" s="8" t="s">
        <v>151</v>
      </c>
      <c r="D20" s="8" t="s">
        <v>153</v>
      </c>
      <c r="E20" s="25">
        <v>27.5</v>
      </c>
      <c r="F20" s="25">
        <v>2.5</v>
      </c>
      <c r="G20" s="25">
        <v>25</v>
      </c>
      <c r="H20" s="25"/>
      <c r="I20" s="25"/>
      <c r="J20" s="25"/>
      <c r="K20" s="25"/>
      <c r="L20" s="25"/>
      <c r="M20" s="25"/>
      <c r="N20" s="25"/>
      <c r="O20" s="25"/>
    </row>
    <row r="21" spans="1:15" ht="12.5" x14ac:dyDescent="0.25">
      <c r="A21" s="8" t="s">
        <v>127</v>
      </c>
      <c r="B21" s="8" t="s">
        <v>128</v>
      </c>
      <c r="C21" s="8" t="s">
        <v>151</v>
      </c>
      <c r="D21" s="8" t="s">
        <v>154</v>
      </c>
      <c r="E21" s="25">
        <v>49.5</v>
      </c>
      <c r="F21" s="25">
        <v>4.5</v>
      </c>
      <c r="G21" s="25">
        <v>45</v>
      </c>
      <c r="H21" s="25"/>
      <c r="I21" s="25"/>
      <c r="J21" s="25"/>
      <c r="K21" s="25"/>
      <c r="L21" s="25"/>
      <c r="M21" s="25"/>
      <c r="N21" s="25"/>
      <c r="O21" s="25"/>
    </row>
    <row r="22" spans="1:15" ht="12.5" x14ac:dyDescent="0.25">
      <c r="A22" s="8" t="s">
        <v>127</v>
      </c>
      <c r="B22" s="8" t="s">
        <v>132</v>
      </c>
      <c r="C22" s="8" t="s">
        <v>147</v>
      </c>
      <c r="D22" s="8" t="s">
        <v>155</v>
      </c>
      <c r="E22" s="25">
        <v>27.5</v>
      </c>
      <c r="F22" s="25">
        <v>2.5</v>
      </c>
      <c r="G22" s="25">
        <v>25</v>
      </c>
      <c r="H22" s="25"/>
      <c r="I22" s="25"/>
      <c r="J22" s="25"/>
      <c r="K22" s="25"/>
      <c r="L22" s="25"/>
      <c r="M22" s="25"/>
      <c r="N22" s="25"/>
      <c r="O22" s="25"/>
    </row>
    <row r="23" spans="1:15" ht="12.5" x14ac:dyDescent="0.25">
      <c r="A23" s="8" t="s">
        <v>127</v>
      </c>
      <c r="B23" s="8" t="s">
        <v>132</v>
      </c>
      <c r="C23" s="8" t="s">
        <v>147</v>
      </c>
      <c r="D23" s="8" t="s">
        <v>156</v>
      </c>
      <c r="E23" s="25">
        <v>27.5</v>
      </c>
      <c r="F23" s="25">
        <v>2.5</v>
      </c>
      <c r="G23" s="25">
        <v>25</v>
      </c>
      <c r="H23" s="25"/>
      <c r="I23" s="25"/>
      <c r="J23" s="25"/>
      <c r="K23" s="25"/>
      <c r="L23" s="25"/>
      <c r="M23" s="25"/>
      <c r="N23" s="25"/>
      <c r="O23" s="25"/>
    </row>
    <row r="24" spans="1:15" ht="12.5" x14ac:dyDescent="0.25">
      <c r="A24" s="8" t="s">
        <v>127</v>
      </c>
      <c r="B24" s="8" t="s">
        <v>132</v>
      </c>
      <c r="C24" s="8" t="s">
        <v>147</v>
      </c>
      <c r="D24" s="8" t="s">
        <v>157</v>
      </c>
      <c r="E24" s="25">
        <v>49.5</v>
      </c>
      <c r="F24" s="25">
        <v>4.5</v>
      </c>
      <c r="G24" s="25">
        <v>45</v>
      </c>
      <c r="H24" s="25"/>
      <c r="I24" s="25"/>
      <c r="J24" s="25"/>
      <c r="K24" s="25"/>
      <c r="L24" s="25"/>
      <c r="M24" s="25"/>
      <c r="N24" s="25"/>
      <c r="O24" s="25"/>
    </row>
    <row r="25" spans="1:15" ht="12.5" x14ac:dyDescent="0.25">
      <c r="A25" s="8" t="s">
        <v>127</v>
      </c>
      <c r="B25" s="8" t="s">
        <v>137</v>
      </c>
      <c r="C25" s="8" t="s">
        <v>147</v>
      </c>
      <c r="D25" s="8" t="s">
        <v>158</v>
      </c>
      <c r="E25" s="25">
        <v>18.899999999999999</v>
      </c>
      <c r="F25" s="25">
        <v>1.72</v>
      </c>
      <c r="G25" s="25">
        <v>17.18</v>
      </c>
      <c r="H25" s="25"/>
      <c r="I25" s="25"/>
      <c r="J25" s="25"/>
      <c r="K25" s="25"/>
      <c r="L25" s="25"/>
      <c r="M25" s="25"/>
      <c r="N25" s="25"/>
      <c r="O25" s="25"/>
    </row>
    <row r="26" spans="1:15" ht="12.5" x14ac:dyDescent="0.25">
      <c r="A26" s="8" t="s">
        <v>127</v>
      </c>
      <c r="B26" s="8" t="s">
        <v>128</v>
      </c>
      <c r="C26" s="8" t="s">
        <v>151</v>
      </c>
      <c r="D26" s="8" t="s">
        <v>159</v>
      </c>
      <c r="E26" s="25">
        <v>328.9</v>
      </c>
      <c r="F26" s="25">
        <v>29.9</v>
      </c>
      <c r="G26" s="25">
        <v>299</v>
      </c>
      <c r="H26" s="25"/>
      <c r="I26" s="25"/>
      <c r="J26" s="25"/>
      <c r="K26" s="25"/>
      <c r="L26" s="25"/>
      <c r="M26" s="25"/>
      <c r="N26" s="25"/>
      <c r="O26" s="25"/>
    </row>
    <row r="27" spans="1:15" ht="12.5" x14ac:dyDescent="0.25">
      <c r="A27" s="8" t="s">
        <v>127</v>
      </c>
      <c r="B27" s="8" t="s">
        <v>137</v>
      </c>
      <c r="C27" s="8" t="s">
        <v>151</v>
      </c>
      <c r="D27" s="8" t="s">
        <v>160</v>
      </c>
      <c r="E27" s="25">
        <v>8.23</v>
      </c>
      <c r="F27" s="25">
        <v>0.75</v>
      </c>
      <c r="G27" s="25">
        <v>7.48</v>
      </c>
      <c r="H27" s="25"/>
      <c r="I27" s="25"/>
      <c r="J27" s="25"/>
      <c r="K27" s="25"/>
      <c r="L27" s="25"/>
      <c r="M27" s="25"/>
      <c r="N27" s="25"/>
      <c r="O27" s="25"/>
    </row>
    <row r="28" spans="1:15" ht="12.5" x14ac:dyDescent="0.25">
      <c r="A28" s="8" t="s">
        <v>127</v>
      </c>
      <c r="B28" s="8" t="s">
        <v>128</v>
      </c>
      <c r="C28" s="8" t="s">
        <v>161</v>
      </c>
      <c r="D28" s="8" t="s">
        <v>162</v>
      </c>
      <c r="E28" s="25">
        <v>218.9</v>
      </c>
      <c r="F28" s="25">
        <v>19.899999999999999</v>
      </c>
      <c r="G28" s="25">
        <v>199</v>
      </c>
      <c r="H28" s="25"/>
      <c r="I28" s="25"/>
      <c r="J28" s="25"/>
      <c r="K28" s="25"/>
      <c r="L28" s="25"/>
      <c r="M28" s="25"/>
      <c r="N28" s="25"/>
      <c r="O28" s="25"/>
    </row>
    <row r="29" spans="1:15" ht="12.5" x14ac:dyDescent="0.25">
      <c r="A29" s="8" t="s">
        <v>127</v>
      </c>
      <c r="B29" s="8" t="s">
        <v>128</v>
      </c>
      <c r="C29" s="8" t="s">
        <v>163</v>
      </c>
      <c r="D29" s="8" t="s">
        <v>164</v>
      </c>
      <c r="E29" s="25">
        <v>2310</v>
      </c>
      <c r="F29" s="25">
        <v>210</v>
      </c>
      <c r="G29" s="25">
        <v>2100</v>
      </c>
      <c r="H29" s="25"/>
      <c r="I29" s="25"/>
      <c r="J29" s="25"/>
      <c r="K29" s="25"/>
      <c r="L29" s="25"/>
      <c r="M29" s="25"/>
      <c r="N29" s="25"/>
      <c r="O29" s="25"/>
    </row>
    <row r="30" spans="1:15" ht="12.5" x14ac:dyDescent="0.25">
      <c r="A30" s="8" t="s">
        <v>127</v>
      </c>
      <c r="B30" s="8" t="s">
        <v>128</v>
      </c>
      <c r="C30" s="8" t="s">
        <v>163</v>
      </c>
      <c r="D30" s="8" t="s">
        <v>165</v>
      </c>
      <c r="E30" s="25">
        <v>82.5</v>
      </c>
      <c r="F30" s="25">
        <v>7.5</v>
      </c>
      <c r="G30" s="25">
        <v>75</v>
      </c>
      <c r="H30" s="25"/>
      <c r="I30" s="25"/>
      <c r="J30" s="25"/>
      <c r="K30" s="25"/>
      <c r="L30" s="25"/>
      <c r="M30" s="25"/>
      <c r="N30" s="25"/>
      <c r="O30" s="25"/>
    </row>
    <row r="31" spans="1:15" ht="12.5" x14ac:dyDescent="0.25">
      <c r="A31" s="8" t="s">
        <v>127</v>
      </c>
      <c r="B31" s="8" t="s">
        <v>128</v>
      </c>
      <c r="C31" s="8" t="s">
        <v>166</v>
      </c>
      <c r="D31" s="8" t="s">
        <v>167</v>
      </c>
      <c r="E31" s="25">
        <v>1287</v>
      </c>
      <c r="F31" s="25">
        <v>117</v>
      </c>
      <c r="G31" s="25">
        <v>1170</v>
      </c>
      <c r="H31" s="25"/>
      <c r="I31" s="25"/>
      <c r="J31" s="25"/>
      <c r="K31" s="25"/>
      <c r="L31" s="25"/>
      <c r="M31" s="25"/>
      <c r="N31" s="25"/>
      <c r="O31" s="25"/>
    </row>
    <row r="32" spans="1:15" ht="12.5" x14ac:dyDescent="0.25">
      <c r="A32" s="8" t="s">
        <v>127</v>
      </c>
      <c r="B32" s="8" t="s">
        <v>128</v>
      </c>
      <c r="C32" s="8" t="s">
        <v>166</v>
      </c>
      <c r="D32" s="8" t="s">
        <v>168</v>
      </c>
      <c r="E32" s="25">
        <v>-297</v>
      </c>
      <c r="F32" s="25">
        <v>-27</v>
      </c>
      <c r="G32" s="25">
        <v>-270</v>
      </c>
      <c r="H32" s="25"/>
      <c r="I32" s="25"/>
      <c r="J32" s="25"/>
      <c r="K32" s="25"/>
      <c r="L32" s="25"/>
      <c r="M32" s="25"/>
      <c r="N32" s="25"/>
      <c r="O32" s="25"/>
    </row>
    <row r="33" spans="1:15" ht="12.5" x14ac:dyDescent="0.25">
      <c r="A33" s="8" t="s">
        <v>127</v>
      </c>
      <c r="B33" s="8" t="s">
        <v>128</v>
      </c>
      <c r="C33" s="8" t="s">
        <v>169</v>
      </c>
      <c r="D33" s="8" t="s">
        <v>170</v>
      </c>
      <c r="E33" s="25">
        <v>3907.2</v>
      </c>
      <c r="F33" s="25">
        <v>355.2</v>
      </c>
      <c r="G33" s="25">
        <v>3552</v>
      </c>
      <c r="H33" s="25"/>
      <c r="I33" s="25"/>
      <c r="J33" s="25"/>
      <c r="K33" s="25"/>
      <c r="L33" s="25"/>
      <c r="M33" s="25"/>
      <c r="N33" s="25"/>
      <c r="O33" s="25"/>
    </row>
    <row r="34" spans="1:15" ht="12.5" x14ac:dyDescent="0.25">
      <c r="A34" s="8" t="s">
        <v>127</v>
      </c>
      <c r="B34" s="8" t="s">
        <v>128</v>
      </c>
      <c r="C34" s="8" t="s">
        <v>169</v>
      </c>
      <c r="D34" s="8" t="s">
        <v>171</v>
      </c>
      <c r="E34" s="25">
        <v>148.5</v>
      </c>
      <c r="F34" s="25">
        <v>13.5</v>
      </c>
      <c r="G34" s="25">
        <v>135</v>
      </c>
      <c r="H34" s="25"/>
      <c r="I34" s="25"/>
      <c r="J34" s="25"/>
      <c r="K34" s="25"/>
      <c r="L34" s="25"/>
      <c r="M34" s="25"/>
      <c r="N34" s="25"/>
      <c r="O34" s="25"/>
    </row>
    <row r="35" spans="1:15" ht="12.5" x14ac:dyDescent="0.25">
      <c r="A35" s="8" t="s">
        <v>127</v>
      </c>
      <c r="B35" s="8" t="s">
        <v>128</v>
      </c>
      <c r="C35" s="8" t="s">
        <v>166</v>
      </c>
      <c r="D35" s="8" t="s">
        <v>172</v>
      </c>
      <c r="E35" s="25">
        <v>5431.25</v>
      </c>
      <c r="F35" s="25">
        <v>493.75</v>
      </c>
      <c r="G35" s="25">
        <v>4937.5</v>
      </c>
      <c r="H35" s="25"/>
      <c r="I35" s="25"/>
      <c r="J35" s="25"/>
      <c r="K35" s="25"/>
      <c r="L35" s="25"/>
      <c r="M35" s="25"/>
      <c r="N35" s="25"/>
      <c r="O35" s="25"/>
    </row>
    <row r="36" spans="1:15" ht="12.5" x14ac:dyDescent="0.25">
      <c r="A36" s="8" t="s">
        <v>127</v>
      </c>
      <c r="B36" s="8" t="s">
        <v>128</v>
      </c>
      <c r="C36" s="8" t="s">
        <v>166</v>
      </c>
      <c r="D36" s="8" t="s">
        <v>173</v>
      </c>
      <c r="E36" s="25">
        <v>1650</v>
      </c>
      <c r="F36" s="25">
        <v>150</v>
      </c>
      <c r="G36" s="25">
        <v>1500</v>
      </c>
      <c r="H36" s="25"/>
      <c r="I36" s="25"/>
      <c r="J36" s="25"/>
      <c r="K36" s="25"/>
      <c r="L36" s="25"/>
      <c r="M36" s="25"/>
      <c r="N36" s="25"/>
      <c r="O36" s="25"/>
    </row>
    <row r="37" spans="1:15" ht="12.5" x14ac:dyDescent="0.25">
      <c r="A37" s="8" t="s">
        <v>127</v>
      </c>
      <c r="B37" s="8" t="s">
        <v>174</v>
      </c>
      <c r="C37" s="8" t="s">
        <v>175</v>
      </c>
      <c r="D37" s="8" t="s">
        <v>176</v>
      </c>
      <c r="E37" s="25">
        <v>330</v>
      </c>
      <c r="F37" s="25">
        <v>30</v>
      </c>
      <c r="G37" s="25">
        <v>300</v>
      </c>
      <c r="H37" s="25"/>
      <c r="I37" s="25"/>
      <c r="J37" s="25"/>
      <c r="K37" s="25"/>
      <c r="L37" s="25"/>
      <c r="M37" s="25"/>
      <c r="N37" s="25"/>
      <c r="O37" s="25"/>
    </row>
    <row r="38" spans="1:15" ht="12.5" x14ac:dyDescent="0.25">
      <c r="A38" s="8" t="s">
        <v>127</v>
      </c>
      <c r="B38" s="8" t="s">
        <v>174</v>
      </c>
      <c r="C38" s="8" t="s">
        <v>175</v>
      </c>
      <c r="D38" s="8" t="s">
        <v>177</v>
      </c>
      <c r="E38" s="25">
        <v>27.5</v>
      </c>
      <c r="F38" s="25">
        <v>2.5</v>
      </c>
      <c r="G38" s="25">
        <v>25</v>
      </c>
      <c r="H38" s="25"/>
      <c r="I38" s="25"/>
      <c r="J38" s="25"/>
      <c r="K38" s="25"/>
      <c r="L38" s="25"/>
      <c r="M38" s="25"/>
      <c r="N38" s="25"/>
      <c r="O38" s="25"/>
    </row>
    <row r="39" spans="1:15" ht="12.5" x14ac:dyDescent="0.25">
      <c r="A39" s="8" t="s">
        <v>127</v>
      </c>
      <c r="B39" s="8" t="s">
        <v>128</v>
      </c>
      <c r="C39" s="8" t="s">
        <v>178</v>
      </c>
      <c r="D39" s="8" t="s">
        <v>179</v>
      </c>
      <c r="E39" s="25">
        <v>412.5</v>
      </c>
      <c r="F39" s="25">
        <v>37.5</v>
      </c>
      <c r="G39" s="25">
        <v>375</v>
      </c>
      <c r="H39" s="25"/>
      <c r="I39" s="25"/>
      <c r="J39" s="25"/>
      <c r="K39" s="25"/>
      <c r="L39" s="25"/>
      <c r="M39" s="25"/>
      <c r="N39" s="25"/>
      <c r="O39" s="25"/>
    </row>
    <row r="40" spans="1:15" ht="12.5" x14ac:dyDescent="0.25">
      <c r="A40" s="8" t="s">
        <v>127</v>
      </c>
      <c r="B40" s="8" t="s">
        <v>132</v>
      </c>
      <c r="C40" s="8" t="s">
        <v>180</v>
      </c>
      <c r="D40" s="8" t="s">
        <v>181</v>
      </c>
      <c r="E40" s="25">
        <v>148.5</v>
      </c>
      <c r="F40" s="25">
        <v>13.5</v>
      </c>
      <c r="G40" s="25">
        <v>135</v>
      </c>
      <c r="H40" s="25"/>
      <c r="I40" s="25"/>
      <c r="J40" s="25"/>
      <c r="K40" s="25"/>
      <c r="L40" s="25"/>
      <c r="M40" s="25"/>
      <c r="N40" s="25"/>
      <c r="O40" s="25"/>
    </row>
    <row r="41" spans="1:15" ht="12.5" x14ac:dyDescent="0.25">
      <c r="A41" s="8" t="s">
        <v>127</v>
      </c>
      <c r="B41" s="8" t="s">
        <v>137</v>
      </c>
      <c r="C41" s="8" t="s">
        <v>180</v>
      </c>
      <c r="D41" s="8" t="s">
        <v>182</v>
      </c>
      <c r="E41" s="25">
        <v>4.95</v>
      </c>
      <c r="F41" s="25">
        <v>0.45</v>
      </c>
      <c r="G41" s="25">
        <v>4.5</v>
      </c>
      <c r="H41" s="25"/>
      <c r="I41" s="25"/>
      <c r="J41" s="25"/>
      <c r="K41" s="25"/>
      <c r="L41" s="25"/>
      <c r="M41" s="25"/>
      <c r="N41" s="25"/>
      <c r="O41" s="25"/>
    </row>
    <row r="42" spans="1:15" ht="12.5" x14ac:dyDescent="0.25">
      <c r="A42" s="8" t="s">
        <v>127</v>
      </c>
      <c r="B42" s="8" t="s">
        <v>128</v>
      </c>
      <c r="C42" s="8" t="s">
        <v>151</v>
      </c>
      <c r="D42" s="8" t="s">
        <v>183</v>
      </c>
      <c r="E42" s="25">
        <v>330</v>
      </c>
      <c r="F42" s="25">
        <v>30</v>
      </c>
      <c r="G42" s="25">
        <v>300</v>
      </c>
      <c r="H42" s="25"/>
      <c r="I42" s="25"/>
      <c r="J42" s="25"/>
      <c r="K42" s="25"/>
      <c r="L42" s="25"/>
      <c r="M42" s="25"/>
      <c r="N42" s="25"/>
      <c r="O42" s="25"/>
    </row>
    <row r="43" spans="1:15" ht="12.5" x14ac:dyDescent="0.25">
      <c r="A43" s="8" t="s">
        <v>127</v>
      </c>
      <c r="B43" s="8" t="s">
        <v>174</v>
      </c>
      <c r="C43" s="8" t="s">
        <v>184</v>
      </c>
      <c r="D43" s="8" t="s">
        <v>185</v>
      </c>
      <c r="E43" s="25">
        <v>220</v>
      </c>
      <c r="F43" s="25">
        <v>20</v>
      </c>
      <c r="G43" s="25">
        <v>200</v>
      </c>
      <c r="H43" s="25"/>
      <c r="I43" s="25"/>
      <c r="J43" s="25"/>
      <c r="K43" s="25"/>
      <c r="L43" s="25"/>
      <c r="M43" s="25"/>
      <c r="N43" s="25"/>
      <c r="O43" s="25"/>
    </row>
    <row r="44" spans="1:15" ht="12.5" x14ac:dyDescent="0.25">
      <c r="A44" s="8" t="s">
        <v>127</v>
      </c>
      <c r="B44" s="8" t="s">
        <v>128</v>
      </c>
      <c r="C44" s="8" t="s">
        <v>178</v>
      </c>
      <c r="D44" s="8" t="s">
        <v>186</v>
      </c>
      <c r="E44" s="25">
        <v>3960</v>
      </c>
      <c r="F44" s="25">
        <v>360</v>
      </c>
      <c r="G44" s="25">
        <v>3600</v>
      </c>
      <c r="H44" s="25"/>
      <c r="I44" s="25"/>
      <c r="J44" s="25"/>
      <c r="K44" s="25"/>
      <c r="L44" s="25"/>
      <c r="M44" s="25"/>
      <c r="N44" s="25"/>
      <c r="O44" s="25"/>
    </row>
    <row r="45" spans="1:15" ht="12.5" x14ac:dyDescent="0.25">
      <c r="A45" s="8" t="s">
        <v>127</v>
      </c>
      <c r="B45" s="8" t="s">
        <v>128</v>
      </c>
      <c r="C45" s="8" t="s">
        <v>178</v>
      </c>
      <c r="D45" s="8" t="s">
        <v>187</v>
      </c>
      <c r="E45" s="25">
        <v>1980</v>
      </c>
      <c r="F45" s="25">
        <v>180</v>
      </c>
      <c r="G45" s="25">
        <v>1800</v>
      </c>
      <c r="H45" s="25"/>
      <c r="I45" s="25"/>
      <c r="J45" s="25"/>
      <c r="K45" s="25"/>
      <c r="L45" s="25"/>
      <c r="M45" s="25"/>
      <c r="N45" s="25"/>
      <c r="O45" s="25"/>
    </row>
    <row r="46" spans="1:15" ht="12.5" x14ac:dyDescent="0.25">
      <c r="A46" s="8" t="s">
        <v>127</v>
      </c>
      <c r="B46" s="8" t="s">
        <v>128</v>
      </c>
      <c r="C46" s="8" t="s">
        <v>178</v>
      </c>
      <c r="D46" s="8" t="s">
        <v>188</v>
      </c>
      <c r="E46" s="25">
        <v>82.5</v>
      </c>
      <c r="F46" s="25">
        <v>7.5</v>
      </c>
      <c r="G46" s="25">
        <v>75</v>
      </c>
      <c r="H46" s="25"/>
      <c r="I46" s="25"/>
      <c r="J46" s="25"/>
      <c r="K46" s="25"/>
      <c r="L46" s="25"/>
      <c r="M46" s="25"/>
      <c r="N46" s="25"/>
      <c r="O46" s="26"/>
    </row>
    <row r="47" spans="1:15" ht="12.5" x14ac:dyDescent="0.25">
      <c r="A47" s="8" t="s">
        <v>127</v>
      </c>
      <c r="B47" s="8" t="s">
        <v>128</v>
      </c>
      <c r="C47" s="8" t="s">
        <v>178</v>
      </c>
      <c r="D47" s="8" t="s">
        <v>189</v>
      </c>
      <c r="E47" s="25">
        <v>330</v>
      </c>
      <c r="F47" s="25">
        <v>30</v>
      </c>
      <c r="G47" s="25">
        <v>300</v>
      </c>
      <c r="H47" s="25"/>
      <c r="I47" s="25"/>
      <c r="J47" s="25"/>
      <c r="K47" s="25"/>
      <c r="L47" s="25"/>
      <c r="M47" s="25"/>
      <c r="N47" s="25"/>
    </row>
    <row r="48" spans="1:15" ht="12.5" x14ac:dyDescent="0.25">
      <c r="A48" s="8" t="s">
        <v>127</v>
      </c>
      <c r="B48" s="8" t="s">
        <v>128</v>
      </c>
      <c r="C48" s="8" t="s">
        <v>178</v>
      </c>
      <c r="D48" s="8" t="s">
        <v>190</v>
      </c>
      <c r="E48" s="25">
        <v>742.5</v>
      </c>
      <c r="F48" s="25">
        <v>67.5</v>
      </c>
      <c r="G48" s="25">
        <v>675</v>
      </c>
      <c r="H48" s="25"/>
      <c r="I48" s="25"/>
      <c r="J48" s="25"/>
      <c r="K48" s="25"/>
      <c r="L48" s="25"/>
      <c r="M48" s="25"/>
      <c r="N48" s="25"/>
    </row>
    <row r="49" spans="1:15" ht="12.5" x14ac:dyDescent="0.25">
      <c r="A49" s="8" t="s">
        <v>127</v>
      </c>
      <c r="B49" s="8" t="s">
        <v>128</v>
      </c>
      <c r="C49" s="8" t="s">
        <v>178</v>
      </c>
      <c r="D49" s="8" t="s">
        <v>191</v>
      </c>
      <c r="E49" s="25">
        <v>660</v>
      </c>
      <c r="F49" s="25">
        <v>60</v>
      </c>
      <c r="G49" s="25">
        <v>600</v>
      </c>
      <c r="H49" s="25"/>
      <c r="I49" s="25"/>
      <c r="J49" s="25"/>
      <c r="K49" s="25"/>
      <c r="L49" s="25"/>
      <c r="M49" s="25"/>
      <c r="N49" s="25"/>
      <c r="O49" s="25"/>
    </row>
    <row r="50" spans="1:15" ht="12.5" x14ac:dyDescent="0.25">
      <c r="A50" s="8" t="s">
        <v>127</v>
      </c>
      <c r="B50" s="8" t="s">
        <v>128</v>
      </c>
      <c r="C50" s="8" t="s">
        <v>166</v>
      </c>
      <c r="D50" s="8" t="s">
        <v>192</v>
      </c>
      <c r="E50" s="25">
        <v>1666.5</v>
      </c>
      <c r="F50" s="25">
        <v>151.5</v>
      </c>
      <c r="G50" s="25">
        <v>1515</v>
      </c>
      <c r="H50" s="25"/>
      <c r="I50" s="25"/>
      <c r="J50" s="25"/>
      <c r="K50" s="25"/>
      <c r="L50" s="25"/>
      <c r="M50" s="25"/>
      <c r="N50" s="25"/>
      <c r="O50" s="25"/>
    </row>
    <row r="51" spans="1:15" ht="12.5" x14ac:dyDescent="0.25">
      <c r="A51" s="8" t="s">
        <v>127</v>
      </c>
      <c r="B51" s="8" t="s">
        <v>128</v>
      </c>
      <c r="C51" s="8" t="s">
        <v>166</v>
      </c>
      <c r="D51" s="8" t="s">
        <v>193</v>
      </c>
      <c r="E51" s="25">
        <v>82.5</v>
      </c>
      <c r="F51" s="25">
        <v>7.5</v>
      </c>
      <c r="G51" s="25">
        <v>75</v>
      </c>
      <c r="H51" s="25"/>
      <c r="I51" s="25"/>
      <c r="J51" s="25"/>
      <c r="K51" s="25"/>
      <c r="L51" s="25"/>
      <c r="M51" s="25"/>
      <c r="N51" s="25"/>
      <c r="O51" s="25"/>
    </row>
    <row r="52" spans="1:15" ht="12.5" x14ac:dyDescent="0.25">
      <c r="A52" s="8" t="s">
        <v>127</v>
      </c>
      <c r="B52" s="8" t="s">
        <v>128</v>
      </c>
      <c r="C52" s="8" t="s">
        <v>194</v>
      </c>
      <c r="D52" s="8" t="s">
        <v>195</v>
      </c>
      <c r="E52" s="25">
        <v>660</v>
      </c>
      <c r="F52" s="25">
        <v>60</v>
      </c>
      <c r="G52" s="25">
        <v>600</v>
      </c>
      <c r="H52" s="25"/>
      <c r="I52" s="25"/>
      <c r="J52" s="25"/>
      <c r="K52" s="25"/>
      <c r="L52" s="25"/>
      <c r="M52" s="25"/>
      <c r="N52" s="25"/>
      <c r="O52" s="25"/>
    </row>
    <row r="53" spans="1:15" ht="12.5" x14ac:dyDescent="0.25">
      <c r="A53" s="8" t="s">
        <v>127</v>
      </c>
      <c r="B53" s="8" t="s">
        <v>128</v>
      </c>
      <c r="C53" s="8" t="s">
        <v>194</v>
      </c>
      <c r="D53" s="8" t="s">
        <v>196</v>
      </c>
      <c r="E53" s="25">
        <v>-330</v>
      </c>
      <c r="F53" s="25">
        <v>-30</v>
      </c>
      <c r="G53" s="25">
        <v>-300</v>
      </c>
      <c r="H53" s="25"/>
      <c r="I53" s="25"/>
      <c r="J53" s="25"/>
      <c r="K53" s="25"/>
      <c r="L53" s="25"/>
      <c r="M53" s="25"/>
      <c r="N53" s="25"/>
      <c r="O53" s="25"/>
    </row>
    <row r="54" spans="1:15" ht="12.5" x14ac:dyDescent="0.25">
      <c r="A54" s="8" t="s">
        <v>127</v>
      </c>
      <c r="B54" s="8" t="s">
        <v>132</v>
      </c>
      <c r="C54" s="8" t="s">
        <v>194</v>
      </c>
      <c r="D54" s="8" t="s">
        <v>197</v>
      </c>
      <c r="E54" s="25">
        <v>82.5</v>
      </c>
      <c r="F54" s="25">
        <v>7.5</v>
      </c>
      <c r="G54" s="25">
        <v>75</v>
      </c>
      <c r="H54" s="25"/>
      <c r="I54" s="25"/>
      <c r="J54" s="25"/>
      <c r="K54" s="25"/>
      <c r="L54" s="25"/>
      <c r="M54" s="25"/>
      <c r="N54" s="25"/>
      <c r="O54" s="25"/>
    </row>
    <row r="55" spans="1:15" ht="12.5" x14ac:dyDescent="0.25">
      <c r="A55" s="8" t="s">
        <v>127</v>
      </c>
      <c r="B55" s="8" t="s">
        <v>128</v>
      </c>
      <c r="C55" s="8" t="s">
        <v>178</v>
      </c>
      <c r="D55" s="8" t="s">
        <v>198</v>
      </c>
      <c r="E55" s="25">
        <v>1303.5</v>
      </c>
      <c r="F55" s="25">
        <v>118.5</v>
      </c>
      <c r="G55" s="25">
        <v>1185</v>
      </c>
      <c r="H55" s="26"/>
      <c r="I55" s="26"/>
      <c r="J55" s="26"/>
      <c r="K55" s="26"/>
      <c r="L55" s="26"/>
      <c r="M55" s="26"/>
      <c r="N55" s="26"/>
      <c r="O55" s="25"/>
    </row>
    <row r="56" spans="1:15" ht="12.5" x14ac:dyDescent="0.25">
      <c r="A56" s="8" t="s">
        <v>127</v>
      </c>
      <c r="B56" s="8" t="s">
        <v>128</v>
      </c>
      <c r="C56" s="8" t="s">
        <v>178</v>
      </c>
      <c r="D56" s="8" t="s">
        <v>199</v>
      </c>
      <c r="E56" s="25">
        <v>-651.75</v>
      </c>
      <c r="F56" s="25">
        <v>-59.25</v>
      </c>
      <c r="G56" s="25">
        <v>-592.5</v>
      </c>
      <c r="O56" s="25"/>
    </row>
    <row r="57" spans="1:15" ht="12.5" x14ac:dyDescent="0.25">
      <c r="A57" s="8" t="s">
        <v>127</v>
      </c>
      <c r="B57" s="8" t="s">
        <v>132</v>
      </c>
      <c r="C57" s="8" t="s">
        <v>178</v>
      </c>
      <c r="D57" s="8" t="s">
        <v>200</v>
      </c>
      <c r="E57" s="25">
        <v>82.5</v>
      </c>
      <c r="F57" s="25">
        <v>7.5</v>
      </c>
      <c r="G57" s="25">
        <v>75</v>
      </c>
      <c r="O57" s="25"/>
    </row>
    <row r="58" spans="1:15" ht="12.5" x14ac:dyDescent="0.25">
      <c r="A58" s="8" t="s">
        <v>127</v>
      </c>
      <c r="B58" s="8" t="s">
        <v>132</v>
      </c>
      <c r="C58" s="8" t="s">
        <v>178</v>
      </c>
      <c r="D58" s="8" t="s">
        <v>201</v>
      </c>
      <c r="E58" s="25">
        <v>-41.25</v>
      </c>
      <c r="F58" s="25">
        <v>-3.75</v>
      </c>
      <c r="G58" s="25">
        <v>-37.5</v>
      </c>
      <c r="H58" s="25"/>
      <c r="I58" s="25"/>
      <c r="J58" s="25"/>
      <c r="K58" s="25"/>
      <c r="L58" s="25"/>
      <c r="M58" s="25"/>
      <c r="N58" s="25"/>
      <c r="O58" s="25"/>
    </row>
    <row r="59" spans="1:15" ht="12.5" x14ac:dyDescent="0.25">
      <c r="A59" s="8" t="s">
        <v>127</v>
      </c>
      <c r="B59" s="8" t="s">
        <v>128</v>
      </c>
      <c r="C59" s="8" t="s">
        <v>178</v>
      </c>
      <c r="D59" s="8" t="s">
        <v>202</v>
      </c>
      <c r="E59" s="25">
        <v>990</v>
      </c>
      <c r="F59" s="25">
        <v>90</v>
      </c>
      <c r="G59" s="25">
        <v>900</v>
      </c>
      <c r="H59" s="25"/>
      <c r="I59" s="25"/>
      <c r="J59" s="25"/>
      <c r="K59" s="25"/>
      <c r="L59" s="25"/>
      <c r="M59" s="25"/>
      <c r="N59" s="25"/>
      <c r="O59" s="26"/>
    </row>
    <row r="60" spans="1:15" ht="12.5" x14ac:dyDescent="0.25">
      <c r="A60" s="8" t="s">
        <v>127</v>
      </c>
      <c r="B60" s="8" t="s">
        <v>128</v>
      </c>
      <c r="C60" s="8" t="s">
        <v>178</v>
      </c>
      <c r="D60" s="8" t="s">
        <v>203</v>
      </c>
      <c r="E60" s="25">
        <v>82.5</v>
      </c>
      <c r="F60" s="25">
        <v>7.5</v>
      </c>
      <c r="G60" s="25">
        <v>75</v>
      </c>
      <c r="H60" s="25"/>
      <c r="I60" s="25"/>
      <c r="J60" s="25"/>
      <c r="K60" s="25"/>
      <c r="L60" s="25"/>
      <c r="M60" s="25"/>
      <c r="N60" s="25"/>
    </row>
    <row r="61" spans="1:15" ht="12.5" x14ac:dyDescent="0.25">
      <c r="A61" s="8" t="s">
        <v>127</v>
      </c>
      <c r="B61" s="8" t="s">
        <v>128</v>
      </c>
      <c r="C61" s="8" t="s">
        <v>178</v>
      </c>
      <c r="D61" s="8" t="s">
        <v>204</v>
      </c>
      <c r="E61" s="25">
        <v>33</v>
      </c>
      <c r="F61" s="25">
        <v>3</v>
      </c>
      <c r="G61" s="25">
        <v>30</v>
      </c>
      <c r="H61" s="25"/>
      <c r="I61" s="25"/>
      <c r="J61" s="25"/>
      <c r="K61" s="25"/>
      <c r="L61" s="25"/>
      <c r="M61" s="25"/>
      <c r="N61" s="25"/>
    </row>
    <row r="62" spans="1:15" ht="12.5" x14ac:dyDescent="0.25">
      <c r="A62" s="8" t="s">
        <v>127</v>
      </c>
      <c r="B62" s="8" t="s">
        <v>128</v>
      </c>
      <c r="C62" s="8" t="s">
        <v>205</v>
      </c>
      <c r="D62" s="8" t="s">
        <v>206</v>
      </c>
      <c r="E62" s="25">
        <v>1320</v>
      </c>
      <c r="F62" s="25">
        <v>120</v>
      </c>
      <c r="G62" s="25">
        <v>1200</v>
      </c>
      <c r="H62" s="25"/>
      <c r="I62" s="25"/>
      <c r="J62" s="25"/>
      <c r="K62" s="25"/>
      <c r="L62" s="25"/>
      <c r="M62" s="25"/>
      <c r="N62" s="25"/>
      <c r="O62" s="25"/>
    </row>
    <row r="63" spans="1:15" ht="12.5" x14ac:dyDescent="0.25">
      <c r="A63" s="8" t="s">
        <v>127</v>
      </c>
      <c r="B63" s="8" t="s">
        <v>128</v>
      </c>
      <c r="C63" s="8" t="s">
        <v>205</v>
      </c>
      <c r="D63" s="8" t="s">
        <v>207</v>
      </c>
      <c r="E63" s="25">
        <v>82.5</v>
      </c>
      <c r="F63" s="25">
        <v>7.5</v>
      </c>
      <c r="G63" s="25">
        <v>75</v>
      </c>
      <c r="H63" s="25"/>
      <c r="I63" s="25"/>
      <c r="J63" s="25"/>
      <c r="K63" s="25"/>
      <c r="L63" s="25"/>
      <c r="M63" s="25"/>
      <c r="N63" s="25"/>
      <c r="O63" s="25"/>
    </row>
    <row r="64" spans="1:15" ht="12.5" x14ac:dyDescent="0.25">
      <c r="A64" s="8" t="s">
        <v>127</v>
      </c>
      <c r="B64" s="8" t="s">
        <v>128</v>
      </c>
      <c r="C64" s="8" t="s">
        <v>205</v>
      </c>
      <c r="D64" s="8" t="s">
        <v>208</v>
      </c>
      <c r="E64" s="25">
        <v>148.5</v>
      </c>
      <c r="F64" s="25">
        <v>13.5</v>
      </c>
      <c r="G64" s="25">
        <v>135</v>
      </c>
      <c r="H64" s="25"/>
      <c r="I64" s="25"/>
      <c r="J64" s="25"/>
      <c r="K64" s="25"/>
      <c r="L64" s="25"/>
      <c r="M64" s="25"/>
      <c r="N64" s="25"/>
      <c r="O64" s="25"/>
    </row>
    <row r="65" spans="1:16" ht="12.5" x14ac:dyDescent="0.25">
      <c r="A65" s="8" t="s">
        <v>127</v>
      </c>
      <c r="B65" s="8" t="s">
        <v>128</v>
      </c>
      <c r="C65" s="8" t="s">
        <v>205</v>
      </c>
      <c r="D65" s="8" t="s">
        <v>209</v>
      </c>
      <c r="E65" s="25">
        <v>330</v>
      </c>
      <c r="F65" s="25">
        <v>30</v>
      </c>
      <c r="G65" s="25">
        <v>300</v>
      </c>
      <c r="H65" s="25"/>
      <c r="I65" s="25"/>
      <c r="J65" s="25"/>
      <c r="K65" s="25"/>
      <c r="L65" s="25"/>
      <c r="M65" s="25"/>
      <c r="N65" s="25"/>
      <c r="O65" s="25"/>
      <c r="P65" s="35"/>
    </row>
    <row r="66" spans="1:16" ht="12.5" x14ac:dyDescent="0.25">
      <c r="A66" s="8" t="s">
        <v>127</v>
      </c>
      <c r="B66" s="8" t="s">
        <v>128</v>
      </c>
      <c r="C66" s="8" t="s">
        <v>205</v>
      </c>
      <c r="D66" s="8" t="s">
        <v>210</v>
      </c>
      <c r="E66" s="25">
        <v>742.5</v>
      </c>
      <c r="F66" s="25">
        <v>67.5</v>
      </c>
      <c r="G66" s="25">
        <v>675</v>
      </c>
      <c r="H66" s="25"/>
      <c r="I66" s="25"/>
      <c r="J66" s="25"/>
      <c r="K66" s="25"/>
      <c r="L66" s="25"/>
      <c r="M66" s="25"/>
      <c r="N66" s="25"/>
      <c r="O66" s="25"/>
      <c r="P66" s="36"/>
    </row>
    <row r="67" spans="1:16" ht="12.5" x14ac:dyDescent="0.25">
      <c r="A67" s="8" t="s">
        <v>127</v>
      </c>
      <c r="B67" s="8" t="s">
        <v>132</v>
      </c>
      <c r="C67" s="8" t="s">
        <v>211</v>
      </c>
      <c r="D67" s="8" t="s">
        <v>212</v>
      </c>
      <c r="E67" s="25">
        <v>1336.5</v>
      </c>
      <c r="F67" s="25">
        <v>121.5</v>
      </c>
      <c r="G67" s="25">
        <v>1215</v>
      </c>
      <c r="H67" s="25"/>
      <c r="I67" s="25"/>
      <c r="J67" s="25"/>
      <c r="K67" s="25"/>
      <c r="L67" s="25"/>
      <c r="M67" s="25"/>
      <c r="N67" s="25"/>
      <c r="O67" s="25"/>
      <c r="P67" s="36"/>
    </row>
    <row r="68" spans="1:16" ht="12.5" x14ac:dyDescent="0.25">
      <c r="A68" s="8" t="s">
        <v>127</v>
      </c>
      <c r="B68" s="8" t="s">
        <v>132</v>
      </c>
      <c r="C68" s="8" t="s">
        <v>211</v>
      </c>
      <c r="D68" s="8" t="s">
        <v>213</v>
      </c>
      <c r="E68" s="25">
        <v>330</v>
      </c>
      <c r="F68" s="25">
        <v>30</v>
      </c>
      <c r="G68" s="25">
        <v>300</v>
      </c>
      <c r="H68" s="25"/>
      <c r="I68" s="25"/>
      <c r="J68" s="25"/>
      <c r="K68" s="25"/>
      <c r="L68" s="25"/>
      <c r="M68" s="25"/>
      <c r="N68" s="25"/>
      <c r="O68" s="25"/>
      <c r="P68" s="36"/>
    </row>
    <row r="69" spans="1:16" ht="12.5" x14ac:dyDescent="0.25">
      <c r="A69" s="8" t="s">
        <v>127</v>
      </c>
      <c r="B69" s="8" t="s">
        <v>132</v>
      </c>
      <c r="C69" s="8" t="s">
        <v>214</v>
      </c>
      <c r="D69" s="8" t="s">
        <v>215</v>
      </c>
      <c r="E69" s="25">
        <v>2079</v>
      </c>
      <c r="F69" s="25">
        <v>189</v>
      </c>
      <c r="G69" s="25">
        <v>1890</v>
      </c>
      <c r="H69" s="25"/>
      <c r="I69" s="25"/>
      <c r="J69" s="25"/>
      <c r="K69" s="25"/>
      <c r="L69" s="25"/>
      <c r="M69" s="25"/>
      <c r="N69" s="25"/>
      <c r="O69" s="25"/>
      <c r="P69" s="36"/>
    </row>
    <row r="70" spans="1:16" ht="12.5" x14ac:dyDescent="0.25">
      <c r="A70" s="8" t="s">
        <v>127</v>
      </c>
      <c r="B70" s="8" t="s">
        <v>132</v>
      </c>
      <c r="C70" s="8" t="s">
        <v>214</v>
      </c>
      <c r="D70" s="8" t="s">
        <v>216</v>
      </c>
      <c r="E70" s="25">
        <v>330</v>
      </c>
      <c r="F70" s="25">
        <v>30</v>
      </c>
      <c r="G70" s="25">
        <v>300</v>
      </c>
      <c r="H70" s="25"/>
      <c r="I70" s="25"/>
      <c r="J70" s="25"/>
      <c r="K70" s="25"/>
      <c r="L70" s="25"/>
      <c r="M70" s="25"/>
      <c r="N70" s="25"/>
      <c r="O70" s="25"/>
      <c r="P70" s="36"/>
    </row>
    <row r="71" spans="1:16" ht="12.5" x14ac:dyDescent="0.25">
      <c r="A71" s="8" t="s">
        <v>127</v>
      </c>
      <c r="B71" s="8" t="s">
        <v>132</v>
      </c>
      <c r="C71" s="8" t="s">
        <v>214</v>
      </c>
      <c r="D71" s="8" t="s">
        <v>217</v>
      </c>
      <c r="E71" s="25">
        <v>330</v>
      </c>
      <c r="F71" s="25">
        <v>30</v>
      </c>
      <c r="G71" s="25">
        <v>300</v>
      </c>
      <c r="H71" s="26"/>
      <c r="I71" s="26"/>
      <c r="J71" s="26"/>
      <c r="K71" s="26"/>
      <c r="L71" s="26"/>
      <c r="M71" s="26"/>
      <c r="N71" s="26"/>
      <c r="O71" s="25"/>
      <c r="P71" s="36"/>
    </row>
    <row r="72" spans="1:16" ht="12.5" x14ac:dyDescent="0.25">
      <c r="A72" s="8" t="s">
        <v>127</v>
      </c>
      <c r="B72" s="8" t="s">
        <v>128</v>
      </c>
      <c r="C72" s="8" t="s">
        <v>218</v>
      </c>
      <c r="D72" s="8" t="s">
        <v>219</v>
      </c>
      <c r="E72" s="25">
        <v>436.7</v>
      </c>
      <c r="F72" s="25">
        <v>39.700000000000003</v>
      </c>
      <c r="G72" s="25">
        <v>397</v>
      </c>
      <c r="O72" s="25"/>
      <c r="P72" s="36"/>
    </row>
    <row r="73" spans="1:16" ht="12.5" x14ac:dyDescent="0.25">
      <c r="A73" s="8" t="s">
        <v>127</v>
      </c>
      <c r="B73" s="8" t="s">
        <v>137</v>
      </c>
      <c r="C73" s="8" t="s">
        <v>218</v>
      </c>
      <c r="D73" s="8" t="s">
        <v>220</v>
      </c>
      <c r="E73" s="25">
        <v>10.92</v>
      </c>
      <c r="F73" s="25">
        <v>0.99</v>
      </c>
      <c r="G73" s="25">
        <v>9.93</v>
      </c>
      <c r="O73" s="25"/>
      <c r="P73" s="36"/>
    </row>
    <row r="74" spans="1:16" ht="12.5" x14ac:dyDescent="0.25">
      <c r="A74" s="8" t="s">
        <v>127</v>
      </c>
      <c r="B74" s="8" t="s">
        <v>128</v>
      </c>
      <c r="C74" s="8" t="s">
        <v>221</v>
      </c>
      <c r="D74" s="8" t="s">
        <v>222</v>
      </c>
      <c r="E74" s="25">
        <v>877.8</v>
      </c>
      <c r="F74" s="25">
        <v>79.8</v>
      </c>
      <c r="G74" s="25">
        <v>798</v>
      </c>
      <c r="H74" s="25"/>
      <c r="I74" s="25"/>
      <c r="J74" s="25"/>
      <c r="K74" s="25"/>
      <c r="L74" s="25"/>
      <c r="M74" s="25"/>
      <c r="N74" s="25"/>
      <c r="O74" s="25"/>
      <c r="P74" s="36"/>
    </row>
    <row r="75" spans="1:16" ht="12.5" x14ac:dyDescent="0.25">
      <c r="A75" s="8" t="s">
        <v>127</v>
      </c>
      <c r="B75" s="8" t="s">
        <v>137</v>
      </c>
      <c r="C75" s="8" t="s">
        <v>221</v>
      </c>
      <c r="D75" s="8" t="s">
        <v>223</v>
      </c>
      <c r="E75" s="25">
        <v>59.69</v>
      </c>
      <c r="F75" s="25">
        <v>5.43</v>
      </c>
      <c r="G75" s="25">
        <v>54.26</v>
      </c>
      <c r="H75" s="25"/>
      <c r="I75" s="25"/>
      <c r="J75" s="25"/>
      <c r="K75" s="25"/>
      <c r="L75" s="25"/>
      <c r="M75" s="25"/>
      <c r="N75" s="25"/>
      <c r="O75" s="25"/>
    </row>
    <row r="76" spans="1:16" ht="12.5" x14ac:dyDescent="0.25">
      <c r="A76" s="8" t="s">
        <v>127</v>
      </c>
      <c r="B76" s="8" t="s">
        <v>174</v>
      </c>
      <c r="C76" s="8" t="s">
        <v>224</v>
      </c>
      <c r="D76" s="8" t="s">
        <v>225</v>
      </c>
      <c r="E76" s="25">
        <v>1589.5</v>
      </c>
      <c r="F76" s="25">
        <v>144.5</v>
      </c>
      <c r="G76" s="25">
        <v>1445</v>
      </c>
      <c r="H76" s="25"/>
      <c r="I76" s="25"/>
      <c r="J76" s="25"/>
      <c r="K76" s="25"/>
      <c r="L76" s="25"/>
      <c r="M76" s="25"/>
      <c r="N76" s="25"/>
      <c r="O76" s="25"/>
    </row>
    <row r="77" spans="1:16" ht="12.5" x14ac:dyDescent="0.25">
      <c r="A77" s="8" t="s">
        <v>127</v>
      </c>
      <c r="B77" s="8" t="s">
        <v>174</v>
      </c>
      <c r="C77" s="8" t="s">
        <v>224</v>
      </c>
      <c r="D77" s="8" t="s">
        <v>226</v>
      </c>
      <c r="E77" s="25">
        <v>49.5</v>
      </c>
      <c r="F77" s="25">
        <v>4.5</v>
      </c>
      <c r="G77" s="25">
        <v>45</v>
      </c>
      <c r="H77" s="25"/>
      <c r="I77" s="25"/>
      <c r="J77" s="25"/>
      <c r="K77" s="25"/>
      <c r="L77" s="25"/>
      <c r="M77" s="25"/>
      <c r="N77" s="25"/>
      <c r="O77" s="25"/>
    </row>
    <row r="78" spans="1:16" ht="12.5" x14ac:dyDescent="0.25">
      <c r="A78" s="8" t="s">
        <v>127</v>
      </c>
      <c r="B78" s="8" t="s">
        <v>132</v>
      </c>
      <c r="C78" s="8" t="s">
        <v>224</v>
      </c>
      <c r="D78" s="8" t="s">
        <v>227</v>
      </c>
      <c r="E78" s="25">
        <v>110</v>
      </c>
      <c r="F78" s="25">
        <v>10</v>
      </c>
      <c r="G78" s="25">
        <v>100</v>
      </c>
      <c r="H78" s="25"/>
      <c r="I78" s="25"/>
      <c r="J78" s="25"/>
      <c r="K78" s="25"/>
      <c r="L78" s="25"/>
      <c r="M78" s="25"/>
      <c r="N78" s="25"/>
      <c r="O78" s="25"/>
    </row>
    <row r="79" spans="1:16" ht="12.5" x14ac:dyDescent="0.25">
      <c r="A79" s="8" t="s">
        <v>127</v>
      </c>
      <c r="B79" s="8" t="s">
        <v>128</v>
      </c>
      <c r="C79" s="8" t="s">
        <v>166</v>
      </c>
      <c r="D79" s="8" t="s">
        <v>228</v>
      </c>
      <c r="E79" s="25">
        <v>990</v>
      </c>
      <c r="F79" s="25">
        <v>90</v>
      </c>
      <c r="G79" s="25">
        <v>900</v>
      </c>
      <c r="H79" s="25"/>
      <c r="I79" s="25"/>
      <c r="J79" s="25"/>
      <c r="K79" s="25"/>
      <c r="L79" s="25"/>
      <c r="M79" s="25"/>
      <c r="N79" s="25"/>
      <c r="O79" s="25"/>
    </row>
    <row r="80" spans="1:16" ht="12.5" x14ac:dyDescent="0.25">
      <c r="A80" s="8" t="s">
        <v>127</v>
      </c>
      <c r="B80" s="8" t="s">
        <v>128</v>
      </c>
      <c r="C80" s="8" t="s">
        <v>178</v>
      </c>
      <c r="D80" s="8" t="s">
        <v>229</v>
      </c>
      <c r="E80" s="25">
        <v>1551</v>
      </c>
      <c r="F80" s="25">
        <v>141</v>
      </c>
      <c r="G80" s="25">
        <v>1410</v>
      </c>
      <c r="H80" s="25"/>
      <c r="I80" s="25"/>
      <c r="J80" s="25"/>
      <c r="K80" s="25"/>
      <c r="L80" s="25"/>
      <c r="M80" s="25"/>
      <c r="N80" s="25"/>
      <c r="O80" s="25"/>
    </row>
    <row r="81" spans="1:15" ht="12.5" x14ac:dyDescent="0.25">
      <c r="A81" s="8" t="s">
        <v>127</v>
      </c>
      <c r="B81" s="8" t="s">
        <v>128</v>
      </c>
      <c r="C81" s="8" t="s">
        <v>178</v>
      </c>
      <c r="D81" s="8" t="s">
        <v>230</v>
      </c>
      <c r="E81" s="25">
        <v>82.5</v>
      </c>
      <c r="F81" s="25">
        <v>7.5</v>
      </c>
      <c r="G81" s="25">
        <v>75</v>
      </c>
      <c r="H81" s="26"/>
      <c r="I81" s="26"/>
      <c r="J81" s="26"/>
      <c r="K81" s="26"/>
      <c r="L81" s="26"/>
      <c r="M81" s="26"/>
      <c r="N81" s="26"/>
      <c r="O81" s="25"/>
    </row>
    <row r="82" spans="1:15" ht="12.5" x14ac:dyDescent="0.25">
      <c r="A82" s="8" t="s">
        <v>127</v>
      </c>
      <c r="B82" s="8" t="s">
        <v>128</v>
      </c>
      <c r="C82" s="8" t="s">
        <v>231</v>
      </c>
      <c r="D82" s="8" t="s">
        <v>232</v>
      </c>
      <c r="E82" s="25">
        <v>1283.7</v>
      </c>
      <c r="F82" s="25">
        <v>116.7</v>
      </c>
      <c r="G82" s="25">
        <v>1167</v>
      </c>
      <c r="O82" s="25"/>
    </row>
    <row r="83" spans="1:15" ht="12.5" x14ac:dyDescent="0.25">
      <c r="A83" s="8" t="s">
        <v>127</v>
      </c>
      <c r="B83" s="8" t="s">
        <v>128</v>
      </c>
      <c r="C83" s="8" t="s">
        <v>231</v>
      </c>
      <c r="D83" s="8" t="s">
        <v>233</v>
      </c>
      <c r="E83" s="25">
        <v>148.5</v>
      </c>
      <c r="F83" s="25">
        <v>13.5</v>
      </c>
      <c r="G83" s="25">
        <v>135</v>
      </c>
      <c r="O83" s="25"/>
    </row>
    <row r="84" spans="1:15" ht="12.5" x14ac:dyDescent="0.25">
      <c r="A84" s="8" t="s">
        <v>127</v>
      </c>
      <c r="B84" s="8" t="s">
        <v>128</v>
      </c>
      <c r="C84" s="8" t="s">
        <v>231</v>
      </c>
      <c r="D84" s="8" t="s">
        <v>234</v>
      </c>
      <c r="E84" s="25">
        <v>148.5</v>
      </c>
      <c r="F84" s="25">
        <v>13.5</v>
      </c>
      <c r="G84" s="25">
        <v>135</v>
      </c>
      <c r="H84" s="25"/>
      <c r="I84" s="25"/>
      <c r="J84" s="25"/>
      <c r="K84" s="25"/>
      <c r="L84" s="25"/>
      <c r="M84" s="25"/>
      <c r="N84" s="25"/>
      <c r="O84" s="25"/>
    </row>
    <row r="85" spans="1:15" ht="12.5" x14ac:dyDescent="0.25">
      <c r="A85" s="8" t="s">
        <v>127</v>
      </c>
      <c r="B85" s="8" t="s">
        <v>128</v>
      </c>
      <c r="C85" s="8" t="s">
        <v>169</v>
      </c>
      <c r="D85" s="8" t="s">
        <v>235</v>
      </c>
      <c r="E85" s="25">
        <v>742.5</v>
      </c>
      <c r="F85" s="25">
        <v>67.5</v>
      </c>
      <c r="G85" s="25">
        <v>675</v>
      </c>
      <c r="H85" s="25"/>
      <c r="I85" s="25"/>
      <c r="J85" s="25"/>
      <c r="K85" s="25"/>
      <c r="L85" s="25"/>
      <c r="M85" s="25"/>
      <c r="N85" s="25"/>
      <c r="O85" s="25"/>
    </row>
    <row r="86" spans="1:15" ht="12.5" x14ac:dyDescent="0.25">
      <c r="A86" s="8" t="s">
        <v>127</v>
      </c>
      <c r="B86" s="8" t="s">
        <v>128</v>
      </c>
      <c r="C86" s="8" t="s">
        <v>169</v>
      </c>
      <c r="D86" s="8" t="s">
        <v>236</v>
      </c>
      <c r="E86" s="25">
        <v>82.5</v>
      </c>
      <c r="F86" s="25">
        <v>7.5</v>
      </c>
      <c r="G86" s="25">
        <v>75</v>
      </c>
      <c r="H86" s="25"/>
      <c r="I86" s="25"/>
      <c r="J86" s="25"/>
      <c r="K86" s="25"/>
      <c r="L86" s="25"/>
      <c r="M86" s="25"/>
      <c r="N86" s="25"/>
      <c r="O86" s="25"/>
    </row>
    <row r="87" spans="1:15" ht="12.5" x14ac:dyDescent="0.25">
      <c r="A87" s="8" t="s">
        <v>127</v>
      </c>
      <c r="B87" s="8" t="s">
        <v>128</v>
      </c>
      <c r="C87" s="8" t="s">
        <v>178</v>
      </c>
      <c r="D87" s="8" t="s">
        <v>237</v>
      </c>
      <c r="E87" s="25">
        <v>3069</v>
      </c>
      <c r="F87" s="25">
        <v>279</v>
      </c>
      <c r="G87" s="25">
        <v>2790</v>
      </c>
      <c r="H87" s="25"/>
      <c r="I87" s="25"/>
      <c r="J87" s="25"/>
      <c r="K87" s="25"/>
      <c r="L87" s="25"/>
      <c r="M87" s="25"/>
      <c r="N87" s="25"/>
      <c r="O87" s="25"/>
    </row>
    <row r="88" spans="1:15" ht="12.5" x14ac:dyDescent="0.25">
      <c r="A88" s="8" t="s">
        <v>127</v>
      </c>
      <c r="B88" s="8" t="s">
        <v>128</v>
      </c>
      <c r="C88" s="8" t="s">
        <v>178</v>
      </c>
      <c r="D88" s="8" t="s">
        <v>238</v>
      </c>
      <c r="E88" s="25">
        <v>82.5</v>
      </c>
      <c r="F88" s="25">
        <v>7.5</v>
      </c>
      <c r="G88" s="25">
        <v>75</v>
      </c>
      <c r="H88" s="25"/>
      <c r="I88" s="25"/>
      <c r="J88" s="25"/>
      <c r="K88" s="25"/>
      <c r="L88" s="25"/>
      <c r="M88" s="25"/>
      <c r="N88" s="25"/>
      <c r="O88" s="25"/>
    </row>
    <row r="89" spans="1:15" ht="12.5" x14ac:dyDescent="0.25">
      <c r="A89" s="8" t="s">
        <v>127</v>
      </c>
      <c r="B89" s="8" t="s">
        <v>128</v>
      </c>
      <c r="C89" s="8" t="s">
        <v>178</v>
      </c>
      <c r="D89" s="8" t="s">
        <v>239</v>
      </c>
      <c r="E89" s="25">
        <v>-445.5</v>
      </c>
      <c r="F89" s="25">
        <v>-40.5</v>
      </c>
      <c r="G89" s="25">
        <v>-405</v>
      </c>
      <c r="H89" s="25"/>
      <c r="I89" s="25"/>
      <c r="J89" s="25"/>
      <c r="K89" s="25"/>
      <c r="L89" s="25"/>
      <c r="M89" s="25"/>
      <c r="N89" s="25"/>
      <c r="O89" s="25"/>
    </row>
    <row r="90" spans="1:15" ht="12.5" x14ac:dyDescent="0.25">
      <c r="A90" s="8" t="s">
        <v>127</v>
      </c>
      <c r="B90" s="8" t="s">
        <v>128</v>
      </c>
      <c r="C90" s="8" t="s">
        <v>178</v>
      </c>
      <c r="D90" s="8" t="s">
        <v>240</v>
      </c>
      <c r="E90" s="25">
        <v>330</v>
      </c>
      <c r="F90" s="25">
        <v>30</v>
      </c>
      <c r="G90" s="25">
        <v>300</v>
      </c>
      <c r="H90" s="25"/>
      <c r="I90" s="25"/>
      <c r="J90" s="25"/>
      <c r="K90" s="25"/>
      <c r="L90" s="25"/>
      <c r="M90" s="25"/>
      <c r="N90" s="25"/>
      <c r="O90" s="25"/>
    </row>
    <row r="91" spans="1:15" ht="12.5" x14ac:dyDescent="0.25">
      <c r="A91" s="8" t="s">
        <v>127</v>
      </c>
      <c r="B91" s="8" t="s">
        <v>128</v>
      </c>
      <c r="C91" s="8" t="s">
        <v>166</v>
      </c>
      <c r="D91" s="8" t="s">
        <v>241</v>
      </c>
      <c r="E91" s="25">
        <v>495</v>
      </c>
      <c r="F91" s="25">
        <v>45</v>
      </c>
      <c r="G91" s="25">
        <v>450</v>
      </c>
      <c r="H91" s="25"/>
      <c r="I91" s="25"/>
      <c r="J91" s="25"/>
      <c r="K91" s="25"/>
      <c r="L91" s="25"/>
      <c r="M91" s="25"/>
      <c r="N91" s="25"/>
      <c r="O91" s="25"/>
    </row>
    <row r="92" spans="1:15" ht="12.5" x14ac:dyDescent="0.25">
      <c r="A92" s="8" t="s">
        <v>127</v>
      </c>
      <c r="B92" s="8" t="s">
        <v>128</v>
      </c>
      <c r="C92" s="8" t="s">
        <v>141</v>
      </c>
      <c r="D92" s="8" t="s">
        <v>242</v>
      </c>
      <c r="E92" s="25">
        <v>165</v>
      </c>
      <c r="F92" s="25">
        <v>15</v>
      </c>
      <c r="G92" s="25">
        <v>150</v>
      </c>
      <c r="H92" s="26"/>
      <c r="I92" s="26"/>
      <c r="J92" s="26"/>
      <c r="K92" s="26"/>
      <c r="L92" s="26"/>
      <c r="M92" s="26"/>
      <c r="N92" s="26"/>
      <c r="O92" s="25"/>
    </row>
    <row r="93" spans="1:15" ht="12.5" x14ac:dyDescent="0.25">
      <c r="A93" s="8" t="s">
        <v>127</v>
      </c>
      <c r="B93" s="8" t="s">
        <v>128</v>
      </c>
      <c r="C93" s="8" t="s">
        <v>141</v>
      </c>
      <c r="D93" s="8" t="s">
        <v>243</v>
      </c>
      <c r="E93" s="25">
        <v>16.5</v>
      </c>
      <c r="F93" s="25">
        <v>1.5</v>
      </c>
      <c r="G93" s="25">
        <v>15</v>
      </c>
      <c r="O93" s="25"/>
    </row>
    <row r="94" spans="1:15" ht="12.5" x14ac:dyDescent="0.25">
      <c r="A94" s="8" t="s">
        <v>127</v>
      </c>
      <c r="B94" s="8" t="s">
        <v>132</v>
      </c>
      <c r="C94" s="8" t="s">
        <v>244</v>
      </c>
      <c r="D94" s="8" t="s">
        <v>245</v>
      </c>
      <c r="E94" s="25">
        <v>74.84</v>
      </c>
      <c r="F94" s="25">
        <v>6.8</v>
      </c>
      <c r="G94" s="25">
        <v>68.040000000000006</v>
      </c>
      <c r="O94" s="25"/>
    </row>
    <row r="95" spans="1:15" ht="12.5" x14ac:dyDescent="0.25">
      <c r="A95" s="8" t="s">
        <v>127</v>
      </c>
      <c r="B95" s="8" t="s">
        <v>132</v>
      </c>
      <c r="C95" s="8" t="s">
        <v>244</v>
      </c>
      <c r="D95" s="8" t="s">
        <v>246</v>
      </c>
      <c r="E95" s="25">
        <v>68.64</v>
      </c>
      <c r="F95" s="25">
        <v>6.24</v>
      </c>
      <c r="G95" s="25">
        <v>62.4</v>
      </c>
      <c r="O95" s="25"/>
    </row>
    <row r="96" spans="1:15" ht="12.5" x14ac:dyDescent="0.25">
      <c r="A96" s="8" t="s">
        <v>127</v>
      </c>
      <c r="B96" s="8" t="s">
        <v>128</v>
      </c>
      <c r="C96" s="8" t="s">
        <v>178</v>
      </c>
      <c r="D96" s="8" t="s">
        <v>247</v>
      </c>
      <c r="E96" s="25">
        <v>2970</v>
      </c>
      <c r="F96" s="25">
        <v>270</v>
      </c>
      <c r="G96" s="25">
        <v>2700</v>
      </c>
      <c r="O96" s="25"/>
    </row>
    <row r="97" spans="1:15" ht="12.5" x14ac:dyDescent="0.25">
      <c r="A97" s="8" t="s">
        <v>127</v>
      </c>
      <c r="B97" s="8" t="s">
        <v>128</v>
      </c>
      <c r="C97" s="8" t="s">
        <v>178</v>
      </c>
      <c r="D97" s="8" t="s">
        <v>248</v>
      </c>
      <c r="E97" s="25">
        <v>82.5</v>
      </c>
      <c r="F97" s="25">
        <v>7.5</v>
      </c>
      <c r="G97" s="25">
        <v>75</v>
      </c>
      <c r="O97" s="25"/>
    </row>
    <row r="98" spans="1:15" ht="12.5" x14ac:dyDescent="0.25">
      <c r="A98" s="8" t="s">
        <v>127</v>
      </c>
      <c r="B98" s="8" t="s">
        <v>174</v>
      </c>
      <c r="C98" s="8" t="s">
        <v>249</v>
      </c>
      <c r="D98" s="8" t="s">
        <v>250</v>
      </c>
      <c r="E98" s="25">
        <v>994.4</v>
      </c>
      <c r="F98" s="25">
        <v>90.4</v>
      </c>
      <c r="G98" s="25">
        <v>904</v>
      </c>
      <c r="O98" s="25"/>
    </row>
    <row r="99" spans="1:15" ht="12.5" x14ac:dyDescent="0.25">
      <c r="A99" s="8" t="s">
        <v>127</v>
      </c>
      <c r="B99" s="8" t="s">
        <v>128</v>
      </c>
      <c r="C99" s="8" t="s">
        <v>141</v>
      </c>
      <c r="D99" s="8" t="s">
        <v>251</v>
      </c>
      <c r="E99" s="25">
        <v>734.8</v>
      </c>
      <c r="F99" s="25">
        <v>66.8</v>
      </c>
      <c r="G99" s="25">
        <v>668</v>
      </c>
      <c r="O99" s="25"/>
    </row>
    <row r="100" spans="1:15" ht="12.5" x14ac:dyDescent="0.25">
      <c r="A100" s="8" t="s">
        <v>127</v>
      </c>
      <c r="B100" s="8" t="s">
        <v>128</v>
      </c>
      <c r="C100" s="8" t="s">
        <v>141</v>
      </c>
      <c r="D100" s="8" t="s">
        <v>252</v>
      </c>
      <c r="E100" s="25">
        <v>396</v>
      </c>
      <c r="F100" s="25">
        <v>36</v>
      </c>
      <c r="G100" s="25">
        <v>360</v>
      </c>
      <c r="O100" s="25"/>
    </row>
    <row r="101" spans="1:15" ht="12.5" x14ac:dyDescent="0.25">
      <c r="A101" s="8" t="s">
        <v>127</v>
      </c>
      <c r="B101" s="8" t="s">
        <v>128</v>
      </c>
      <c r="C101" s="8" t="s">
        <v>141</v>
      </c>
      <c r="D101" s="8" t="s">
        <v>253</v>
      </c>
      <c r="E101" s="25">
        <v>247.5</v>
      </c>
      <c r="F101" s="25">
        <v>22.5</v>
      </c>
      <c r="G101" s="25">
        <v>225</v>
      </c>
      <c r="O101" s="25"/>
    </row>
    <row r="102" spans="1:15" ht="12.5" x14ac:dyDescent="0.25">
      <c r="A102" s="8" t="s">
        <v>127</v>
      </c>
      <c r="B102" s="8" t="s">
        <v>128</v>
      </c>
      <c r="C102" s="8" t="s">
        <v>141</v>
      </c>
      <c r="D102" s="8" t="s">
        <v>254</v>
      </c>
      <c r="E102" s="25">
        <v>220</v>
      </c>
      <c r="F102" s="25">
        <v>20</v>
      </c>
      <c r="G102" s="25">
        <v>200</v>
      </c>
      <c r="O102" s="25"/>
    </row>
    <row r="103" spans="1:15" ht="12.5" x14ac:dyDescent="0.25">
      <c r="A103" s="8" t="s">
        <v>127</v>
      </c>
      <c r="B103" s="8" t="s">
        <v>128</v>
      </c>
      <c r="C103" s="8" t="s">
        <v>141</v>
      </c>
      <c r="D103" s="8" t="s">
        <v>255</v>
      </c>
      <c r="E103" s="25">
        <v>99</v>
      </c>
      <c r="F103" s="25">
        <v>9</v>
      </c>
      <c r="G103" s="25">
        <v>90</v>
      </c>
      <c r="O103" s="25"/>
    </row>
    <row r="104" spans="1:15" ht="12.5" x14ac:dyDescent="0.25">
      <c r="A104" s="8" t="s">
        <v>127</v>
      </c>
      <c r="B104" s="8" t="s">
        <v>132</v>
      </c>
      <c r="C104" s="8" t="s">
        <v>256</v>
      </c>
      <c r="D104" s="8" t="s">
        <v>257</v>
      </c>
      <c r="E104" s="25">
        <v>247.5</v>
      </c>
      <c r="F104" s="25">
        <v>22.5</v>
      </c>
      <c r="G104" s="25">
        <v>225</v>
      </c>
      <c r="O104" s="25"/>
    </row>
    <row r="105" spans="1:15" ht="12.5" x14ac:dyDescent="0.25">
      <c r="A105" s="8" t="s">
        <v>127</v>
      </c>
      <c r="B105" s="8" t="s">
        <v>137</v>
      </c>
      <c r="C105" s="8" t="s">
        <v>256</v>
      </c>
      <c r="D105" s="8" t="s">
        <v>258</v>
      </c>
      <c r="E105" s="25">
        <v>16.829999999999998</v>
      </c>
      <c r="F105" s="25">
        <v>1.53</v>
      </c>
      <c r="G105" s="25">
        <v>15.3</v>
      </c>
      <c r="O105" s="25"/>
    </row>
    <row r="106" spans="1:15" ht="12.5" x14ac:dyDescent="0.25">
      <c r="A106" s="8" t="s">
        <v>127</v>
      </c>
      <c r="B106" s="8" t="s">
        <v>174</v>
      </c>
      <c r="C106" s="8" t="s">
        <v>259</v>
      </c>
      <c r="D106" s="8" t="s">
        <v>260</v>
      </c>
      <c r="E106" s="25">
        <v>825</v>
      </c>
      <c r="F106" s="25">
        <v>75</v>
      </c>
      <c r="G106" s="25">
        <v>750</v>
      </c>
      <c r="O106" s="25"/>
    </row>
    <row r="107" spans="1:15" ht="12.5" x14ac:dyDescent="0.25">
      <c r="A107" s="8" t="s">
        <v>127</v>
      </c>
      <c r="B107" s="8" t="s">
        <v>174</v>
      </c>
      <c r="C107" s="8" t="s">
        <v>259</v>
      </c>
      <c r="D107" s="8" t="s">
        <v>261</v>
      </c>
      <c r="E107" s="25">
        <v>99</v>
      </c>
      <c r="F107" s="25">
        <v>9</v>
      </c>
      <c r="G107" s="25">
        <v>90</v>
      </c>
      <c r="O107" s="25"/>
    </row>
    <row r="108" spans="1:15" ht="12.5" x14ac:dyDescent="0.25">
      <c r="A108" s="8" t="s">
        <v>127</v>
      </c>
      <c r="B108" s="8" t="s">
        <v>132</v>
      </c>
      <c r="C108" s="8" t="s">
        <v>262</v>
      </c>
      <c r="D108" s="8" t="s">
        <v>263</v>
      </c>
      <c r="E108" s="25">
        <v>173.25</v>
      </c>
      <c r="F108" s="25">
        <v>15.75</v>
      </c>
      <c r="G108" s="25">
        <v>157.5</v>
      </c>
      <c r="O108" s="25"/>
    </row>
    <row r="109" spans="1:15" ht="12.5" x14ac:dyDescent="0.25">
      <c r="A109" s="8" t="s">
        <v>127</v>
      </c>
      <c r="B109" s="8" t="s">
        <v>132</v>
      </c>
      <c r="C109" s="8" t="s">
        <v>262</v>
      </c>
      <c r="D109" s="8" t="s">
        <v>264</v>
      </c>
      <c r="E109" s="25">
        <v>27.5</v>
      </c>
      <c r="F109" s="25">
        <v>2.5</v>
      </c>
      <c r="G109" s="25">
        <v>25</v>
      </c>
      <c r="O109" s="25"/>
    </row>
    <row r="110" spans="1:15" ht="12.5" x14ac:dyDescent="0.25">
      <c r="A110" s="8" t="s">
        <v>127</v>
      </c>
      <c r="B110" s="8" t="s">
        <v>137</v>
      </c>
      <c r="C110" s="8" t="s">
        <v>262</v>
      </c>
      <c r="D110" s="8" t="s">
        <v>182</v>
      </c>
      <c r="E110" s="25">
        <v>5.0199999999999996</v>
      </c>
      <c r="F110" s="25">
        <v>0.46</v>
      </c>
      <c r="G110" s="25">
        <v>4.5599999999999996</v>
      </c>
      <c r="O110" s="25"/>
    </row>
    <row r="111" spans="1:15" ht="12.5" x14ac:dyDescent="0.25">
      <c r="A111" s="8" t="s">
        <v>127</v>
      </c>
      <c r="B111" s="8" t="s">
        <v>132</v>
      </c>
      <c r="C111" s="8" t="s">
        <v>265</v>
      </c>
      <c r="D111" s="8" t="s">
        <v>266</v>
      </c>
      <c r="E111" s="25">
        <v>130.08000000000001</v>
      </c>
      <c r="F111" s="25">
        <v>11.83</v>
      </c>
      <c r="G111" s="25">
        <v>118.25</v>
      </c>
      <c r="O111" s="25"/>
    </row>
    <row r="112" spans="1:15" ht="12.5" x14ac:dyDescent="0.25">
      <c r="A112" s="8" t="s">
        <v>127</v>
      </c>
      <c r="B112" s="8" t="s">
        <v>132</v>
      </c>
      <c r="C112" s="8" t="s">
        <v>265</v>
      </c>
      <c r="D112" s="8" t="s">
        <v>267</v>
      </c>
      <c r="E112" s="25">
        <v>82.5</v>
      </c>
      <c r="F112" s="25">
        <v>7.5</v>
      </c>
      <c r="G112" s="25">
        <v>75</v>
      </c>
      <c r="O112" s="25"/>
    </row>
    <row r="113" spans="1:15" ht="12.5" x14ac:dyDescent="0.25">
      <c r="A113" s="8" t="s">
        <v>127</v>
      </c>
      <c r="B113" s="8" t="s">
        <v>128</v>
      </c>
      <c r="C113" s="8" t="s">
        <v>268</v>
      </c>
      <c r="D113" s="8" t="s">
        <v>269</v>
      </c>
      <c r="E113" s="25">
        <v>6534</v>
      </c>
      <c r="F113" s="25">
        <v>594</v>
      </c>
      <c r="G113" s="25">
        <v>5940</v>
      </c>
      <c r="O113" s="25"/>
    </row>
    <row r="114" spans="1:15" ht="12.5" x14ac:dyDescent="0.25">
      <c r="A114" s="8" t="s">
        <v>127</v>
      </c>
      <c r="B114" s="8" t="s">
        <v>128</v>
      </c>
      <c r="C114" s="8" t="s">
        <v>161</v>
      </c>
      <c r="D114" s="8" t="s">
        <v>270</v>
      </c>
      <c r="E114" s="25">
        <v>724.9</v>
      </c>
      <c r="F114" s="25">
        <v>65.900000000000006</v>
      </c>
      <c r="G114" s="25">
        <v>659</v>
      </c>
      <c r="O114" s="25"/>
    </row>
    <row r="115" spans="1:15" ht="12.5" x14ac:dyDescent="0.25">
      <c r="A115" s="8" t="s">
        <v>127</v>
      </c>
      <c r="B115" s="8" t="s">
        <v>128</v>
      </c>
      <c r="C115" s="8" t="s">
        <v>161</v>
      </c>
      <c r="D115" s="8" t="s">
        <v>271</v>
      </c>
      <c r="E115" s="25">
        <v>-247.5</v>
      </c>
      <c r="F115" s="25">
        <v>-22.5</v>
      </c>
      <c r="G115" s="25">
        <v>-225</v>
      </c>
      <c r="O115" s="25"/>
    </row>
    <row r="116" spans="1:15" ht="12.5" x14ac:dyDescent="0.25">
      <c r="A116" s="8" t="s">
        <v>127</v>
      </c>
      <c r="B116" s="8" t="s">
        <v>128</v>
      </c>
      <c r="C116" s="8" t="s">
        <v>161</v>
      </c>
      <c r="D116" s="8" t="s">
        <v>272</v>
      </c>
      <c r="E116" s="25">
        <v>49.5</v>
      </c>
      <c r="F116" s="25">
        <v>4.5</v>
      </c>
      <c r="G116" s="25">
        <v>45</v>
      </c>
      <c r="O116" s="25"/>
    </row>
    <row r="117" spans="1:15" ht="12.5" x14ac:dyDescent="0.25">
      <c r="A117" s="8" t="s">
        <v>127</v>
      </c>
      <c r="B117" s="8" t="s">
        <v>128</v>
      </c>
      <c r="C117" s="8" t="s">
        <v>161</v>
      </c>
      <c r="D117" s="8" t="s">
        <v>273</v>
      </c>
      <c r="E117" s="25">
        <v>99</v>
      </c>
      <c r="F117" s="25">
        <v>9</v>
      </c>
      <c r="G117" s="25">
        <v>90</v>
      </c>
      <c r="O117" s="25"/>
    </row>
    <row r="118" spans="1:15" ht="12.5" x14ac:dyDescent="0.25">
      <c r="A118" s="8" t="s">
        <v>127</v>
      </c>
      <c r="B118" s="8" t="s">
        <v>128</v>
      </c>
      <c r="C118" s="8" t="s">
        <v>161</v>
      </c>
      <c r="D118" s="8" t="s">
        <v>274</v>
      </c>
      <c r="E118" s="25">
        <v>49.5</v>
      </c>
      <c r="F118" s="25">
        <v>4.5</v>
      </c>
      <c r="G118" s="25">
        <v>45</v>
      </c>
      <c r="O118" s="25"/>
    </row>
    <row r="119" spans="1:15" ht="12.5" x14ac:dyDescent="0.25">
      <c r="A119" s="8" t="s">
        <v>127</v>
      </c>
      <c r="B119" s="8" t="s">
        <v>128</v>
      </c>
      <c r="C119" s="8" t="s">
        <v>161</v>
      </c>
      <c r="D119" s="8" t="s">
        <v>275</v>
      </c>
      <c r="E119" s="25">
        <v>-99</v>
      </c>
      <c r="F119" s="25">
        <v>-9</v>
      </c>
      <c r="G119" s="25">
        <v>-90</v>
      </c>
      <c r="O119" s="25"/>
    </row>
    <row r="120" spans="1:15" ht="12.5" x14ac:dyDescent="0.25">
      <c r="A120" s="8" t="s">
        <v>127</v>
      </c>
      <c r="B120" s="8" t="s">
        <v>128</v>
      </c>
      <c r="C120" s="8" t="s">
        <v>161</v>
      </c>
      <c r="D120" s="8" t="s">
        <v>276</v>
      </c>
      <c r="E120" s="25">
        <v>110</v>
      </c>
      <c r="F120" s="25">
        <v>10</v>
      </c>
      <c r="G120" s="25">
        <v>100</v>
      </c>
      <c r="O120" s="25"/>
    </row>
    <row r="121" spans="1:15" ht="12.5" x14ac:dyDescent="0.25">
      <c r="A121" s="8" t="s">
        <v>127</v>
      </c>
      <c r="B121" s="8" t="s">
        <v>128</v>
      </c>
      <c r="C121" s="8" t="s">
        <v>161</v>
      </c>
      <c r="D121" s="8" t="s">
        <v>277</v>
      </c>
      <c r="E121" s="25">
        <v>99</v>
      </c>
      <c r="F121" s="25">
        <v>9</v>
      </c>
      <c r="G121" s="25">
        <v>90</v>
      </c>
      <c r="O121" s="25"/>
    </row>
    <row r="122" spans="1:15" ht="12.5" x14ac:dyDescent="0.25">
      <c r="A122" s="8" t="s">
        <v>127</v>
      </c>
      <c r="B122" s="8" t="s">
        <v>137</v>
      </c>
      <c r="C122" s="8" t="s">
        <v>161</v>
      </c>
      <c r="D122" s="8" t="s">
        <v>278</v>
      </c>
      <c r="E122" s="25">
        <v>50.11</v>
      </c>
      <c r="F122" s="25">
        <v>4.5599999999999996</v>
      </c>
      <c r="G122" s="25">
        <v>45.55</v>
      </c>
      <c r="O122" s="25"/>
    </row>
    <row r="123" spans="1:15" ht="12.5" x14ac:dyDescent="0.25">
      <c r="A123" s="8" t="s">
        <v>127</v>
      </c>
      <c r="B123" s="8" t="s">
        <v>128</v>
      </c>
      <c r="C123" s="8" t="s">
        <v>161</v>
      </c>
      <c r="D123" s="8" t="s">
        <v>279</v>
      </c>
      <c r="E123" s="25">
        <v>49.5</v>
      </c>
      <c r="F123" s="25">
        <v>4.5</v>
      </c>
      <c r="G123" s="25">
        <v>45</v>
      </c>
      <c r="O123" s="25"/>
    </row>
    <row r="124" spans="1:15" ht="12.5" x14ac:dyDescent="0.25">
      <c r="A124" s="8" t="s">
        <v>127</v>
      </c>
      <c r="B124" s="8" t="s">
        <v>128</v>
      </c>
      <c r="C124" s="8" t="s">
        <v>161</v>
      </c>
      <c r="D124" s="8" t="s">
        <v>280</v>
      </c>
      <c r="E124" s="25">
        <v>-99</v>
      </c>
      <c r="F124" s="25">
        <v>-9</v>
      </c>
      <c r="G124" s="25">
        <v>-90</v>
      </c>
      <c r="O124" s="25"/>
    </row>
    <row r="125" spans="1:15" ht="12.5" x14ac:dyDescent="0.25">
      <c r="A125" s="8" t="s">
        <v>127</v>
      </c>
      <c r="B125" s="8" t="s">
        <v>132</v>
      </c>
      <c r="C125" s="8" t="s">
        <v>281</v>
      </c>
      <c r="D125" s="8" t="s">
        <v>282</v>
      </c>
      <c r="E125" s="25">
        <v>445.5</v>
      </c>
      <c r="F125" s="25">
        <v>40.5</v>
      </c>
      <c r="G125" s="25">
        <v>405</v>
      </c>
      <c r="O125" s="25"/>
    </row>
    <row r="126" spans="1:15" ht="12.5" x14ac:dyDescent="0.25">
      <c r="A126" s="8" t="s">
        <v>127</v>
      </c>
      <c r="B126" s="8" t="s">
        <v>128</v>
      </c>
      <c r="C126" s="8" t="s">
        <v>151</v>
      </c>
      <c r="D126" s="8" t="s">
        <v>283</v>
      </c>
      <c r="E126" s="25">
        <v>273.89999999999998</v>
      </c>
      <c r="F126" s="25">
        <v>24.9</v>
      </c>
      <c r="G126" s="25">
        <v>249</v>
      </c>
      <c r="O126" s="25"/>
    </row>
    <row r="127" spans="1:15" ht="12.5" x14ac:dyDescent="0.25">
      <c r="A127" s="8" t="s">
        <v>127</v>
      </c>
      <c r="B127" s="8" t="s">
        <v>132</v>
      </c>
      <c r="C127" s="8" t="s">
        <v>284</v>
      </c>
      <c r="D127" s="8" t="s">
        <v>285</v>
      </c>
      <c r="E127" s="25">
        <v>1218.8</v>
      </c>
      <c r="F127" s="25">
        <v>110.8</v>
      </c>
      <c r="G127" s="25">
        <v>1108</v>
      </c>
      <c r="O127" s="25"/>
    </row>
    <row r="128" spans="1:15" ht="12.5" x14ac:dyDescent="0.25">
      <c r="A128" s="8" t="s">
        <v>127</v>
      </c>
      <c r="B128" s="8" t="s">
        <v>132</v>
      </c>
      <c r="C128" s="8" t="s">
        <v>284</v>
      </c>
      <c r="D128" s="8" t="s">
        <v>286</v>
      </c>
      <c r="E128" s="25">
        <v>82.5</v>
      </c>
      <c r="F128" s="25">
        <v>7.5</v>
      </c>
      <c r="G128" s="25">
        <v>75</v>
      </c>
      <c r="O128" s="25"/>
    </row>
    <row r="129" spans="1:15" ht="12.5" x14ac:dyDescent="0.25">
      <c r="A129" s="8" t="s">
        <v>127</v>
      </c>
      <c r="B129" s="8" t="s">
        <v>132</v>
      </c>
      <c r="C129" s="8" t="s">
        <v>284</v>
      </c>
      <c r="D129" s="8" t="s">
        <v>287</v>
      </c>
      <c r="E129" s="25">
        <v>82.5</v>
      </c>
      <c r="F129" s="25">
        <v>7.5</v>
      </c>
      <c r="G129" s="25">
        <v>75</v>
      </c>
      <c r="O129" s="25"/>
    </row>
    <row r="130" spans="1:15" ht="12.5" x14ac:dyDescent="0.25">
      <c r="A130" s="8" t="s">
        <v>127</v>
      </c>
      <c r="B130" s="8" t="s">
        <v>132</v>
      </c>
      <c r="C130" s="8" t="s">
        <v>284</v>
      </c>
      <c r="D130" s="8" t="s">
        <v>288</v>
      </c>
      <c r="E130" s="25">
        <v>1485</v>
      </c>
      <c r="F130" s="25">
        <v>135</v>
      </c>
      <c r="G130" s="25">
        <v>1350</v>
      </c>
      <c r="O130" s="25"/>
    </row>
    <row r="131" spans="1:15" ht="12.5" x14ac:dyDescent="0.25">
      <c r="A131" s="8" t="s">
        <v>127</v>
      </c>
      <c r="B131" s="8" t="s">
        <v>132</v>
      </c>
      <c r="C131" s="8" t="s">
        <v>284</v>
      </c>
      <c r="D131" s="8" t="s">
        <v>289</v>
      </c>
      <c r="E131" s="25">
        <v>123.75</v>
      </c>
      <c r="F131" s="25">
        <v>11.25</v>
      </c>
      <c r="G131" s="25">
        <v>112.5</v>
      </c>
      <c r="O131" s="25"/>
    </row>
    <row r="132" spans="1:15" ht="12.5" x14ac:dyDescent="0.25">
      <c r="A132" s="8" t="s">
        <v>127</v>
      </c>
      <c r="B132" s="8" t="s">
        <v>128</v>
      </c>
      <c r="C132" s="8" t="s">
        <v>161</v>
      </c>
      <c r="D132" s="8" t="s">
        <v>290</v>
      </c>
      <c r="E132" s="25">
        <v>675.4</v>
      </c>
      <c r="F132" s="25">
        <v>61.4</v>
      </c>
      <c r="G132" s="25">
        <v>614</v>
      </c>
      <c r="O132" s="25"/>
    </row>
    <row r="133" spans="1:15" ht="12.5" x14ac:dyDescent="0.25">
      <c r="A133" s="8" t="s">
        <v>127</v>
      </c>
      <c r="B133" s="8" t="s">
        <v>128</v>
      </c>
      <c r="C133" s="8" t="s">
        <v>161</v>
      </c>
      <c r="D133" s="8" t="s">
        <v>291</v>
      </c>
      <c r="E133" s="25">
        <v>-345.4</v>
      </c>
      <c r="F133" s="25">
        <v>-31.4</v>
      </c>
      <c r="G133" s="25">
        <v>-314</v>
      </c>
      <c r="O133" s="25"/>
    </row>
    <row r="134" spans="1:15" ht="12.5" x14ac:dyDescent="0.25">
      <c r="A134" s="8" t="s">
        <v>127</v>
      </c>
      <c r="B134" s="8" t="s">
        <v>128</v>
      </c>
      <c r="C134" s="8" t="s">
        <v>151</v>
      </c>
      <c r="D134" s="8" t="s">
        <v>292</v>
      </c>
      <c r="E134" s="25">
        <v>427.9</v>
      </c>
      <c r="F134" s="25">
        <v>38.9</v>
      </c>
      <c r="G134" s="25">
        <v>389</v>
      </c>
      <c r="O134" s="25"/>
    </row>
    <row r="135" spans="1:15" ht="12.5" x14ac:dyDescent="0.25">
      <c r="A135" s="8" t="s">
        <v>127</v>
      </c>
      <c r="B135" s="8" t="s">
        <v>137</v>
      </c>
      <c r="C135" s="8" t="s">
        <v>151</v>
      </c>
      <c r="D135" s="8" t="s">
        <v>293</v>
      </c>
      <c r="E135" s="25">
        <v>10.7</v>
      </c>
      <c r="F135" s="25">
        <v>0.97</v>
      </c>
      <c r="G135" s="25">
        <v>9.73</v>
      </c>
      <c r="O135" s="25"/>
    </row>
    <row r="136" spans="1:15" ht="12.5" x14ac:dyDescent="0.25">
      <c r="A136" s="8" t="s">
        <v>127</v>
      </c>
      <c r="B136" s="8" t="s">
        <v>128</v>
      </c>
      <c r="C136" s="8" t="s">
        <v>151</v>
      </c>
      <c r="D136" s="8" t="s">
        <v>294</v>
      </c>
      <c r="E136" s="25">
        <v>220</v>
      </c>
      <c r="F136" s="25">
        <v>20</v>
      </c>
      <c r="G136" s="25">
        <v>200</v>
      </c>
      <c r="O136" s="25"/>
    </row>
    <row r="137" spans="1:15" ht="12.5" x14ac:dyDescent="0.25">
      <c r="A137" s="8" t="s">
        <v>127</v>
      </c>
      <c r="B137" s="8" t="s">
        <v>137</v>
      </c>
      <c r="C137" s="8" t="s">
        <v>151</v>
      </c>
      <c r="D137" s="8" t="s">
        <v>295</v>
      </c>
      <c r="E137" s="25">
        <v>5.5</v>
      </c>
      <c r="F137" s="25">
        <v>0.5</v>
      </c>
      <c r="G137" s="25">
        <v>5</v>
      </c>
      <c r="O137" s="25"/>
    </row>
    <row r="138" spans="1:15" ht="12.5" x14ac:dyDescent="0.25">
      <c r="A138" s="8" t="s">
        <v>127</v>
      </c>
      <c r="B138" s="8" t="s">
        <v>128</v>
      </c>
      <c r="C138" s="8" t="s">
        <v>296</v>
      </c>
      <c r="D138" s="8" t="s">
        <v>297</v>
      </c>
      <c r="E138" s="25">
        <v>2178</v>
      </c>
      <c r="F138" s="25">
        <v>198</v>
      </c>
      <c r="G138" s="25">
        <v>1980</v>
      </c>
      <c r="O138" s="25"/>
    </row>
    <row r="139" spans="1:15" ht="12.5" x14ac:dyDescent="0.25">
      <c r="A139" s="8" t="s">
        <v>127</v>
      </c>
      <c r="B139" s="8" t="s">
        <v>128</v>
      </c>
      <c r="C139" s="8" t="s">
        <v>296</v>
      </c>
      <c r="D139" s="8" t="s">
        <v>298</v>
      </c>
      <c r="E139" s="25">
        <v>4537.5</v>
      </c>
      <c r="F139" s="25">
        <v>412.5</v>
      </c>
      <c r="G139" s="25">
        <v>4125</v>
      </c>
      <c r="O139" s="25"/>
    </row>
    <row r="140" spans="1:15" ht="12.5" x14ac:dyDescent="0.25">
      <c r="A140" s="8" t="s">
        <v>127</v>
      </c>
      <c r="B140" s="8" t="s">
        <v>128</v>
      </c>
      <c r="C140" s="8" t="s">
        <v>296</v>
      </c>
      <c r="D140" s="8" t="s">
        <v>299</v>
      </c>
      <c r="E140" s="25">
        <v>363</v>
      </c>
      <c r="F140" s="25">
        <v>33</v>
      </c>
      <c r="G140" s="25">
        <v>330</v>
      </c>
      <c r="O140" s="25"/>
    </row>
    <row r="141" spans="1:15" ht="12.5" x14ac:dyDescent="0.25">
      <c r="A141" s="8" t="s">
        <v>127</v>
      </c>
      <c r="B141" s="8" t="s">
        <v>128</v>
      </c>
      <c r="C141" s="8" t="s">
        <v>296</v>
      </c>
      <c r="D141" s="8" t="s">
        <v>300</v>
      </c>
      <c r="E141" s="25">
        <v>363</v>
      </c>
      <c r="F141" s="25">
        <v>33</v>
      </c>
      <c r="G141" s="25">
        <v>330</v>
      </c>
      <c r="O141" s="25"/>
    </row>
    <row r="142" spans="1:15" ht="12.5" x14ac:dyDescent="0.25">
      <c r="A142" s="8" t="s">
        <v>127</v>
      </c>
      <c r="B142" s="8" t="s">
        <v>128</v>
      </c>
      <c r="C142" s="8" t="s">
        <v>296</v>
      </c>
      <c r="D142" s="8" t="s">
        <v>301</v>
      </c>
      <c r="E142" s="25">
        <v>363</v>
      </c>
      <c r="F142" s="25">
        <v>33</v>
      </c>
      <c r="G142" s="25">
        <v>330</v>
      </c>
      <c r="O142" s="25"/>
    </row>
    <row r="143" spans="1:15" ht="12.5" x14ac:dyDescent="0.25">
      <c r="A143" s="8" t="s">
        <v>127</v>
      </c>
      <c r="B143" s="8" t="s">
        <v>128</v>
      </c>
      <c r="C143" s="8" t="s">
        <v>296</v>
      </c>
      <c r="D143" s="8" t="s">
        <v>302</v>
      </c>
      <c r="E143" s="25">
        <v>181.5</v>
      </c>
      <c r="F143" s="25">
        <v>16.5</v>
      </c>
      <c r="G143" s="25">
        <v>165</v>
      </c>
      <c r="O143" s="25"/>
    </row>
    <row r="144" spans="1:15" ht="12.5" x14ac:dyDescent="0.25">
      <c r="A144" s="8" t="s">
        <v>127</v>
      </c>
      <c r="B144" s="8" t="s">
        <v>128</v>
      </c>
      <c r="C144" s="8" t="s">
        <v>296</v>
      </c>
      <c r="D144" s="8" t="s">
        <v>303</v>
      </c>
      <c r="E144" s="25">
        <v>363</v>
      </c>
      <c r="F144" s="25">
        <v>33</v>
      </c>
      <c r="G144" s="25">
        <v>330</v>
      </c>
      <c r="O144" s="25"/>
    </row>
    <row r="145" spans="1:15" ht="12.5" x14ac:dyDescent="0.25">
      <c r="A145" s="8" t="s">
        <v>127</v>
      </c>
      <c r="B145" s="8" t="s">
        <v>174</v>
      </c>
      <c r="C145" s="8" t="s">
        <v>304</v>
      </c>
      <c r="D145" s="8" t="s">
        <v>305</v>
      </c>
      <c r="E145" s="25">
        <v>477.4</v>
      </c>
      <c r="F145" s="25">
        <v>43.4</v>
      </c>
      <c r="G145" s="25">
        <v>434</v>
      </c>
      <c r="O145" s="25"/>
    </row>
    <row r="146" spans="1:15" ht="12.5" x14ac:dyDescent="0.25">
      <c r="A146" s="8" t="s">
        <v>127</v>
      </c>
      <c r="B146" s="8" t="s">
        <v>174</v>
      </c>
      <c r="C146" s="8" t="s">
        <v>304</v>
      </c>
      <c r="D146" s="8" t="s">
        <v>306</v>
      </c>
      <c r="E146" s="25">
        <v>49.5</v>
      </c>
      <c r="F146" s="25">
        <v>4.5</v>
      </c>
      <c r="G146" s="25">
        <v>45</v>
      </c>
      <c r="O146" s="25"/>
    </row>
    <row r="147" spans="1:15" ht="12.5" x14ac:dyDescent="0.25">
      <c r="A147" s="8" t="s">
        <v>127</v>
      </c>
      <c r="B147" s="8" t="s">
        <v>174</v>
      </c>
      <c r="C147" s="8" t="s">
        <v>304</v>
      </c>
      <c r="D147" s="8" t="s">
        <v>307</v>
      </c>
      <c r="E147" s="25">
        <v>679.8</v>
      </c>
      <c r="F147" s="25">
        <v>61.8</v>
      </c>
      <c r="G147" s="25">
        <v>618</v>
      </c>
      <c r="O147" s="25"/>
    </row>
    <row r="148" spans="1:15" ht="12.5" x14ac:dyDescent="0.25">
      <c r="A148" s="8" t="s">
        <v>127</v>
      </c>
      <c r="B148" s="8" t="s">
        <v>174</v>
      </c>
      <c r="C148" s="8" t="s">
        <v>304</v>
      </c>
      <c r="D148" s="8" t="s">
        <v>308</v>
      </c>
      <c r="E148" s="25">
        <v>-49.5</v>
      </c>
      <c r="F148" s="25">
        <v>-4.5</v>
      </c>
      <c r="G148" s="25">
        <v>-45</v>
      </c>
      <c r="O148" s="25"/>
    </row>
    <row r="149" spans="1:15" ht="12.5" x14ac:dyDescent="0.25">
      <c r="A149" s="8" t="s">
        <v>127</v>
      </c>
      <c r="B149" s="8" t="s">
        <v>128</v>
      </c>
      <c r="C149" s="8" t="s">
        <v>309</v>
      </c>
      <c r="D149" s="8" t="s">
        <v>310</v>
      </c>
      <c r="E149" s="25">
        <v>6534</v>
      </c>
      <c r="F149" s="25">
        <v>594</v>
      </c>
      <c r="G149" s="25">
        <v>5940</v>
      </c>
      <c r="O149" s="25"/>
    </row>
    <row r="150" spans="1:15" ht="12.5" x14ac:dyDescent="0.25">
      <c r="A150" s="8" t="s">
        <v>127</v>
      </c>
      <c r="B150" s="8" t="s">
        <v>128</v>
      </c>
      <c r="C150" s="8" t="s">
        <v>309</v>
      </c>
      <c r="D150" s="8" t="s">
        <v>311</v>
      </c>
      <c r="E150" s="25">
        <v>726</v>
      </c>
      <c r="F150" s="25">
        <v>66</v>
      </c>
      <c r="G150" s="25">
        <v>660</v>
      </c>
      <c r="O150" s="25"/>
    </row>
    <row r="151" spans="1:15" ht="12.5" x14ac:dyDescent="0.25">
      <c r="A151" s="8" t="s">
        <v>127</v>
      </c>
      <c r="B151" s="8" t="s">
        <v>128</v>
      </c>
      <c r="C151" s="8" t="s">
        <v>312</v>
      </c>
      <c r="D151" s="8" t="s">
        <v>313</v>
      </c>
      <c r="E151" s="25">
        <v>1320</v>
      </c>
      <c r="F151" s="25">
        <v>120</v>
      </c>
      <c r="G151" s="25">
        <v>1200</v>
      </c>
      <c r="O151" s="25"/>
    </row>
    <row r="152" spans="1:15" ht="12.5" x14ac:dyDescent="0.25">
      <c r="A152" s="8" t="s">
        <v>127</v>
      </c>
      <c r="B152" s="8" t="s">
        <v>128</v>
      </c>
      <c r="C152" s="8" t="s">
        <v>314</v>
      </c>
      <c r="D152" s="8" t="s">
        <v>315</v>
      </c>
      <c r="E152" s="25">
        <v>253</v>
      </c>
      <c r="F152" s="25">
        <v>23</v>
      </c>
      <c r="G152" s="25">
        <v>230</v>
      </c>
      <c r="O152" s="25"/>
    </row>
    <row r="153" spans="1:15" ht="12.5" x14ac:dyDescent="0.25">
      <c r="A153" s="8" t="s">
        <v>127</v>
      </c>
      <c r="B153" s="8" t="s">
        <v>174</v>
      </c>
      <c r="C153" s="8" t="s">
        <v>316</v>
      </c>
      <c r="D153" s="8" t="s">
        <v>317</v>
      </c>
      <c r="E153" s="25">
        <v>378.4</v>
      </c>
      <c r="F153" s="25">
        <v>34.4</v>
      </c>
      <c r="G153" s="25">
        <v>344</v>
      </c>
      <c r="O153" s="25"/>
    </row>
    <row r="154" spans="1:15" ht="12.5" x14ac:dyDescent="0.25">
      <c r="A154" s="8" t="s">
        <v>127</v>
      </c>
      <c r="B154" s="8" t="s">
        <v>128</v>
      </c>
      <c r="C154" s="8" t="s">
        <v>318</v>
      </c>
      <c r="D154" s="8" t="s">
        <v>319</v>
      </c>
      <c r="E154" s="25">
        <v>1914</v>
      </c>
      <c r="F154" s="25">
        <v>174</v>
      </c>
      <c r="G154" s="25">
        <v>1740</v>
      </c>
      <c r="O154" s="25"/>
    </row>
    <row r="155" spans="1:15" ht="12.5" x14ac:dyDescent="0.25">
      <c r="A155" s="8" t="s">
        <v>127</v>
      </c>
      <c r="B155" s="8" t="s">
        <v>174</v>
      </c>
      <c r="C155" s="8" t="s">
        <v>320</v>
      </c>
      <c r="D155" s="8" t="s">
        <v>321</v>
      </c>
      <c r="E155" s="25">
        <v>242</v>
      </c>
      <c r="F155" s="25">
        <v>22</v>
      </c>
      <c r="G155" s="25">
        <v>220</v>
      </c>
      <c r="O155" s="25"/>
    </row>
    <row r="156" spans="1:15" ht="12.5" x14ac:dyDescent="0.25">
      <c r="A156" s="8" t="s">
        <v>127</v>
      </c>
      <c r="B156" s="8" t="s">
        <v>174</v>
      </c>
      <c r="C156" s="8" t="s">
        <v>320</v>
      </c>
      <c r="D156" s="8" t="s">
        <v>322</v>
      </c>
      <c r="E156" s="25">
        <v>665.5</v>
      </c>
      <c r="F156" s="25">
        <v>60.5</v>
      </c>
      <c r="G156" s="25">
        <v>605</v>
      </c>
      <c r="O156" s="25"/>
    </row>
    <row r="157" spans="1:15" ht="12.5" x14ac:dyDescent="0.25">
      <c r="A157" s="8" t="s">
        <v>127</v>
      </c>
      <c r="B157" s="8" t="s">
        <v>174</v>
      </c>
      <c r="C157" s="8" t="s">
        <v>323</v>
      </c>
      <c r="D157" s="8" t="s">
        <v>324</v>
      </c>
      <c r="E157" s="25">
        <v>1654.4</v>
      </c>
      <c r="F157" s="25">
        <v>150.4</v>
      </c>
      <c r="G157" s="25">
        <v>1504</v>
      </c>
      <c r="O157" s="25"/>
    </row>
    <row r="158" spans="1:15" ht="12.5" x14ac:dyDescent="0.25">
      <c r="A158" s="8" t="s">
        <v>127</v>
      </c>
      <c r="B158" s="8" t="s">
        <v>174</v>
      </c>
      <c r="C158" s="8" t="s">
        <v>323</v>
      </c>
      <c r="D158" s="8" t="s">
        <v>325</v>
      </c>
      <c r="E158" s="25">
        <v>220</v>
      </c>
      <c r="F158" s="25">
        <v>20</v>
      </c>
      <c r="G158" s="25">
        <v>200</v>
      </c>
      <c r="O158" s="25"/>
    </row>
    <row r="159" spans="1:15" ht="12.5" x14ac:dyDescent="0.25">
      <c r="A159" s="8" t="s">
        <v>127</v>
      </c>
      <c r="B159" s="8" t="s">
        <v>137</v>
      </c>
      <c r="C159" s="8" t="s">
        <v>323</v>
      </c>
      <c r="D159" s="8" t="s">
        <v>326</v>
      </c>
      <c r="E159" s="25">
        <v>46.86</v>
      </c>
      <c r="F159" s="25">
        <v>4.26</v>
      </c>
      <c r="G159" s="25">
        <v>42.6</v>
      </c>
      <c r="O159" s="25"/>
    </row>
    <row r="160" spans="1:15" ht="12.5" x14ac:dyDescent="0.25">
      <c r="A160" s="8" t="s">
        <v>127</v>
      </c>
      <c r="B160" s="8" t="s">
        <v>128</v>
      </c>
      <c r="C160" s="8" t="s">
        <v>327</v>
      </c>
      <c r="D160" s="8" t="s">
        <v>328</v>
      </c>
      <c r="E160" s="25">
        <v>242</v>
      </c>
      <c r="F160" s="25">
        <v>22</v>
      </c>
      <c r="G160" s="25">
        <v>220</v>
      </c>
      <c r="O160" s="25"/>
    </row>
    <row r="161" spans="1:15" ht="12.5" x14ac:dyDescent="0.25">
      <c r="A161" s="8" t="s">
        <v>127</v>
      </c>
      <c r="B161" s="8" t="s">
        <v>132</v>
      </c>
      <c r="C161" s="8" t="s">
        <v>329</v>
      </c>
      <c r="D161" s="8" t="s">
        <v>330</v>
      </c>
      <c r="E161" s="25">
        <v>387.2</v>
      </c>
      <c r="F161" s="25">
        <v>35.200000000000003</v>
      </c>
      <c r="G161" s="25">
        <v>352</v>
      </c>
      <c r="O161" s="25"/>
    </row>
    <row r="162" spans="1:15" ht="12.5" x14ac:dyDescent="0.25">
      <c r="A162" s="8" t="s">
        <v>127</v>
      </c>
      <c r="B162" s="8" t="s">
        <v>132</v>
      </c>
      <c r="C162" s="8" t="s">
        <v>329</v>
      </c>
      <c r="D162" s="8" t="s">
        <v>331</v>
      </c>
      <c r="E162" s="25">
        <v>27.5</v>
      </c>
      <c r="F162" s="25">
        <v>2.5</v>
      </c>
      <c r="G162" s="25">
        <v>25</v>
      </c>
      <c r="O162" s="25"/>
    </row>
    <row r="163" spans="1:15" ht="12.5" x14ac:dyDescent="0.25">
      <c r="A163" s="8" t="s">
        <v>127</v>
      </c>
      <c r="B163" s="8" t="s">
        <v>132</v>
      </c>
      <c r="C163" s="8" t="s">
        <v>329</v>
      </c>
      <c r="D163" s="8" t="s">
        <v>332</v>
      </c>
      <c r="E163" s="25">
        <v>27.5</v>
      </c>
      <c r="F163" s="25">
        <v>2.5</v>
      </c>
      <c r="G163" s="25">
        <v>25</v>
      </c>
      <c r="O163" s="25"/>
    </row>
    <row r="164" spans="1:15" ht="12.5" x14ac:dyDescent="0.25">
      <c r="A164" s="8" t="s">
        <v>127</v>
      </c>
      <c r="B164" s="8" t="s">
        <v>128</v>
      </c>
      <c r="C164" s="8" t="s">
        <v>333</v>
      </c>
      <c r="D164" s="8" t="s">
        <v>334</v>
      </c>
      <c r="E164" s="25">
        <v>687.5</v>
      </c>
      <c r="F164" s="25">
        <v>62.5</v>
      </c>
      <c r="G164" s="25">
        <v>625</v>
      </c>
      <c r="O164" s="25"/>
    </row>
    <row r="165" spans="1:15" ht="12.5" x14ac:dyDescent="0.25">
      <c r="A165" s="8" t="s">
        <v>127</v>
      </c>
      <c r="B165" s="8" t="s">
        <v>128</v>
      </c>
      <c r="C165" s="8" t="s">
        <v>335</v>
      </c>
      <c r="D165" s="8" t="s">
        <v>336</v>
      </c>
      <c r="E165" s="25">
        <v>1633.5</v>
      </c>
      <c r="F165" s="25">
        <v>148.5</v>
      </c>
      <c r="G165" s="25">
        <v>1485</v>
      </c>
      <c r="O165" s="25"/>
    </row>
    <row r="166" spans="1:15" ht="12.5" x14ac:dyDescent="0.25">
      <c r="A166" s="8" t="s">
        <v>127</v>
      </c>
      <c r="B166" s="8" t="s">
        <v>128</v>
      </c>
      <c r="C166" s="8" t="s">
        <v>335</v>
      </c>
      <c r="D166" s="8" t="s">
        <v>337</v>
      </c>
      <c r="E166" s="25">
        <v>-816.75</v>
      </c>
      <c r="F166" s="25">
        <v>-74.25</v>
      </c>
      <c r="G166" s="25">
        <v>-742.5</v>
      </c>
      <c r="O166" s="25"/>
    </row>
    <row r="167" spans="1:15" ht="12.5" x14ac:dyDescent="0.25">
      <c r="A167" s="8" t="s">
        <v>127</v>
      </c>
      <c r="B167" s="8" t="s">
        <v>132</v>
      </c>
      <c r="C167" s="8" t="s">
        <v>335</v>
      </c>
      <c r="D167" s="8" t="s">
        <v>338</v>
      </c>
      <c r="E167" s="25">
        <v>82.5</v>
      </c>
      <c r="F167" s="25">
        <v>7.5</v>
      </c>
      <c r="G167" s="25">
        <v>75</v>
      </c>
      <c r="O167" s="25"/>
    </row>
    <row r="168" spans="1:15" ht="12.5" x14ac:dyDescent="0.25">
      <c r="A168" s="8" t="s">
        <v>127</v>
      </c>
      <c r="B168" s="8" t="s">
        <v>128</v>
      </c>
      <c r="C168" s="8" t="s">
        <v>339</v>
      </c>
      <c r="D168" s="8" t="s">
        <v>340</v>
      </c>
      <c r="E168" s="25">
        <v>486.2</v>
      </c>
      <c r="F168" s="25">
        <v>44.2</v>
      </c>
      <c r="G168" s="25">
        <v>442</v>
      </c>
      <c r="O168" s="25"/>
    </row>
    <row r="169" spans="1:15" ht="12.5" x14ac:dyDescent="0.25">
      <c r="A169" s="8" t="s">
        <v>127</v>
      </c>
      <c r="B169" s="8" t="s">
        <v>137</v>
      </c>
      <c r="C169" s="8" t="s">
        <v>339</v>
      </c>
      <c r="D169" s="8" t="s">
        <v>341</v>
      </c>
      <c r="E169" s="25">
        <v>12.16</v>
      </c>
      <c r="F169" s="25">
        <v>1.1100000000000001</v>
      </c>
      <c r="G169" s="25">
        <v>11.05</v>
      </c>
      <c r="O169" s="25"/>
    </row>
    <row r="170" spans="1:15" ht="12.5" x14ac:dyDescent="0.25">
      <c r="A170" s="8" t="s">
        <v>127</v>
      </c>
      <c r="B170" s="8" t="s">
        <v>128</v>
      </c>
      <c r="C170" s="8" t="s">
        <v>166</v>
      </c>
      <c r="D170" s="8" t="s">
        <v>342</v>
      </c>
      <c r="E170" s="25">
        <v>1699.5</v>
      </c>
      <c r="F170" s="25">
        <v>154.5</v>
      </c>
      <c r="G170" s="25">
        <v>1545</v>
      </c>
      <c r="O170" s="25"/>
    </row>
    <row r="171" spans="1:15" ht="12.5" x14ac:dyDescent="0.25">
      <c r="A171" s="8" t="s">
        <v>127</v>
      </c>
      <c r="B171" s="8" t="s">
        <v>128</v>
      </c>
      <c r="C171" s="8" t="s">
        <v>166</v>
      </c>
      <c r="D171" s="8" t="s">
        <v>343</v>
      </c>
      <c r="E171" s="25">
        <v>82.5</v>
      </c>
      <c r="F171" s="25">
        <v>7.5</v>
      </c>
      <c r="G171" s="25">
        <v>75</v>
      </c>
      <c r="O171" s="25"/>
    </row>
    <row r="172" spans="1:15" ht="12.5" x14ac:dyDescent="0.25">
      <c r="A172" s="8" t="s">
        <v>344</v>
      </c>
      <c r="B172" s="8" t="s">
        <v>128</v>
      </c>
      <c r="C172" s="8" t="s">
        <v>345</v>
      </c>
      <c r="D172" s="8" t="s">
        <v>346</v>
      </c>
      <c r="E172" s="25">
        <v>419.1</v>
      </c>
      <c r="F172" s="25">
        <v>38.1</v>
      </c>
      <c r="G172" s="25">
        <v>381</v>
      </c>
      <c r="O172" s="25"/>
    </row>
    <row r="173" spans="1:15" ht="12.5" x14ac:dyDescent="0.25">
      <c r="A173" s="8" t="s">
        <v>344</v>
      </c>
      <c r="B173" s="8" t="s">
        <v>347</v>
      </c>
      <c r="C173" s="8" t="s">
        <v>348</v>
      </c>
      <c r="D173" s="8" t="s">
        <v>349</v>
      </c>
      <c r="E173" s="25">
        <v>220</v>
      </c>
      <c r="F173" s="25">
        <v>20</v>
      </c>
      <c r="G173" s="25">
        <v>200</v>
      </c>
      <c r="O173" s="25"/>
    </row>
    <row r="174" spans="1:15" ht="12.5" x14ac:dyDescent="0.25">
      <c r="A174" s="8" t="s">
        <v>344</v>
      </c>
      <c r="B174" s="8" t="s">
        <v>128</v>
      </c>
      <c r="C174" s="8" t="s">
        <v>348</v>
      </c>
      <c r="D174" s="8" t="s">
        <v>350</v>
      </c>
      <c r="E174" s="25">
        <v>84.15</v>
      </c>
      <c r="F174" s="25">
        <v>7.65</v>
      </c>
      <c r="G174" s="25">
        <v>76.5</v>
      </c>
      <c r="O174" s="25"/>
    </row>
    <row r="175" spans="1:15" ht="12.5" x14ac:dyDescent="0.25">
      <c r="A175" s="8" t="s">
        <v>344</v>
      </c>
      <c r="B175" s="8" t="s">
        <v>128</v>
      </c>
      <c r="C175" s="8" t="s">
        <v>348</v>
      </c>
      <c r="D175" s="8" t="s">
        <v>351</v>
      </c>
      <c r="E175" s="25">
        <v>186.23</v>
      </c>
      <c r="F175" s="25">
        <v>16.93</v>
      </c>
      <c r="G175" s="25">
        <v>169.3</v>
      </c>
      <c r="O175" s="25"/>
    </row>
    <row r="176" spans="1:15" ht="12.5" x14ac:dyDescent="0.25">
      <c r="A176" s="8" t="s">
        <v>344</v>
      </c>
      <c r="B176" s="8" t="s">
        <v>347</v>
      </c>
      <c r="C176" s="8" t="s">
        <v>352</v>
      </c>
      <c r="D176" s="8" t="s">
        <v>353</v>
      </c>
      <c r="E176" s="25">
        <v>220</v>
      </c>
      <c r="F176" s="25">
        <v>20</v>
      </c>
      <c r="G176" s="25">
        <v>200</v>
      </c>
      <c r="O176" s="25"/>
    </row>
    <row r="177" spans="1:15" ht="12.5" x14ac:dyDescent="0.25">
      <c r="A177" s="8" t="s">
        <v>344</v>
      </c>
      <c r="B177" s="8" t="s">
        <v>128</v>
      </c>
      <c r="C177" s="8" t="s">
        <v>352</v>
      </c>
      <c r="D177" s="8" t="s">
        <v>354</v>
      </c>
      <c r="E177" s="25">
        <v>406.23</v>
      </c>
      <c r="F177" s="25">
        <v>36.93</v>
      </c>
      <c r="G177" s="25">
        <v>369.3</v>
      </c>
      <c r="O177" s="25"/>
    </row>
    <row r="178" spans="1:15" ht="12.5" x14ac:dyDescent="0.25">
      <c r="A178" s="8" t="s">
        <v>344</v>
      </c>
      <c r="B178" s="8" t="s">
        <v>128</v>
      </c>
      <c r="C178" s="8" t="s">
        <v>352</v>
      </c>
      <c r="D178" s="8" t="s">
        <v>355</v>
      </c>
      <c r="E178" s="25">
        <v>183.15</v>
      </c>
      <c r="F178" s="25">
        <v>16.649999999999999</v>
      </c>
      <c r="G178" s="25">
        <v>166.5</v>
      </c>
      <c r="O178" s="25"/>
    </row>
    <row r="179" spans="1:15" ht="12.5" x14ac:dyDescent="0.25">
      <c r="A179" s="8" t="s">
        <v>344</v>
      </c>
      <c r="B179" s="8" t="s">
        <v>356</v>
      </c>
      <c r="C179" s="8" t="s">
        <v>357</v>
      </c>
      <c r="D179" s="8" t="s">
        <v>358</v>
      </c>
      <c r="E179" s="25">
        <v>17908</v>
      </c>
      <c r="F179" s="25">
        <v>1628</v>
      </c>
      <c r="G179" s="25">
        <v>16280</v>
      </c>
      <c r="O179" s="25"/>
    </row>
    <row r="180" spans="1:15" ht="12.5" x14ac:dyDescent="0.25">
      <c r="A180" s="8" t="s">
        <v>344</v>
      </c>
      <c r="B180" s="8" t="s">
        <v>128</v>
      </c>
      <c r="C180" s="8" t="s">
        <v>359</v>
      </c>
      <c r="D180" s="8" t="s">
        <v>360</v>
      </c>
      <c r="E180" s="25">
        <v>594</v>
      </c>
      <c r="F180" s="25">
        <v>54</v>
      </c>
      <c r="G180" s="25">
        <v>540</v>
      </c>
      <c r="O180" s="25"/>
    </row>
    <row r="181" spans="1:15" ht="12.5" x14ac:dyDescent="0.25">
      <c r="A181" s="8" t="s">
        <v>344</v>
      </c>
      <c r="B181" s="8" t="s">
        <v>347</v>
      </c>
      <c r="C181" s="8" t="s">
        <v>359</v>
      </c>
      <c r="D181" s="8" t="s">
        <v>361</v>
      </c>
      <c r="E181" s="25">
        <v>1320</v>
      </c>
      <c r="F181" s="25">
        <v>120</v>
      </c>
      <c r="G181" s="25">
        <v>1200</v>
      </c>
      <c r="O181" s="25"/>
    </row>
    <row r="182" spans="1:15" ht="12.5" x14ac:dyDescent="0.25">
      <c r="A182" s="8" t="s">
        <v>362</v>
      </c>
      <c r="B182" s="8" t="s">
        <v>132</v>
      </c>
      <c r="C182" s="8" t="s">
        <v>363</v>
      </c>
      <c r="D182" s="8" t="s">
        <v>364</v>
      </c>
      <c r="E182" s="25">
        <v>-653.4</v>
      </c>
      <c r="F182" s="25">
        <v>-59.4</v>
      </c>
      <c r="G182" s="25">
        <v>-594</v>
      </c>
      <c r="O182" s="25"/>
    </row>
    <row r="183" spans="1:15" ht="12.5" x14ac:dyDescent="0.25">
      <c r="A183" s="8" t="s">
        <v>362</v>
      </c>
      <c r="B183" s="8" t="s">
        <v>132</v>
      </c>
      <c r="C183" s="8" t="s">
        <v>363</v>
      </c>
      <c r="D183" s="8" t="s">
        <v>365</v>
      </c>
      <c r="E183" s="25">
        <v>-653.4</v>
      </c>
      <c r="F183" s="25">
        <v>-59.4</v>
      </c>
      <c r="G183" s="25">
        <v>-594</v>
      </c>
      <c r="O183" s="25"/>
    </row>
    <row r="184" spans="1:15" ht="12.5" x14ac:dyDescent="0.25">
      <c r="A184" s="8" t="s">
        <v>362</v>
      </c>
      <c r="B184" s="8" t="s">
        <v>356</v>
      </c>
      <c r="C184" s="8" t="s">
        <v>366</v>
      </c>
      <c r="D184" s="8" t="s">
        <v>367</v>
      </c>
      <c r="E184" s="25">
        <v>1221</v>
      </c>
      <c r="F184" s="25">
        <v>111</v>
      </c>
      <c r="G184" s="25">
        <v>1110</v>
      </c>
      <c r="O184" s="25"/>
    </row>
    <row r="185" spans="1:15" ht="12.5" x14ac:dyDescent="0.25">
      <c r="A185" s="8" t="s">
        <v>362</v>
      </c>
      <c r="B185" s="8" t="s">
        <v>128</v>
      </c>
      <c r="C185" s="8" t="s">
        <v>368</v>
      </c>
      <c r="D185" s="8" t="s">
        <v>369</v>
      </c>
      <c r="E185" s="25">
        <v>-1452</v>
      </c>
      <c r="F185" s="25">
        <v>-132</v>
      </c>
      <c r="G185" s="25">
        <v>-1320</v>
      </c>
      <c r="O185" s="25"/>
    </row>
    <row r="186" spans="1:15" ht="12.5" x14ac:dyDescent="0.25">
      <c r="A186" s="8" t="s">
        <v>370</v>
      </c>
      <c r="B186" s="8" t="s">
        <v>356</v>
      </c>
      <c r="C186" s="8" t="s">
        <v>357</v>
      </c>
      <c r="D186" s="8" t="s">
        <v>371</v>
      </c>
      <c r="E186" s="25">
        <v>2035</v>
      </c>
      <c r="F186" s="25">
        <v>185</v>
      </c>
      <c r="G186" s="25">
        <v>1850</v>
      </c>
      <c r="O186" s="25"/>
    </row>
    <row r="187" spans="1:15" ht="12.5" x14ac:dyDescent="0.25">
      <c r="A187" s="8" t="s">
        <v>370</v>
      </c>
      <c r="B187" s="8" t="s">
        <v>356</v>
      </c>
      <c r="C187" s="8" t="s">
        <v>357</v>
      </c>
      <c r="D187" s="8" t="s">
        <v>372</v>
      </c>
      <c r="E187" s="25">
        <v>2849</v>
      </c>
      <c r="F187" s="25">
        <v>259</v>
      </c>
      <c r="G187" s="25">
        <v>2590</v>
      </c>
      <c r="O187" s="25"/>
    </row>
    <row r="188" spans="1:15" ht="12.5" x14ac:dyDescent="0.25">
      <c r="A188" s="8" t="s">
        <v>373</v>
      </c>
      <c r="B188" s="8" t="s">
        <v>174</v>
      </c>
      <c r="C188" s="8" t="s">
        <v>175</v>
      </c>
      <c r="D188" s="8" t="s">
        <v>176</v>
      </c>
      <c r="E188" s="25">
        <v>-330</v>
      </c>
      <c r="F188" s="25">
        <v>-30</v>
      </c>
      <c r="G188" s="25">
        <v>-300</v>
      </c>
      <c r="O188" s="25"/>
    </row>
    <row r="189" spans="1:15" ht="12.5" x14ac:dyDescent="0.25">
      <c r="A189" s="8" t="s">
        <v>373</v>
      </c>
      <c r="B189" s="8" t="s">
        <v>174</v>
      </c>
      <c r="C189" s="8" t="s">
        <v>175</v>
      </c>
      <c r="D189" s="8" t="s">
        <v>177</v>
      </c>
      <c r="E189" s="25">
        <v>-27.5</v>
      </c>
      <c r="F189" s="25">
        <v>-2.5</v>
      </c>
      <c r="G189" s="25">
        <v>-25</v>
      </c>
      <c r="O189" s="25"/>
    </row>
    <row r="190" spans="1:15" ht="12.5" x14ac:dyDescent="0.25">
      <c r="A190" s="8" t="s">
        <v>373</v>
      </c>
      <c r="B190" s="8" t="s">
        <v>128</v>
      </c>
      <c r="C190" s="8" t="s">
        <v>374</v>
      </c>
      <c r="D190" s="8" t="s">
        <v>375</v>
      </c>
      <c r="E190" s="25">
        <v>858</v>
      </c>
      <c r="F190" s="25">
        <v>78</v>
      </c>
      <c r="G190" s="25">
        <v>780</v>
      </c>
      <c r="O190" s="25"/>
    </row>
    <row r="191" spans="1:15" ht="12.5" x14ac:dyDescent="0.25">
      <c r="A191" s="8" t="s">
        <v>376</v>
      </c>
      <c r="B191" s="8" t="s">
        <v>356</v>
      </c>
      <c r="C191" s="8" t="s">
        <v>377</v>
      </c>
      <c r="D191" s="8" t="s">
        <v>378</v>
      </c>
      <c r="E191" s="25">
        <v>1017.5</v>
      </c>
      <c r="F191" s="25">
        <v>92.5</v>
      </c>
      <c r="G191" s="25">
        <v>925</v>
      </c>
      <c r="O191" s="25"/>
    </row>
    <row r="192" spans="1:15" ht="12.5" x14ac:dyDescent="0.25">
      <c r="A192" s="8" t="s">
        <v>376</v>
      </c>
      <c r="B192" s="8" t="s">
        <v>356</v>
      </c>
      <c r="C192" s="8" t="s">
        <v>379</v>
      </c>
      <c r="D192" s="8" t="s">
        <v>380</v>
      </c>
      <c r="E192" s="25">
        <v>1831.5</v>
      </c>
      <c r="F192" s="25">
        <v>166.5</v>
      </c>
      <c r="G192" s="25">
        <v>1665</v>
      </c>
      <c r="O192" s="25"/>
    </row>
    <row r="193" spans="1:15" ht="12.5" x14ac:dyDescent="0.25">
      <c r="A193" s="8" t="s">
        <v>376</v>
      </c>
      <c r="B193" s="8" t="s">
        <v>356</v>
      </c>
      <c r="C193" s="8" t="s">
        <v>381</v>
      </c>
      <c r="D193" s="8" t="s">
        <v>382</v>
      </c>
      <c r="E193" s="25">
        <v>1628</v>
      </c>
      <c r="F193" s="25">
        <v>148</v>
      </c>
      <c r="G193" s="25">
        <v>1480</v>
      </c>
      <c r="O193" s="25"/>
    </row>
    <row r="194" spans="1:15" ht="12.5" x14ac:dyDescent="0.25">
      <c r="A194" s="8" t="s">
        <v>383</v>
      </c>
      <c r="B194" s="8" t="s">
        <v>356</v>
      </c>
      <c r="C194" s="8" t="s">
        <v>384</v>
      </c>
      <c r="D194" s="8" t="s">
        <v>385</v>
      </c>
      <c r="E194" s="25">
        <v>1017.5</v>
      </c>
      <c r="F194" s="25">
        <v>92.5</v>
      </c>
      <c r="G194" s="25">
        <v>925</v>
      </c>
      <c r="O194" s="25"/>
    </row>
    <row r="195" spans="1:15" ht="12.5" x14ac:dyDescent="0.25">
      <c r="A195" s="8" t="s">
        <v>386</v>
      </c>
      <c r="B195" s="8" t="s">
        <v>137</v>
      </c>
      <c r="C195" s="8" t="s">
        <v>387</v>
      </c>
      <c r="D195" s="8" t="s">
        <v>388</v>
      </c>
      <c r="E195" s="25">
        <v>3080</v>
      </c>
      <c r="F195" s="25">
        <v>280</v>
      </c>
      <c r="G195" s="25">
        <v>2800</v>
      </c>
      <c r="O195" s="25"/>
    </row>
    <row r="196" spans="1:15" ht="12.5" x14ac:dyDescent="0.25">
      <c r="A196" s="8" t="s">
        <v>386</v>
      </c>
      <c r="B196" s="8" t="s">
        <v>137</v>
      </c>
      <c r="C196" s="8" t="s">
        <v>389</v>
      </c>
      <c r="D196" s="8" t="s">
        <v>390</v>
      </c>
      <c r="E196" s="25">
        <v>825</v>
      </c>
      <c r="F196" s="25">
        <v>75</v>
      </c>
      <c r="G196" s="25">
        <v>750</v>
      </c>
      <c r="O196" s="25"/>
    </row>
    <row r="197" spans="1:15" ht="12.5" x14ac:dyDescent="0.25">
      <c r="A197" s="8" t="s">
        <v>386</v>
      </c>
      <c r="B197" s="8" t="s">
        <v>128</v>
      </c>
      <c r="C197" s="8" t="s">
        <v>391</v>
      </c>
      <c r="D197" s="8" t="s">
        <v>392</v>
      </c>
      <c r="E197" s="25">
        <v>330</v>
      </c>
      <c r="F197" s="25">
        <v>30</v>
      </c>
      <c r="G197" s="25">
        <v>300</v>
      </c>
      <c r="O197" s="25"/>
    </row>
    <row r="198" spans="1:15" ht="12.5" x14ac:dyDescent="0.25">
      <c r="A198" s="8" t="s">
        <v>393</v>
      </c>
      <c r="B198" s="8" t="s">
        <v>394</v>
      </c>
      <c r="C198" s="8" t="s">
        <v>70</v>
      </c>
      <c r="D198" s="8" t="s">
        <v>395</v>
      </c>
      <c r="E198" s="25">
        <v>4514</v>
      </c>
      <c r="F198" s="25">
        <v>410.36</v>
      </c>
      <c r="G198" s="25">
        <v>4103.6400000000003</v>
      </c>
      <c r="O198" s="25"/>
    </row>
    <row r="199" spans="1:15" ht="12.5" x14ac:dyDescent="0.25">
      <c r="A199" s="8" t="s">
        <v>393</v>
      </c>
      <c r="B199" s="8" t="s">
        <v>356</v>
      </c>
      <c r="C199" s="8" t="s">
        <v>357</v>
      </c>
      <c r="D199" s="8" t="s">
        <v>396</v>
      </c>
      <c r="E199" s="25">
        <v>874.5</v>
      </c>
      <c r="F199" s="25">
        <v>79.5</v>
      </c>
      <c r="G199" s="25">
        <v>795</v>
      </c>
      <c r="O199" s="25"/>
    </row>
    <row r="200" spans="1:15" ht="12.5" x14ac:dyDescent="0.25">
      <c r="A200" s="8" t="s">
        <v>393</v>
      </c>
      <c r="B200" s="8" t="s">
        <v>128</v>
      </c>
      <c r="C200" s="8" t="s">
        <v>397</v>
      </c>
      <c r="D200" s="8" t="s">
        <v>398</v>
      </c>
      <c r="E200" s="25">
        <v>-495</v>
      </c>
      <c r="F200" s="25">
        <v>-45</v>
      </c>
      <c r="G200" s="25">
        <v>-450</v>
      </c>
      <c r="O200" s="25"/>
    </row>
    <row r="201" spans="1:15" ht="12.5" x14ac:dyDescent="0.25">
      <c r="A201" s="8" t="s">
        <v>393</v>
      </c>
      <c r="B201" s="8" t="s">
        <v>356</v>
      </c>
      <c r="C201" s="8" t="s">
        <v>399</v>
      </c>
      <c r="D201" s="8" t="s">
        <v>400</v>
      </c>
      <c r="E201" s="25">
        <v>610.5</v>
      </c>
      <c r="F201" s="25">
        <v>55.5</v>
      </c>
      <c r="G201" s="25">
        <v>555</v>
      </c>
      <c r="O201" s="25"/>
    </row>
    <row r="202" spans="1:15" ht="12.5" x14ac:dyDescent="0.25">
      <c r="A202" s="8" t="s">
        <v>401</v>
      </c>
      <c r="B202" s="8" t="s">
        <v>394</v>
      </c>
      <c r="C202" s="8" t="s">
        <v>70</v>
      </c>
      <c r="D202" s="8" t="s">
        <v>395</v>
      </c>
      <c r="E202" s="25">
        <v>3183</v>
      </c>
      <c r="F202" s="25">
        <v>289.36</v>
      </c>
      <c r="G202" s="25">
        <v>2893.64</v>
      </c>
      <c r="O202" s="25"/>
    </row>
    <row r="203" spans="1:15" ht="12.5" x14ac:dyDescent="0.25">
      <c r="A203" s="8" t="s">
        <v>402</v>
      </c>
      <c r="B203" s="8" t="s">
        <v>128</v>
      </c>
      <c r="C203" s="8" t="s">
        <v>403</v>
      </c>
      <c r="D203" s="8" t="s">
        <v>404</v>
      </c>
      <c r="E203" s="25">
        <v>379.5</v>
      </c>
      <c r="F203" s="25">
        <v>34.5</v>
      </c>
      <c r="G203" s="25">
        <v>345</v>
      </c>
      <c r="O203" s="25"/>
    </row>
    <row r="204" spans="1:15" ht="12.5" x14ac:dyDescent="0.25">
      <c r="A204" s="8" t="s">
        <v>402</v>
      </c>
      <c r="B204" s="8" t="s">
        <v>128</v>
      </c>
      <c r="C204" s="8" t="s">
        <v>403</v>
      </c>
      <c r="D204" s="8" t="s">
        <v>405</v>
      </c>
      <c r="E204" s="25">
        <v>148.5</v>
      </c>
      <c r="F204" s="25">
        <v>13.5</v>
      </c>
      <c r="G204" s="25">
        <v>135</v>
      </c>
      <c r="O204" s="25"/>
    </row>
    <row r="205" spans="1:15" ht="12.5" x14ac:dyDescent="0.25">
      <c r="A205" s="8" t="s">
        <v>402</v>
      </c>
      <c r="B205" s="8" t="s">
        <v>128</v>
      </c>
      <c r="C205" s="8" t="s">
        <v>406</v>
      </c>
      <c r="D205" s="8" t="s">
        <v>407</v>
      </c>
      <c r="E205" s="25">
        <v>660</v>
      </c>
      <c r="F205" s="25">
        <v>60</v>
      </c>
      <c r="G205" s="25">
        <v>600</v>
      </c>
      <c r="O205" s="25"/>
    </row>
    <row r="206" spans="1:15" ht="12.5" x14ac:dyDescent="0.25">
      <c r="A206" s="8" t="s">
        <v>402</v>
      </c>
      <c r="B206" s="8" t="s">
        <v>128</v>
      </c>
      <c r="C206" s="8" t="s">
        <v>406</v>
      </c>
      <c r="D206" s="8" t="s">
        <v>408</v>
      </c>
      <c r="E206" s="25">
        <v>82.5</v>
      </c>
      <c r="F206" s="25">
        <v>7.5</v>
      </c>
      <c r="G206" s="25">
        <v>75</v>
      </c>
      <c r="O206" s="25"/>
    </row>
    <row r="207" spans="1:15" ht="12.5" x14ac:dyDescent="0.25">
      <c r="A207" s="8" t="s">
        <v>402</v>
      </c>
      <c r="B207" s="8" t="s">
        <v>128</v>
      </c>
      <c r="C207" s="8" t="s">
        <v>406</v>
      </c>
      <c r="D207" s="8" t="s">
        <v>409</v>
      </c>
      <c r="E207" s="25">
        <v>990</v>
      </c>
      <c r="F207" s="25">
        <v>90</v>
      </c>
      <c r="G207" s="25">
        <v>900</v>
      </c>
      <c r="O207" s="25"/>
    </row>
    <row r="208" spans="1:15" ht="12.5" x14ac:dyDescent="0.25">
      <c r="A208" s="8" t="s">
        <v>402</v>
      </c>
      <c r="B208" s="8" t="s">
        <v>128</v>
      </c>
      <c r="C208" s="8" t="s">
        <v>406</v>
      </c>
      <c r="D208" s="8" t="s">
        <v>410</v>
      </c>
      <c r="E208" s="25">
        <v>82.5</v>
      </c>
      <c r="F208" s="25">
        <v>7.5</v>
      </c>
      <c r="G208" s="25">
        <v>75</v>
      </c>
      <c r="O208" s="25"/>
    </row>
    <row r="209" spans="1:15" ht="12.5" x14ac:dyDescent="0.25">
      <c r="A209" s="8" t="s">
        <v>402</v>
      </c>
      <c r="B209" s="8" t="s">
        <v>132</v>
      </c>
      <c r="C209" s="8" t="s">
        <v>411</v>
      </c>
      <c r="D209" s="8" t="s">
        <v>412</v>
      </c>
      <c r="E209" s="25">
        <v>1247.4000000000001</v>
      </c>
      <c r="F209" s="25">
        <v>113.4</v>
      </c>
      <c r="G209" s="25">
        <v>1134</v>
      </c>
      <c r="O209" s="25"/>
    </row>
    <row r="210" spans="1:15" ht="12.5" x14ac:dyDescent="0.25">
      <c r="A210" s="8" t="s">
        <v>402</v>
      </c>
      <c r="B210" s="8" t="s">
        <v>132</v>
      </c>
      <c r="C210" s="8" t="s">
        <v>411</v>
      </c>
      <c r="D210" s="8" t="s">
        <v>413</v>
      </c>
      <c r="E210" s="25">
        <v>1247.4000000000001</v>
      </c>
      <c r="F210" s="25">
        <v>113.4</v>
      </c>
      <c r="G210" s="25">
        <v>1134</v>
      </c>
      <c r="O210" s="25"/>
    </row>
    <row r="211" spans="1:15" ht="12.5" x14ac:dyDescent="0.25">
      <c r="A211" s="8" t="s">
        <v>402</v>
      </c>
      <c r="B211" s="8" t="s">
        <v>132</v>
      </c>
      <c r="C211" s="8" t="s">
        <v>411</v>
      </c>
      <c r="D211" s="8" t="s">
        <v>414</v>
      </c>
      <c r="E211" s="25">
        <v>330</v>
      </c>
      <c r="F211" s="25">
        <v>30</v>
      </c>
      <c r="G211" s="25">
        <v>300</v>
      </c>
      <c r="O211" s="25"/>
    </row>
    <row r="212" spans="1:15" ht="12.5" x14ac:dyDescent="0.25">
      <c r="A212" s="8" t="s">
        <v>402</v>
      </c>
      <c r="B212" s="8" t="s">
        <v>132</v>
      </c>
      <c r="C212" s="8" t="s">
        <v>411</v>
      </c>
      <c r="D212" s="8" t="s">
        <v>415</v>
      </c>
      <c r="E212" s="25">
        <v>330</v>
      </c>
      <c r="F212" s="25">
        <v>30</v>
      </c>
      <c r="G212" s="25">
        <v>300</v>
      </c>
      <c r="O212" s="25"/>
    </row>
    <row r="213" spans="1:15" ht="12.5" x14ac:dyDescent="0.25">
      <c r="A213" s="8" t="s">
        <v>402</v>
      </c>
      <c r="B213" s="8" t="s">
        <v>132</v>
      </c>
      <c r="C213" s="8" t="s">
        <v>416</v>
      </c>
      <c r="D213" s="8" t="s">
        <v>417</v>
      </c>
      <c r="E213" s="25">
        <v>727.65</v>
      </c>
      <c r="F213" s="25">
        <v>66.150000000000006</v>
      </c>
      <c r="G213" s="25">
        <v>661.5</v>
      </c>
      <c r="O213" s="25"/>
    </row>
    <row r="214" spans="1:15" ht="12.5" x14ac:dyDescent="0.25">
      <c r="A214" s="8" t="s">
        <v>402</v>
      </c>
      <c r="B214" s="8" t="s">
        <v>132</v>
      </c>
      <c r="C214" s="8" t="s">
        <v>416</v>
      </c>
      <c r="D214" s="8" t="s">
        <v>418</v>
      </c>
      <c r="E214" s="25">
        <v>82.5</v>
      </c>
      <c r="F214" s="25">
        <v>7.5</v>
      </c>
      <c r="G214" s="25">
        <v>75</v>
      </c>
      <c r="O214" s="25"/>
    </row>
    <row r="215" spans="1:15" ht="12.5" x14ac:dyDescent="0.25">
      <c r="A215" s="8" t="s">
        <v>402</v>
      </c>
      <c r="B215" s="8" t="s">
        <v>132</v>
      </c>
      <c r="C215" s="8" t="s">
        <v>416</v>
      </c>
      <c r="D215" s="8" t="s">
        <v>419</v>
      </c>
      <c r="E215" s="25">
        <v>82.5</v>
      </c>
      <c r="F215" s="25">
        <v>7.5</v>
      </c>
      <c r="G215" s="25">
        <v>75</v>
      </c>
      <c r="O215" s="25"/>
    </row>
    <row r="216" spans="1:15" ht="12.5" x14ac:dyDescent="0.25">
      <c r="A216" s="8" t="s">
        <v>402</v>
      </c>
      <c r="B216" s="8" t="s">
        <v>132</v>
      </c>
      <c r="C216" s="8" t="s">
        <v>416</v>
      </c>
      <c r="D216" s="8" t="s">
        <v>420</v>
      </c>
      <c r="E216" s="25">
        <v>103.95</v>
      </c>
      <c r="F216" s="25">
        <v>9.4499999999999993</v>
      </c>
      <c r="G216" s="25">
        <v>94.5</v>
      </c>
      <c r="O216" s="25"/>
    </row>
    <row r="217" spans="1:15" ht="12.5" x14ac:dyDescent="0.25">
      <c r="A217" s="8" t="s">
        <v>402</v>
      </c>
      <c r="B217" s="8" t="s">
        <v>132</v>
      </c>
      <c r="C217" s="8" t="s">
        <v>416</v>
      </c>
      <c r="D217" s="8" t="s">
        <v>421</v>
      </c>
      <c r="E217" s="25">
        <v>363</v>
      </c>
      <c r="F217" s="25">
        <v>33</v>
      </c>
      <c r="G217" s="25">
        <v>330</v>
      </c>
      <c r="O217" s="25"/>
    </row>
    <row r="218" spans="1:15" ht="12.5" x14ac:dyDescent="0.25">
      <c r="A218" s="8" t="s">
        <v>402</v>
      </c>
      <c r="B218" s="8" t="s">
        <v>174</v>
      </c>
      <c r="C218" s="8" t="s">
        <v>314</v>
      </c>
      <c r="D218" s="8" t="s">
        <v>225</v>
      </c>
      <c r="E218" s="25">
        <v>1589.5</v>
      </c>
      <c r="F218" s="25">
        <v>144.5</v>
      </c>
      <c r="G218" s="25">
        <v>1445</v>
      </c>
      <c r="O218" s="25"/>
    </row>
    <row r="219" spans="1:15" ht="12.5" x14ac:dyDescent="0.25">
      <c r="A219" s="8" t="s">
        <v>402</v>
      </c>
      <c r="B219" s="8" t="s">
        <v>174</v>
      </c>
      <c r="C219" s="8" t="s">
        <v>314</v>
      </c>
      <c r="D219" s="8" t="s">
        <v>226</v>
      </c>
      <c r="E219" s="25">
        <v>49.5</v>
      </c>
      <c r="F219" s="25">
        <v>4.5</v>
      </c>
      <c r="G219" s="25">
        <v>45</v>
      </c>
      <c r="O219" s="25"/>
    </row>
    <row r="220" spans="1:15" ht="12.5" x14ac:dyDescent="0.25">
      <c r="A220" s="8" t="s">
        <v>402</v>
      </c>
      <c r="B220" s="8" t="s">
        <v>132</v>
      </c>
      <c r="C220" s="8" t="s">
        <v>314</v>
      </c>
      <c r="D220" s="8" t="s">
        <v>227</v>
      </c>
      <c r="E220" s="25">
        <v>110</v>
      </c>
      <c r="F220" s="25">
        <v>10</v>
      </c>
      <c r="G220" s="25">
        <v>100</v>
      </c>
      <c r="O220" s="25"/>
    </row>
    <row r="221" spans="1:15" ht="12.5" x14ac:dyDescent="0.25">
      <c r="A221" s="8" t="s">
        <v>402</v>
      </c>
      <c r="B221" s="8" t="s">
        <v>128</v>
      </c>
      <c r="C221" s="8" t="s">
        <v>422</v>
      </c>
      <c r="D221" s="8" t="s">
        <v>423</v>
      </c>
      <c r="E221" s="25">
        <v>165</v>
      </c>
      <c r="F221" s="25">
        <v>15</v>
      </c>
      <c r="G221" s="25">
        <v>150</v>
      </c>
      <c r="O221" s="25"/>
    </row>
    <row r="222" spans="1:15" ht="12.5" x14ac:dyDescent="0.25">
      <c r="A222" s="8" t="s">
        <v>402</v>
      </c>
      <c r="B222" s="8" t="s">
        <v>128</v>
      </c>
      <c r="C222" s="8" t="s">
        <v>422</v>
      </c>
      <c r="D222" s="8" t="s">
        <v>243</v>
      </c>
      <c r="E222" s="25">
        <v>16.5</v>
      </c>
      <c r="F222" s="25">
        <v>1.5</v>
      </c>
      <c r="G222" s="25">
        <v>15</v>
      </c>
      <c r="O222" s="25"/>
    </row>
    <row r="223" spans="1:15" ht="12.5" x14ac:dyDescent="0.25">
      <c r="A223" s="8" t="s">
        <v>402</v>
      </c>
      <c r="B223" s="8" t="s">
        <v>128</v>
      </c>
      <c r="C223" s="8" t="s">
        <v>424</v>
      </c>
      <c r="D223" s="8" t="s">
        <v>425</v>
      </c>
      <c r="E223" s="25">
        <v>330</v>
      </c>
      <c r="F223" s="25">
        <v>30</v>
      </c>
      <c r="G223" s="25">
        <v>300</v>
      </c>
      <c r="O223" s="25"/>
    </row>
    <row r="224" spans="1:15" ht="12.5" x14ac:dyDescent="0.25">
      <c r="A224" s="8" t="s">
        <v>402</v>
      </c>
      <c r="B224" s="8" t="s">
        <v>128</v>
      </c>
      <c r="C224" s="8" t="s">
        <v>426</v>
      </c>
      <c r="D224" s="8" t="s">
        <v>427</v>
      </c>
      <c r="E224" s="25">
        <v>1980</v>
      </c>
      <c r="F224" s="25">
        <v>180</v>
      </c>
      <c r="G224" s="25">
        <v>1800</v>
      </c>
      <c r="O224" s="25"/>
    </row>
    <row r="225" spans="1:15" ht="12.5" x14ac:dyDescent="0.25">
      <c r="A225" s="8" t="s">
        <v>402</v>
      </c>
      <c r="B225" s="8" t="s">
        <v>128</v>
      </c>
      <c r="C225" s="8" t="s">
        <v>426</v>
      </c>
      <c r="D225" s="8" t="s">
        <v>428</v>
      </c>
      <c r="E225" s="25">
        <v>-198</v>
      </c>
      <c r="F225" s="25">
        <v>-18</v>
      </c>
      <c r="G225" s="25">
        <v>-180</v>
      </c>
      <c r="O225" s="25"/>
    </row>
    <row r="226" spans="1:15" ht="12.5" x14ac:dyDescent="0.25">
      <c r="A226" s="8" t="s">
        <v>402</v>
      </c>
      <c r="B226" s="8" t="s">
        <v>132</v>
      </c>
      <c r="C226" s="8" t="s">
        <v>429</v>
      </c>
      <c r="D226" s="8" t="s">
        <v>330</v>
      </c>
      <c r="E226" s="25">
        <v>387.2</v>
      </c>
      <c r="F226" s="25">
        <v>35.200000000000003</v>
      </c>
      <c r="G226" s="25">
        <v>352</v>
      </c>
      <c r="O226" s="25"/>
    </row>
    <row r="227" spans="1:15" ht="12.5" x14ac:dyDescent="0.25">
      <c r="A227" s="8" t="s">
        <v>402</v>
      </c>
      <c r="B227" s="8" t="s">
        <v>132</v>
      </c>
      <c r="C227" s="8" t="s">
        <v>429</v>
      </c>
      <c r="D227" s="8" t="s">
        <v>331</v>
      </c>
      <c r="E227" s="25">
        <v>27.5</v>
      </c>
      <c r="F227" s="25">
        <v>2.5</v>
      </c>
      <c r="G227" s="25">
        <v>25</v>
      </c>
      <c r="O227" s="25"/>
    </row>
    <row r="228" spans="1:15" ht="12.5" x14ac:dyDescent="0.25">
      <c r="A228" s="8" t="s">
        <v>402</v>
      </c>
      <c r="B228" s="8" t="s">
        <v>132</v>
      </c>
      <c r="C228" s="8" t="s">
        <v>429</v>
      </c>
      <c r="D228" s="8" t="s">
        <v>430</v>
      </c>
      <c r="E228" s="25">
        <v>27.5</v>
      </c>
      <c r="F228" s="25">
        <v>2.5</v>
      </c>
      <c r="G228" s="25">
        <v>25</v>
      </c>
      <c r="O228" s="25"/>
    </row>
    <row r="229" spans="1:15" ht="12.5" x14ac:dyDescent="0.25">
      <c r="A229" s="8" t="s">
        <v>402</v>
      </c>
      <c r="B229" s="8" t="s">
        <v>128</v>
      </c>
      <c r="C229" s="8" t="s">
        <v>391</v>
      </c>
      <c r="D229" s="8" t="s">
        <v>431</v>
      </c>
      <c r="E229" s="25">
        <v>15840</v>
      </c>
      <c r="F229" s="25">
        <v>1440</v>
      </c>
      <c r="G229" s="25">
        <v>14400</v>
      </c>
      <c r="O229" s="25"/>
    </row>
    <row r="230" spans="1:15" ht="12.5" x14ac:dyDescent="0.25">
      <c r="A230" s="8" t="s">
        <v>402</v>
      </c>
      <c r="B230" s="8" t="s">
        <v>128</v>
      </c>
      <c r="C230" s="8" t="s">
        <v>391</v>
      </c>
      <c r="D230" s="8" t="s">
        <v>432</v>
      </c>
      <c r="E230" s="25">
        <v>33</v>
      </c>
      <c r="F230" s="25">
        <v>3</v>
      </c>
      <c r="G230" s="25">
        <v>30</v>
      </c>
      <c r="O230" s="25"/>
    </row>
    <row r="231" spans="1:15" ht="12.5" x14ac:dyDescent="0.25">
      <c r="A231" s="8" t="s">
        <v>402</v>
      </c>
      <c r="B231" s="8" t="s">
        <v>128</v>
      </c>
      <c r="C231" s="8" t="s">
        <v>391</v>
      </c>
      <c r="D231" s="8" t="s">
        <v>433</v>
      </c>
      <c r="E231" s="25">
        <v>3300</v>
      </c>
      <c r="F231" s="25">
        <v>300</v>
      </c>
      <c r="G231" s="25">
        <v>3000</v>
      </c>
      <c r="O231" s="25"/>
    </row>
    <row r="232" spans="1:15" ht="12.5" x14ac:dyDescent="0.25">
      <c r="A232" s="8" t="s">
        <v>402</v>
      </c>
      <c r="B232" s="8" t="s">
        <v>128</v>
      </c>
      <c r="C232" s="8" t="s">
        <v>391</v>
      </c>
      <c r="D232" s="8" t="s">
        <v>434</v>
      </c>
      <c r="E232" s="25">
        <v>23908.5</v>
      </c>
      <c r="F232" s="25">
        <v>2173.5</v>
      </c>
      <c r="G232" s="25">
        <v>21735</v>
      </c>
      <c r="O232" s="25"/>
    </row>
    <row r="233" spans="1:15" ht="12.5" x14ac:dyDescent="0.25">
      <c r="A233" s="8" t="s">
        <v>402</v>
      </c>
      <c r="B233" s="8" t="s">
        <v>128</v>
      </c>
      <c r="C233" s="8" t="s">
        <v>391</v>
      </c>
      <c r="D233" s="8" t="s">
        <v>435</v>
      </c>
      <c r="E233" s="25">
        <v>2640</v>
      </c>
      <c r="F233" s="25">
        <v>240</v>
      </c>
      <c r="G233" s="25">
        <v>2400</v>
      </c>
      <c r="O233" s="25"/>
    </row>
    <row r="234" spans="1:15" ht="12.5" x14ac:dyDescent="0.25">
      <c r="A234" s="8" t="s">
        <v>402</v>
      </c>
      <c r="B234" s="8" t="s">
        <v>128</v>
      </c>
      <c r="C234" s="8" t="s">
        <v>391</v>
      </c>
      <c r="D234" s="8" t="s">
        <v>436</v>
      </c>
      <c r="E234" s="25">
        <v>742.5</v>
      </c>
      <c r="F234" s="25">
        <v>67.5</v>
      </c>
      <c r="G234" s="25">
        <v>675</v>
      </c>
      <c r="O234" s="25"/>
    </row>
    <row r="235" spans="1:15" ht="12.5" x14ac:dyDescent="0.25">
      <c r="A235" s="8" t="s">
        <v>402</v>
      </c>
      <c r="B235" s="8" t="s">
        <v>128</v>
      </c>
      <c r="C235" s="8" t="s">
        <v>391</v>
      </c>
      <c r="D235" s="8" t="s">
        <v>437</v>
      </c>
      <c r="E235" s="25">
        <v>1980</v>
      </c>
      <c r="F235" s="25">
        <v>180</v>
      </c>
      <c r="G235" s="25">
        <v>1800</v>
      </c>
      <c r="O235" s="25"/>
    </row>
    <row r="236" spans="1:15" ht="12.5" x14ac:dyDescent="0.25">
      <c r="A236" s="8" t="s">
        <v>402</v>
      </c>
      <c r="B236" s="8" t="s">
        <v>128</v>
      </c>
      <c r="C236" s="8" t="s">
        <v>391</v>
      </c>
      <c r="D236" s="8" t="s">
        <v>438</v>
      </c>
      <c r="E236" s="25">
        <v>742.5</v>
      </c>
      <c r="F236" s="25">
        <v>67.5</v>
      </c>
      <c r="G236" s="25">
        <v>675</v>
      </c>
      <c r="O236" s="25"/>
    </row>
    <row r="237" spans="1:15" ht="12.5" x14ac:dyDescent="0.25">
      <c r="A237" s="8" t="s">
        <v>402</v>
      </c>
      <c r="B237" s="8" t="s">
        <v>128</v>
      </c>
      <c r="C237" s="8" t="s">
        <v>391</v>
      </c>
      <c r="D237" s="8" t="s">
        <v>439</v>
      </c>
      <c r="E237" s="25">
        <v>445.5</v>
      </c>
      <c r="F237" s="25">
        <v>40.5</v>
      </c>
      <c r="G237" s="25">
        <v>405</v>
      </c>
      <c r="O237" s="25"/>
    </row>
    <row r="238" spans="1:15" ht="12.5" x14ac:dyDescent="0.25">
      <c r="A238" s="8" t="s">
        <v>402</v>
      </c>
      <c r="B238" s="8" t="s">
        <v>128</v>
      </c>
      <c r="C238" s="8" t="s">
        <v>391</v>
      </c>
      <c r="D238" s="8" t="s">
        <v>440</v>
      </c>
      <c r="E238" s="25">
        <v>1930.5</v>
      </c>
      <c r="F238" s="25">
        <v>175.5</v>
      </c>
      <c r="G238" s="25">
        <v>1755</v>
      </c>
      <c r="O238" s="25"/>
    </row>
    <row r="239" spans="1:15" ht="12.5" x14ac:dyDescent="0.25">
      <c r="A239" s="8" t="s">
        <v>402</v>
      </c>
      <c r="B239" s="8" t="s">
        <v>128</v>
      </c>
      <c r="C239" s="8" t="s">
        <v>391</v>
      </c>
      <c r="D239" s="8" t="s">
        <v>441</v>
      </c>
      <c r="E239" s="25">
        <v>742.5</v>
      </c>
      <c r="F239" s="25">
        <v>67.5</v>
      </c>
      <c r="G239" s="25">
        <v>675</v>
      </c>
      <c r="O239" s="25"/>
    </row>
    <row r="240" spans="1:15" ht="12.5" x14ac:dyDescent="0.25">
      <c r="A240" s="8" t="s">
        <v>402</v>
      </c>
      <c r="B240" s="8" t="s">
        <v>128</v>
      </c>
      <c r="C240" s="8" t="s">
        <v>442</v>
      </c>
      <c r="D240" s="8" t="s">
        <v>443</v>
      </c>
      <c r="E240" s="25">
        <v>4445.1000000000004</v>
      </c>
      <c r="F240" s="25">
        <v>404.1</v>
      </c>
      <c r="G240" s="25">
        <v>4041</v>
      </c>
      <c r="O240" s="25"/>
    </row>
    <row r="241" spans="1:15" ht="12.5" x14ac:dyDescent="0.25">
      <c r="A241" s="8" t="s">
        <v>402</v>
      </c>
      <c r="B241" s="8" t="s">
        <v>128</v>
      </c>
      <c r="C241" s="8" t="s">
        <v>442</v>
      </c>
      <c r="D241" s="8" t="s">
        <v>444</v>
      </c>
      <c r="E241" s="25">
        <v>82.5</v>
      </c>
      <c r="F241" s="25">
        <v>7.5</v>
      </c>
      <c r="G241" s="25">
        <v>75</v>
      </c>
      <c r="O241" s="25"/>
    </row>
    <row r="242" spans="1:15" ht="12.5" x14ac:dyDescent="0.25">
      <c r="A242" s="8" t="s">
        <v>402</v>
      </c>
      <c r="B242" s="8" t="s">
        <v>128</v>
      </c>
      <c r="C242" s="8" t="s">
        <v>445</v>
      </c>
      <c r="D242" s="8" t="s">
        <v>446</v>
      </c>
      <c r="E242" s="25">
        <v>990</v>
      </c>
      <c r="F242" s="25">
        <v>90</v>
      </c>
      <c r="G242" s="25">
        <v>900</v>
      </c>
      <c r="O242" s="25"/>
    </row>
    <row r="243" spans="1:15" ht="12.5" x14ac:dyDescent="0.25">
      <c r="A243" s="8" t="s">
        <v>402</v>
      </c>
      <c r="B243" s="8" t="s">
        <v>128</v>
      </c>
      <c r="C243" s="8" t="s">
        <v>445</v>
      </c>
      <c r="D243" s="8" t="s">
        <v>447</v>
      </c>
      <c r="E243" s="25">
        <v>82.5</v>
      </c>
      <c r="F243" s="25">
        <v>7.5</v>
      </c>
      <c r="G243" s="25">
        <v>75</v>
      </c>
      <c r="O243" s="25"/>
    </row>
    <row r="244" spans="1:15" ht="12.5" x14ac:dyDescent="0.25">
      <c r="A244" s="8" t="s">
        <v>402</v>
      </c>
      <c r="B244" s="8" t="s">
        <v>128</v>
      </c>
      <c r="C244" s="8" t="s">
        <v>391</v>
      </c>
      <c r="D244" s="8" t="s">
        <v>448</v>
      </c>
      <c r="E244" s="25">
        <v>990</v>
      </c>
      <c r="F244" s="25">
        <v>90</v>
      </c>
      <c r="G244" s="25">
        <v>900</v>
      </c>
      <c r="O244" s="25"/>
    </row>
    <row r="245" spans="1:15" ht="12.5" x14ac:dyDescent="0.25">
      <c r="A245" s="8" t="s">
        <v>402</v>
      </c>
      <c r="B245" s="8" t="s">
        <v>128</v>
      </c>
      <c r="C245" s="8" t="s">
        <v>391</v>
      </c>
      <c r="D245" s="8" t="s">
        <v>449</v>
      </c>
      <c r="E245" s="25">
        <v>82.5</v>
      </c>
      <c r="F245" s="25">
        <v>7.5</v>
      </c>
      <c r="G245" s="25">
        <v>75</v>
      </c>
      <c r="O245" s="25"/>
    </row>
    <row r="246" spans="1:15" ht="12.5" x14ac:dyDescent="0.25">
      <c r="A246" s="8" t="s">
        <v>402</v>
      </c>
      <c r="B246" s="8" t="s">
        <v>132</v>
      </c>
      <c r="C246" s="8" t="s">
        <v>391</v>
      </c>
      <c r="D246" s="8" t="s">
        <v>450</v>
      </c>
      <c r="E246" s="25">
        <v>99</v>
      </c>
      <c r="F246" s="25">
        <v>9</v>
      </c>
      <c r="G246" s="25">
        <v>90</v>
      </c>
      <c r="O246" s="25"/>
    </row>
    <row r="247" spans="1:15" ht="12.5" x14ac:dyDescent="0.25">
      <c r="A247" s="8" t="s">
        <v>402</v>
      </c>
      <c r="B247" s="8" t="s">
        <v>128</v>
      </c>
      <c r="C247" s="8" t="s">
        <v>422</v>
      </c>
      <c r="D247" s="8" t="s">
        <v>451</v>
      </c>
      <c r="E247" s="25">
        <v>3135</v>
      </c>
      <c r="F247" s="25">
        <v>285</v>
      </c>
      <c r="G247" s="25">
        <v>2850</v>
      </c>
      <c r="O247" s="25"/>
    </row>
    <row r="248" spans="1:15" ht="12.5" x14ac:dyDescent="0.25">
      <c r="A248" s="8" t="s">
        <v>402</v>
      </c>
      <c r="B248" s="8" t="s">
        <v>128</v>
      </c>
      <c r="C248" s="8" t="s">
        <v>422</v>
      </c>
      <c r="D248" s="8" t="s">
        <v>143</v>
      </c>
      <c r="E248" s="25">
        <v>935</v>
      </c>
      <c r="F248" s="25">
        <v>85</v>
      </c>
      <c r="G248" s="25">
        <v>850</v>
      </c>
      <c r="O248" s="25"/>
    </row>
    <row r="249" spans="1:15" ht="12.5" x14ac:dyDescent="0.25">
      <c r="A249" s="8" t="s">
        <v>402</v>
      </c>
      <c r="B249" s="8" t="s">
        <v>128</v>
      </c>
      <c r="C249" s="8" t="s">
        <v>422</v>
      </c>
      <c r="D249" s="8" t="s">
        <v>145</v>
      </c>
      <c r="E249" s="25">
        <v>93.5</v>
      </c>
      <c r="F249" s="25">
        <v>8.5</v>
      </c>
      <c r="G249" s="25">
        <v>85</v>
      </c>
      <c r="O249" s="25"/>
    </row>
    <row r="250" spans="1:15" ht="12.5" x14ac:dyDescent="0.25">
      <c r="A250" s="8" t="s">
        <v>402</v>
      </c>
      <c r="B250" s="8" t="s">
        <v>128</v>
      </c>
      <c r="C250" s="8" t="s">
        <v>391</v>
      </c>
      <c r="D250" s="8" t="s">
        <v>452</v>
      </c>
      <c r="E250" s="25">
        <v>660</v>
      </c>
      <c r="F250" s="25">
        <v>60</v>
      </c>
      <c r="G250" s="25">
        <v>600</v>
      </c>
      <c r="O250" s="25"/>
    </row>
    <row r="251" spans="1:15" ht="12.5" x14ac:dyDescent="0.25">
      <c r="A251" s="8" t="s">
        <v>402</v>
      </c>
      <c r="B251" s="8" t="s">
        <v>128</v>
      </c>
      <c r="C251" s="8" t="s">
        <v>391</v>
      </c>
      <c r="D251" s="8" t="s">
        <v>453</v>
      </c>
      <c r="E251" s="25">
        <v>82.5</v>
      </c>
      <c r="F251" s="25">
        <v>7.5</v>
      </c>
      <c r="G251" s="25">
        <v>75</v>
      </c>
      <c r="O251" s="25"/>
    </row>
    <row r="252" spans="1:15" ht="12.5" x14ac:dyDescent="0.25">
      <c r="A252" s="8" t="s">
        <v>402</v>
      </c>
      <c r="B252" s="8" t="s">
        <v>128</v>
      </c>
      <c r="C252" s="8" t="s">
        <v>391</v>
      </c>
      <c r="D252" s="8" t="s">
        <v>454</v>
      </c>
      <c r="E252" s="25">
        <v>148.5</v>
      </c>
      <c r="F252" s="25">
        <v>13.5</v>
      </c>
      <c r="G252" s="25">
        <v>135</v>
      </c>
      <c r="O252" s="25"/>
    </row>
    <row r="253" spans="1:15" ht="12.5" x14ac:dyDescent="0.25">
      <c r="A253" s="8" t="s">
        <v>402</v>
      </c>
      <c r="B253" s="8" t="s">
        <v>128</v>
      </c>
      <c r="C253" s="8" t="s">
        <v>391</v>
      </c>
      <c r="D253" s="8" t="s">
        <v>455</v>
      </c>
      <c r="E253" s="25">
        <v>148.5</v>
      </c>
      <c r="F253" s="25">
        <v>13.5</v>
      </c>
      <c r="G253" s="25">
        <v>135</v>
      </c>
      <c r="O253" s="25"/>
    </row>
    <row r="254" spans="1:15" ht="12.5" x14ac:dyDescent="0.25">
      <c r="A254" s="8" t="s">
        <v>402</v>
      </c>
      <c r="B254" s="8" t="s">
        <v>132</v>
      </c>
      <c r="C254" s="8" t="s">
        <v>456</v>
      </c>
      <c r="D254" s="8" t="s">
        <v>457</v>
      </c>
      <c r="E254" s="25">
        <v>594</v>
      </c>
      <c r="F254" s="25">
        <v>54</v>
      </c>
      <c r="G254" s="25">
        <v>540</v>
      </c>
      <c r="O254" s="25"/>
    </row>
    <row r="255" spans="1:15" ht="12.5" x14ac:dyDescent="0.25">
      <c r="A255" s="8" t="s">
        <v>402</v>
      </c>
      <c r="B255" s="8" t="s">
        <v>132</v>
      </c>
      <c r="C255" s="8" t="s">
        <v>456</v>
      </c>
      <c r="D255" s="8" t="s">
        <v>458</v>
      </c>
      <c r="E255" s="25">
        <v>82.5</v>
      </c>
      <c r="F255" s="25">
        <v>7.5</v>
      </c>
      <c r="G255" s="25">
        <v>75</v>
      </c>
      <c r="O255" s="25"/>
    </row>
    <row r="256" spans="1:15" ht="12.5" x14ac:dyDescent="0.25">
      <c r="A256" s="8" t="s">
        <v>402</v>
      </c>
      <c r="B256" s="8" t="s">
        <v>128</v>
      </c>
      <c r="C256" s="8" t="s">
        <v>459</v>
      </c>
      <c r="D256" s="8" t="s">
        <v>460</v>
      </c>
      <c r="E256" s="25">
        <v>577.5</v>
      </c>
      <c r="F256" s="25">
        <v>52.5</v>
      </c>
      <c r="G256" s="25">
        <v>525</v>
      </c>
      <c r="O256" s="25"/>
    </row>
    <row r="257" spans="1:15" ht="12.5" x14ac:dyDescent="0.25">
      <c r="A257" s="8" t="s">
        <v>402</v>
      </c>
      <c r="B257" s="8" t="s">
        <v>132</v>
      </c>
      <c r="C257" s="8" t="s">
        <v>461</v>
      </c>
      <c r="D257" s="8" t="s">
        <v>462</v>
      </c>
      <c r="E257" s="25">
        <v>247.5</v>
      </c>
      <c r="F257" s="25">
        <v>22.5</v>
      </c>
      <c r="G257" s="25">
        <v>225</v>
      </c>
      <c r="O257" s="25"/>
    </row>
    <row r="258" spans="1:15" ht="12.5" x14ac:dyDescent="0.25">
      <c r="A258" s="8" t="s">
        <v>402</v>
      </c>
      <c r="B258" s="8" t="s">
        <v>137</v>
      </c>
      <c r="C258" s="8" t="s">
        <v>461</v>
      </c>
      <c r="D258" s="8" t="s">
        <v>258</v>
      </c>
      <c r="E258" s="25">
        <v>16.829999999999998</v>
      </c>
      <c r="F258" s="25">
        <v>1.53</v>
      </c>
      <c r="G258" s="25">
        <v>15.3</v>
      </c>
      <c r="O258" s="25"/>
    </row>
    <row r="259" spans="1:15" ht="12.5" x14ac:dyDescent="0.25">
      <c r="A259" s="8" t="s">
        <v>402</v>
      </c>
      <c r="B259" s="8" t="s">
        <v>128</v>
      </c>
      <c r="C259" s="8" t="s">
        <v>463</v>
      </c>
      <c r="D259" s="8" t="s">
        <v>464</v>
      </c>
      <c r="E259" s="25">
        <v>610.5</v>
      </c>
      <c r="F259" s="25">
        <v>55.5</v>
      </c>
      <c r="G259" s="25">
        <v>555</v>
      </c>
      <c r="O259" s="25"/>
    </row>
    <row r="260" spans="1:15" ht="12.5" x14ac:dyDescent="0.25">
      <c r="A260" s="8" t="s">
        <v>402</v>
      </c>
      <c r="B260" s="8" t="s">
        <v>128</v>
      </c>
      <c r="C260" s="8" t="s">
        <v>465</v>
      </c>
      <c r="D260" s="8" t="s">
        <v>466</v>
      </c>
      <c r="E260" s="25">
        <v>924</v>
      </c>
      <c r="F260" s="25">
        <v>84</v>
      </c>
      <c r="G260" s="25">
        <v>840</v>
      </c>
      <c r="O260" s="25"/>
    </row>
    <row r="261" spans="1:15" ht="12.5" x14ac:dyDescent="0.25">
      <c r="A261" s="8" t="s">
        <v>402</v>
      </c>
      <c r="B261" s="8" t="s">
        <v>128</v>
      </c>
      <c r="C261" s="8" t="s">
        <v>465</v>
      </c>
      <c r="D261" s="8" t="s">
        <v>467</v>
      </c>
      <c r="E261" s="25">
        <v>148.5</v>
      </c>
      <c r="F261" s="25">
        <v>13.5</v>
      </c>
      <c r="G261" s="25">
        <v>135</v>
      </c>
      <c r="O261" s="25"/>
    </row>
    <row r="262" spans="1:15" ht="12.5" x14ac:dyDescent="0.25">
      <c r="A262" s="8" t="s">
        <v>402</v>
      </c>
      <c r="B262" s="8" t="s">
        <v>128</v>
      </c>
      <c r="C262" s="8" t="s">
        <v>465</v>
      </c>
      <c r="D262" s="8" t="s">
        <v>468</v>
      </c>
      <c r="E262" s="25">
        <v>148.5</v>
      </c>
      <c r="F262" s="25">
        <v>13.5</v>
      </c>
      <c r="G262" s="25">
        <v>135</v>
      </c>
      <c r="O262" s="25"/>
    </row>
    <row r="263" spans="1:15" ht="12.5" x14ac:dyDescent="0.25">
      <c r="A263" s="8" t="s">
        <v>402</v>
      </c>
      <c r="B263" s="8" t="s">
        <v>174</v>
      </c>
      <c r="C263" s="8" t="s">
        <v>161</v>
      </c>
      <c r="D263" s="8" t="s">
        <v>469</v>
      </c>
      <c r="E263" s="25">
        <v>477.4</v>
      </c>
      <c r="F263" s="25">
        <v>43.4</v>
      </c>
      <c r="G263" s="25">
        <v>434</v>
      </c>
      <c r="O263" s="25"/>
    </row>
    <row r="264" spans="1:15" ht="12.5" x14ac:dyDescent="0.25">
      <c r="A264" s="8" t="s">
        <v>402</v>
      </c>
      <c r="B264" s="8" t="s">
        <v>174</v>
      </c>
      <c r="C264" s="8" t="s">
        <v>161</v>
      </c>
      <c r="D264" s="8" t="s">
        <v>306</v>
      </c>
      <c r="E264" s="25">
        <v>49.5</v>
      </c>
      <c r="F264" s="25">
        <v>4.5</v>
      </c>
      <c r="G264" s="25">
        <v>45</v>
      </c>
      <c r="O264" s="25"/>
    </row>
    <row r="265" spans="1:15" ht="12.5" x14ac:dyDescent="0.25">
      <c r="A265" s="8" t="s">
        <v>402</v>
      </c>
      <c r="B265" s="8" t="s">
        <v>128</v>
      </c>
      <c r="C265" s="8" t="s">
        <v>470</v>
      </c>
      <c r="D265" s="8" t="s">
        <v>471</v>
      </c>
      <c r="E265" s="25">
        <v>253</v>
      </c>
      <c r="F265" s="25">
        <v>23</v>
      </c>
      <c r="G265" s="25">
        <v>230</v>
      </c>
      <c r="O265" s="25"/>
    </row>
    <row r="266" spans="1:15" ht="12.5" x14ac:dyDescent="0.25">
      <c r="A266" s="8" t="s">
        <v>402</v>
      </c>
      <c r="B266" s="8" t="s">
        <v>174</v>
      </c>
      <c r="C266" s="8" t="s">
        <v>472</v>
      </c>
      <c r="D266" s="8" t="s">
        <v>324</v>
      </c>
      <c r="E266" s="25">
        <v>1654.4</v>
      </c>
      <c r="F266" s="25">
        <v>150.4</v>
      </c>
      <c r="G266" s="25">
        <v>1504</v>
      </c>
      <c r="O266" s="25"/>
    </row>
    <row r="267" spans="1:15" ht="12.5" x14ac:dyDescent="0.25">
      <c r="A267" s="8" t="s">
        <v>402</v>
      </c>
      <c r="B267" s="8" t="s">
        <v>174</v>
      </c>
      <c r="C267" s="8" t="s">
        <v>472</v>
      </c>
      <c r="D267" s="8" t="s">
        <v>325</v>
      </c>
      <c r="E267" s="25">
        <v>220</v>
      </c>
      <c r="F267" s="25">
        <v>20</v>
      </c>
      <c r="G267" s="25">
        <v>200</v>
      </c>
      <c r="O267" s="25"/>
    </row>
    <row r="268" spans="1:15" ht="12.5" x14ac:dyDescent="0.25">
      <c r="A268" s="8" t="s">
        <v>402</v>
      </c>
      <c r="B268" s="8" t="s">
        <v>137</v>
      </c>
      <c r="C268" s="8" t="s">
        <v>472</v>
      </c>
      <c r="D268" s="8" t="s">
        <v>326</v>
      </c>
      <c r="E268" s="25">
        <v>46.86</v>
      </c>
      <c r="F268" s="25">
        <v>4.26</v>
      </c>
      <c r="G268" s="25">
        <v>42.6</v>
      </c>
      <c r="O268" s="25"/>
    </row>
    <row r="269" spans="1:15" ht="12.5" x14ac:dyDescent="0.25">
      <c r="A269" s="8" t="s">
        <v>402</v>
      </c>
      <c r="B269" s="8" t="s">
        <v>128</v>
      </c>
      <c r="C269" s="8" t="s">
        <v>473</v>
      </c>
      <c r="D269" s="8" t="s">
        <v>474</v>
      </c>
      <c r="E269" s="25">
        <v>6916.8</v>
      </c>
      <c r="F269" s="25">
        <v>628.79999999999995</v>
      </c>
      <c r="G269" s="25">
        <v>6288</v>
      </c>
      <c r="O269" s="25"/>
    </row>
    <row r="270" spans="1:15" ht="12.5" x14ac:dyDescent="0.25">
      <c r="A270" s="8" t="s">
        <v>402</v>
      </c>
      <c r="B270" s="8" t="s">
        <v>128</v>
      </c>
      <c r="C270" s="8" t="s">
        <v>473</v>
      </c>
      <c r="D270" s="8" t="s">
        <v>475</v>
      </c>
      <c r="E270" s="25">
        <v>594</v>
      </c>
      <c r="F270" s="25">
        <v>54</v>
      </c>
      <c r="G270" s="25">
        <v>540</v>
      </c>
      <c r="O270" s="25"/>
    </row>
    <row r="271" spans="1:15" ht="12.5" x14ac:dyDescent="0.25">
      <c r="A271" s="8" t="s">
        <v>402</v>
      </c>
      <c r="B271" s="8" t="s">
        <v>128</v>
      </c>
      <c r="C271" s="8" t="s">
        <v>473</v>
      </c>
      <c r="D271" s="8" t="s">
        <v>476</v>
      </c>
      <c r="E271" s="25">
        <v>-1782</v>
      </c>
      <c r="F271" s="25">
        <v>-162</v>
      </c>
      <c r="G271" s="25">
        <v>-1620</v>
      </c>
      <c r="O271" s="25"/>
    </row>
    <row r="272" spans="1:15" ht="12.5" x14ac:dyDescent="0.25">
      <c r="A272" s="8" t="s">
        <v>402</v>
      </c>
      <c r="B272" s="8" t="s">
        <v>128</v>
      </c>
      <c r="C272" s="8" t="s">
        <v>391</v>
      </c>
      <c r="D272" s="8" t="s">
        <v>477</v>
      </c>
      <c r="E272" s="25">
        <v>2537.6999999999998</v>
      </c>
      <c r="F272" s="25">
        <v>230.7</v>
      </c>
      <c r="G272" s="25">
        <v>2307</v>
      </c>
      <c r="O272" s="25"/>
    </row>
    <row r="273" spans="1:15" ht="12.5" x14ac:dyDescent="0.25">
      <c r="A273" s="8" t="s">
        <v>402</v>
      </c>
      <c r="B273" s="8" t="s">
        <v>128</v>
      </c>
      <c r="C273" s="8" t="s">
        <v>391</v>
      </c>
      <c r="D273" s="8" t="s">
        <v>478</v>
      </c>
      <c r="E273" s="25">
        <v>148.5</v>
      </c>
      <c r="F273" s="25">
        <v>13.5</v>
      </c>
      <c r="G273" s="25">
        <v>135</v>
      </c>
      <c r="O273" s="25"/>
    </row>
    <row r="274" spans="1:15" ht="12.5" x14ac:dyDescent="0.25">
      <c r="A274" s="8" t="s">
        <v>402</v>
      </c>
      <c r="B274" s="8" t="s">
        <v>128</v>
      </c>
      <c r="C274" s="8" t="s">
        <v>479</v>
      </c>
      <c r="D274" s="8" t="s">
        <v>480</v>
      </c>
      <c r="E274" s="25">
        <v>2620.1999999999998</v>
      </c>
      <c r="F274" s="25">
        <v>238.2</v>
      </c>
      <c r="G274" s="25">
        <v>2382</v>
      </c>
      <c r="O274" s="25"/>
    </row>
    <row r="275" spans="1:15" ht="12.5" x14ac:dyDescent="0.25">
      <c r="A275" s="8" t="s">
        <v>402</v>
      </c>
      <c r="B275" s="8" t="s">
        <v>128</v>
      </c>
      <c r="C275" s="8" t="s">
        <v>479</v>
      </c>
      <c r="D275" s="8" t="s">
        <v>481</v>
      </c>
      <c r="E275" s="25">
        <v>-148.5</v>
      </c>
      <c r="F275" s="25">
        <v>-13.5</v>
      </c>
      <c r="G275" s="25">
        <v>-135</v>
      </c>
      <c r="O275" s="25"/>
    </row>
    <row r="276" spans="1:15" ht="12.5" x14ac:dyDescent="0.25">
      <c r="A276" s="8" t="s">
        <v>402</v>
      </c>
      <c r="B276" s="8" t="s">
        <v>174</v>
      </c>
      <c r="C276" s="8" t="s">
        <v>482</v>
      </c>
      <c r="D276" s="8" t="s">
        <v>483</v>
      </c>
      <c r="E276" s="25">
        <v>994.4</v>
      </c>
      <c r="F276" s="25">
        <v>90.4</v>
      </c>
      <c r="G276" s="25">
        <v>904</v>
      </c>
      <c r="O276" s="25"/>
    </row>
    <row r="277" spans="1:15" ht="12.5" x14ac:dyDescent="0.25">
      <c r="A277" s="8" t="s">
        <v>402</v>
      </c>
      <c r="B277" s="8" t="s">
        <v>174</v>
      </c>
      <c r="C277" s="8" t="s">
        <v>484</v>
      </c>
      <c r="D277" s="8" t="s">
        <v>485</v>
      </c>
      <c r="E277" s="25">
        <v>220</v>
      </c>
      <c r="F277" s="25">
        <v>20</v>
      </c>
      <c r="G277" s="25">
        <v>200</v>
      </c>
      <c r="O277" s="25"/>
    </row>
    <row r="278" spans="1:15" ht="12.5" x14ac:dyDescent="0.25">
      <c r="A278" s="8" t="s">
        <v>402</v>
      </c>
      <c r="B278" s="8" t="s">
        <v>128</v>
      </c>
      <c r="C278" s="8" t="s">
        <v>486</v>
      </c>
      <c r="D278" s="8" t="s">
        <v>487</v>
      </c>
      <c r="E278" s="25">
        <v>2310</v>
      </c>
      <c r="F278" s="25">
        <v>210</v>
      </c>
      <c r="G278" s="25">
        <v>2100</v>
      </c>
      <c r="O278" s="25"/>
    </row>
    <row r="279" spans="1:15" ht="12.5" x14ac:dyDescent="0.25">
      <c r="A279" s="8" t="s">
        <v>402</v>
      </c>
      <c r="B279" s="8" t="s">
        <v>128</v>
      </c>
      <c r="C279" s="8" t="s">
        <v>486</v>
      </c>
      <c r="D279" s="8" t="s">
        <v>488</v>
      </c>
      <c r="E279" s="25">
        <v>297</v>
      </c>
      <c r="F279" s="25">
        <v>27</v>
      </c>
      <c r="G279" s="25">
        <v>270</v>
      </c>
      <c r="O279" s="25"/>
    </row>
    <row r="280" spans="1:15" ht="12.5" x14ac:dyDescent="0.25">
      <c r="A280" s="8" t="s">
        <v>402</v>
      </c>
      <c r="B280" s="8" t="s">
        <v>174</v>
      </c>
      <c r="C280" s="8" t="s">
        <v>391</v>
      </c>
      <c r="D280" s="8" t="s">
        <v>489</v>
      </c>
      <c r="E280" s="25">
        <v>330</v>
      </c>
      <c r="F280" s="25">
        <v>30</v>
      </c>
      <c r="G280" s="25">
        <v>300</v>
      </c>
      <c r="O280" s="25"/>
    </row>
    <row r="281" spans="1:15" ht="12.5" x14ac:dyDescent="0.25">
      <c r="A281" s="8" t="s">
        <v>402</v>
      </c>
      <c r="B281" s="8" t="s">
        <v>128</v>
      </c>
      <c r="C281" s="8" t="s">
        <v>422</v>
      </c>
      <c r="D281" s="8" t="s">
        <v>490</v>
      </c>
      <c r="E281" s="25">
        <v>734.8</v>
      </c>
      <c r="F281" s="25">
        <v>66.8</v>
      </c>
      <c r="G281" s="25">
        <v>668</v>
      </c>
      <c r="O281" s="25"/>
    </row>
    <row r="282" spans="1:15" ht="12.5" x14ac:dyDescent="0.25">
      <c r="A282" s="8" t="s">
        <v>402</v>
      </c>
      <c r="B282" s="8" t="s">
        <v>128</v>
      </c>
      <c r="C282" s="8" t="s">
        <v>422</v>
      </c>
      <c r="D282" s="8" t="s">
        <v>252</v>
      </c>
      <c r="E282" s="25">
        <v>396</v>
      </c>
      <c r="F282" s="25">
        <v>36</v>
      </c>
      <c r="G282" s="25">
        <v>360</v>
      </c>
      <c r="O282" s="25"/>
    </row>
    <row r="283" spans="1:15" ht="12.5" x14ac:dyDescent="0.25">
      <c r="A283" s="8" t="s">
        <v>402</v>
      </c>
      <c r="B283" s="8" t="s">
        <v>128</v>
      </c>
      <c r="C283" s="8" t="s">
        <v>422</v>
      </c>
      <c r="D283" s="8" t="s">
        <v>253</v>
      </c>
      <c r="E283" s="25">
        <v>247.5</v>
      </c>
      <c r="F283" s="25">
        <v>22.5</v>
      </c>
      <c r="G283" s="25">
        <v>225</v>
      </c>
      <c r="O283" s="25"/>
    </row>
    <row r="284" spans="1:15" ht="12.5" x14ac:dyDescent="0.25">
      <c r="A284" s="8" t="s">
        <v>402</v>
      </c>
      <c r="B284" s="8" t="s">
        <v>128</v>
      </c>
      <c r="C284" s="8" t="s">
        <v>422</v>
      </c>
      <c r="D284" s="8" t="s">
        <v>254</v>
      </c>
      <c r="E284" s="25">
        <v>220</v>
      </c>
      <c r="F284" s="25">
        <v>20</v>
      </c>
      <c r="G284" s="25">
        <v>200</v>
      </c>
      <c r="O284" s="25"/>
    </row>
    <row r="285" spans="1:15" ht="12.5" x14ac:dyDescent="0.25">
      <c r="A285" s="8" t="s">
        <v>402</v>
      </c>
      <c r="B285" s="8" t="s">
        <v>128</v>
      </c>
      <c r="C285" s="8" t="s">
        <v>422</v>
      </c>
      <c r="D285" s="8" t="s">
        <v>255</v>
      </c>
      <c r="E285" s="25">
        <v>99</v>
      </c>
      <c r="F285" s="25">
        <v>9</v>
      </c>
      <c r="G285" s="25">
        <v>90</v>
      </c>
      <c r="O285" s="25"/>
    </row>
    <row r="286" spans="1:15" ht="12.5" x14ac:dyDescent="0.25">
      <c r="A286" s="8" t="s">
        <v>402</v>
      </c>
      <c r="B286" s="8" t="s">
        <v>132</v>
      </c>
      <c r="C286" s="8" t="s">
        <v>491</v>
      </c>
      <c r="D286" s="8" t="s">
        <v>134</v>
      </c>
      <c r="E286" s="25">
        <v>49.5</v>
      </c>
      <c r="F286" s="25">
        <v>4.5</v>
      </c>
      <c r="G286" s="25">
        <v>45</v>
      </c>
      <c r="O286" s="25"/>
    </row>
    <row r="287" spans="1:15" ht="12.5" x14ac:dyDescent="0.25">
      <c r="A287" s="8" t="s">
        <v>402</v>
      </c>
      <c r="B287" s="8" t="s">
        <v>132</v>
      </c>
      <c r="C287" s="8" t="s">
        <v>491</v>
      </c>
      <c r="D287" s="8" t="s">
        <v>136</v>
      </c>
      <c r="E287" s="25">
        <v>27.5</v>
      </c>
      <c r="F287" s="25">
        <v>2.5</v>
      </c>
      <c r="G287" s="25">
        <v>25</v>
      </c>
      <c r="O287" s="25"/>
    </row>
    <row r="288" spans="1:15" ht="12.5" x14ac:dyDescent="0.25">
      <c r="A288" s="8" t="s">
        <v>402</v>
      </c>
      <c r="B288" s="8" t="s">
        <v>137</v>
      </c>
      <c r="C288" s="8" t="s">
        <v>491</v>
      </c>
      <c r="D288" s="8" t="s">
        <v>138</v>
      </c>
      <c r="E288" s="25">
        <v>1.93</v>
      </c>
      <c r="F288" s="25">
        <v>0.18</v>
      </c>
      <c r="G288" s="25">
        <v>1.75</v>
      </c>
      <c r="O288" s="25"/>
    </row>
    <row r="289" spans="1:15" ht="12.5" x14ac:dyDescent="0.25">
      <c r="A289" s="8" t="s">
        <v>402</v>
      </c>
      <c r="B289" s="8" t="s">
        <v>128</v>
      </c>
      <c r="C289" s="8" t="s">
        <v>391</v>
      </c>
      <c r="D289" s="8" t="s">
        <v>492</v>
      </c>
      <c r="E289" s="25">
        <v>330</v>
      </c>
      <c r="F289" s="25">
        <v>30</v>
      </c>
      <c r="G289" s="25">
        <v>300</v>
      </c>
      <c r="O289" s="25"/>
    </row>
    <row r="290" spans="1:15" ht="12.5" x14ac:dyDescent="0.25">
      <c r="A290" s="8" t="s">
        <v>402</v>
      </c>
      <c r="B290" s="8" t="s">
        <v>128</v>
      </c>
      <c r="C290" s="8" t="s">
        <v>493</v>
      </c>
      <c r="D290" s="8" t="s">
        <v>494</v>
      </c>
      <c r="E290" s="25">
        <v>330</v>
      </c>
      <c r="F290" s="25">
        <v>30</v>
      </c>
      <c r="G290" s="25">
        <v>300</v>
      </c>
      <c r="O290" s="25"/>
    </row>
    <row r="291" spans="1:15" ht="12.5" x14ac:dyDescent="0.25">
      <c r="A291" s="8" t="s">
        <v>402</v>
      </c>
      <c r="B291" s="8" t="s">
        <v>174</v>
      </c>
      <c r="C291" s="8" t="s">
        <v>495</v>
      </c>
      <c r="D291" s="8" t="s">
        <v>496</v>
      </c>
      <c r="E291" s="25">
        <v>825</v>
      </c>
      <c r="F291" s="25">
        <v>75</v>
      </c>
      <c r="G291" s="25">
        <v>750</v>
      </c>
      <c r="O291" s="25"/>
    </row>
    <row r="292" spans="1:15" ht="12.5" x14ac:dyDescent="0.25">
      <c r="A292" s="8" t="s">
        <v>402</v>
      </c>
      <c r="B292" s="8" t="s">
        <v>174</v>
      </c>
      <c r="C292" s="8" t="s">
        <v>495</v>
      </c>
      <c r="D292" s="8" t="s">
        <v>261</v>
      </c>
      <c r="E292" s="25">
        <v>99</v>
      </c>
      <c r="F292" s="25">
        <v>9</v>
      </c>
      <c r="G292" s="25">
        <v>90</v>
      </c>
      <c r="O292" s="25"/>
    </row>
    <row r="293" spans="1:15" ht="12.5" x14ac:dyDescent="0.25">
      <c r="A293" s="8" t="s">
        <v>402</v>
      </c>
      <c r="B293" s="8" t="s">
        <v>128</v>
      </c>
      <c r="C293" s="8" t="s">
        <v>497</v>
      </c>
      <c r="D293" s="8" t="s">
        <v>498</v>
      </c>
      <c r="E293" s="25">
        <v>247.5</v>
      </c>
      <c r="F293" s="25">
        <v>22.5</v>
      </c>
      <c r="G293" s="25">
        <v>225</v>
      </c>
      <c r="O293" s="25"/>
    </row>
    <row r="294" spans="1:15" ht="12.5" x14ac:dyDescent="0.25">
      <c r="A294" s="8" t="s">
        <v>402</v>
      </c>
      <c r="B294" s="8" t="s">
        <v>132</v>
      </c>
      <c r="C294" s="8" t="s">
        <v>499</v>
      </c>
      <c r="D294" s="8" t="s">
        <v>181</v>
      </c>
      <c r="E294" s="25">
        <v>148.5</v>
      </c>
      <c r="F294" s="25">
        <v>13.5</v>
      </c>
      <c r="G294" s="25">
        <v>135</v>
      </c>
      <c r="O294" s="25"/>
    </row>
    <row r="295" spans="1:15" ht="12.5" x14ac:dyDescent="0.25">
      <c r="A295" s="8" t="s">
        <v>402</v>
      </c>
      <c r="B295" s="8" t="s">
        <v>137</v>
      </c>
      <c r="C295" s="8" t="s">
        <v>499</v>
      </c>
      <c r="D295" s="8" t="s">
        <v>182</v>
      </c>
      <c r="E295" s="25">
        <v>4.95</v>
      </c>
      <c r="F295" s="25">
        <v>0.45</v>
      </c>
      <c r="G295" s="25">
        <v>4.5</v>
      </c>
      <c r="O295" s="25"/>
    </row>
    <row r="296" spans="1:15" ht="12.5" x14ac:dyDescent="0.25">
      <c r="A296" s="8" t="s">
        <v>402</v>
      </c>
      <c r="B296" s="8" t="s">
        <v>128</v>
      </c>
      <c r="C296" s="8" t="s">
        <v>391</v>
      </c>
      <c r="D296" s="8" t="s">
        <v>500</v>
      </c>
      <c r="E296" s="25">
        <v>330</v>
      </c>
      <c r="F296" s="25">
        <v>30</v>
      </c>
      <c r="G296" s="25">
        <v>300</v>
      </c>
      <c r="O296" s="25"/>
    </row>
    <row r="297" spans="1:15" ht="12.5" x14ac:dyDescent="0.25">
      <c r="A297" s="8" t="s">
        <v>402</v>
      </c>
      <c r="B297" s="8" t="s">
        <v>132</v>
      </c>
      <c r="C297" s="8" t="s">
        <v>501</v>
      </c>
      <c r="D297" s="8" t="s">
        <v>263</v>
      </c>
      <c r="E297" s="25">
        <v>173.25</v>
      </c>
      <c r="F297" s="25">
        <v>15.75</v>
      </c>
      <c r="G297" s="25">
        <v>157.5</v>
      </c>
      <c r="O297" s="25"/>
    </row>
    <row r="298" spans="1:15" ht="12.5" x14ac:dyDescent="0.25">
      <c r="A298" s="8" t="s">
        <v>402</v>
      </c>
      <c r="B298" s="8" t="s">
        <v>132</v>
      </c>
      <c r="C298" s="8" t="s">
        <v>501</v>
      </c>
      <c r="D298" s="8" t="s">
        <v>264</v>
      </c>
      <c r="E298" s="25">
        <v>27.5</v>
      </c>
      <c r="F298" s="25">
        <v>2.5</v>
      </c>
      <c r="G298" s="25">
        <v>25</v>
      </c>
      <c r="O298" s="25"/>
    </row>
    <row r="299" spans="1:15" ht="12.5" x14ac:dyDescent="0.25">
      <c r="A299" s="8" t="s">
        <v>402</v>
      </c>
      <c r="B299" s="8" t="s">
        <v>137</v>
      </c>
      <c r="C299" s="8" t="s">
        <v>501</v>
      </c>
      <c r="D299" s="8" t="s">
        <v>182</v>
      </c>
      <c r="E299" s="25">
        <v>5.0199999999999996</v>
      </c>
      <c r="F299" s="25">
        <v>0.46</v>
      </c>
      <c r="G299" s="25">
        <v>4.5599999999999996</v>
      </c>
      <c r="O299" s="25"/>
    </row>
    <row r="300" spans="1:15" ht="12.5" x14ac:dyDescent="0.25">
      <c r="A300" s="8" t="s">
        <v>402</v>
      </c>
      <c r="B300" s="8" t="s">
        <v>128</v>
      </c>
      <c r="C300" s="8" t="s">
        <v>502</v>
      </c>
      <c r="D300" s="8" t="s">
        <v>270</v>
      </c>
      <c r="E300" s="25">
        <v>724.9</v>
      </c>
      <c r="F300" s="25">
        <v>65.900000000000006</v>
      </c>
      <c r="G300" s="25">
        <v>659</v>
      </c>
      <c r="O300" s="25"/>
    </row>
    <row r="301" spans="1:15" ht="12.5" x14ac:dyDescent="0.25">
      <c r="A301" s="8" t="s">
        <v>402</v>
      </c>
      <c r="B301" s="8" t="s">
        <v>128</v>
      </c>
      <c r="C301" s="8" t="s">
        <v>502</v>
      </c>
      <c r="D301" s="8" t="s">
        <v>271</v>
      </c>
      <c r="E301" s="25">
        <v>-247.5</v>
      </c>
      <c r="F301" s="25">
        <v>-22.5</v>
      </c>
      <c r="G301" s="25">
        <v>-225</v>
      </c>
      <c r="O301" s="25"/>
    </row>
    <row r="302" spans="1:15" ht="12.5" x14ac:dyDescent="0.25">
      <c r="A302" s="8" t="s">
        <v>402</v>
      </c>
      <c r="B302" s="8" t="s">
        <v>128</v>
      </c>
      <c r="C302" s="8" t="s">
        <v>502</v>
      </c>
      <c r="D302" s="8" t="s">
        <v>272</v>
      </c>
      <c r="E302" s="25">
        <v>49.5</v>
      </c>
      <c r="F302" s="25">
        <v>4.5</v>
      </c>
      <c r="G302" s="25">
        <v>45</v>
      </c>
      <c r="O302" s="25"/>
    </row>
    <row r="303" spans="1:15" ht="12.5" x14ac:dyDescent="0.25">
      <c r="A303" s="8" t="s">
        <v>402</v>
      </c>
      <c r="B303" s="8" t="s">
        <v>128</v>
      </c>
      <c r="C303" s="8" t="s">
        <v>502</v>
      </c>
      <c r="D303" s="8" t="s">
        <v>273</v>
      </c>
      <c r="E303" s="25">
        <v>99</v>
      </c>
      <c r="F303" s="25">
        <v>9</v>
      </c>
      <c r="G303" s="25">
        <v>90</v>
      </c>
      <c r="O303" s="25"/>
    </row>
    <row r="304" spans="1:15" ht="12.5" x14ac:dyDescent="0.25">
      <c r="A304" s="8" t="s">
        <v>402</v>
      </c>
      <c r="B304" s="8" t="s">
        <v>128</v>
      </c>
      <c r="C304" s="8" t="s">
        <v>502</v>
      </c>
      <c r="D304" s="8" t="s">
        <v>274</v>
      </c>
      <c r="E304" s="25">
        <v>49.5</v>
      </c>
      <c r="F304" s="25">
        <v>4.5</v>
      </c>
      <c r="G304" s="25">
        <v>45</v>
      </c>
      <c r="O304" s="25"/>
    </row>
    <row r="305" spans="1:15" ht="12.5" x14ac:dyDescent="0.25">
      <c r="A305" s="8" t="s">
        <v>402</v>
      </c>
      <c r="B305" s="8" t="s">
        <v>128</v>
      </c>
      <c r="C305" s="8" t="s">
        <v>502</v>
      </c>
      <c r="D305" s="8" t="s">
        <v>275</v>
      </c>
      <c r="E305" s="25">
        <v>-99</v>
      </c>
      <c r="F305" s="25">
        <v>-9</v>
      </c>
      <c r="G305" s="25">
        <v>-90</v>
      </c>
      <c r="O305" s="25"/>
    </row>
    <row r="306" spans="1:15" ht="12.5" x14ac:dyDescent="0.25">
      <c r="A306" s="8" t="s">
        <v>402</v>
      </c>
      <c r="B306" s="8" t="s">
        <v>128</v>
      </c>
      <c r="C306" s="8" t="s">
        <v>502</v>
      </c>
      <c r="D306" s="8" t="s">
        <v>276</v>
      </c>
      <c r="E306" s="25">
        <v>110</v>
      </c>
      <c r="F306" s="25">
        <v>10</v>
      </c>
      <c r="G306" s="25">
        <v>100</v>
      </c>
      <c r="O306" s="25"/>
    </row>
    <row r="307" spans="1:15" ht="12.5" x14ac:dyDescent="0.25">
      <c r="A307" s="8" t="s">
        <v>402</v>
      </c>
      <c r="B307" s="8" t="s">
        <v>128</v>
      </c>
      <c r="C307" s="8" t="s">
        <v>502</v>
      </c>
      <c r="D307" s="8" t="s">
        <v>277</v>
      </c>
      <c r="E307" s="25">
        <v>99</v>
      </c>
      <c r="F307" s="25">
        <v>9</v>
      </c>
      <c r="G307" s="25">
        <v>90</v>
      </c>
      <c r="O307" s="25"/>
    </row>
    <row r="308" spans="1:15" ht="12.5" x14ac:dyDescent="0.25">
      <c r="A308" s="8" t="s">
        <v>402</v>
      </c>
      <c r="B308" s="8" t="s">
        <v>137</v>
      </c>
      <c r="C308" s="8" t="s">
        <v>502</v>
      </c>
      <c r="D308" s="8" t="s">
        <v>278</v>
      </c>
      <c r="E308" s="25">
        <v>50.11</v>
      </c>
      <c r="F308" s="25">
        <v>4.5599999999999996</v>
      </c>
      <c r="G308" s="25">
        <v>45.55</v>
      </c>
      <c r="O308" s="25"/>
    </row>
    <row r="309" spans="1:15" ht="12.5" x14ac:dyDescent="0.25">
      <c r="A309" s="8" t="s">
        <v>402</v>
      </c>
      <c r="B309" s="8" t="s">
        <v>128</v>
      </c>
      <c r="C309" s="8" t="s">
        <v>502</v>
      </c>
      <c r="D309" s="8" t="s">
        <v>279</v>
      </c>
      <c r="E309" s="25">
        <v>49.5</v>
      </c>
      <c r="F309" s="25">
        <v>4.5</v>
      </c>
      <c r="G309" s="25">
        <v>45</v>
      </c>
      <c r="O309" s="25"/>
    </row>
    <row r="310" spans="1:15" ht="12.5" x14ac:dyDescent="0.25">
      <c r="A310" s="8" t="s">
        <v>402</v>
      </c>
      <c r="B310" s="8" t="s">
        <v>128</v>
      </c>
      <c r="C310" s="8" t="s">
        <v>502</v>
      </c>
      <c r="D310" s="8" t="s">
        <v>280</v>
      </c>
      <c r="E310" s="25">
        <v>-99</v>
      </c>
      <c r="F310" s="25">
        <v>-9</v>
      </c>
      <c r="G310" s="25">
        <v>-90</v>
      </c>
      <c r="O310" s="25"/>
    </row>
    <row r="311" spans="1:15" ht="12.5" x14ac:dyDescent="0.25">
      <c r="A311" s="8" t="s">
        <v>402</v>
      </c>
      <c r="B311" s="8" t="s">
        <v>128</v>
      </c>
      <c r="C311" s="8" t="s">
        <v>502</v>
      </c>
      <c r="D311" s="8" t="s">
        <v>503</v>
      </c>
      <c r="E311" s="25">
        <v>110</v>
      </c>
      <c r="F311" s="25">
        <v>10</v>
      </c>
      <c r="G311" s="25">
        <v>100</v>
      </c>
      <c r="O311" s="25"/>
    </row>
    <row r="312" spans="1:15" ht="12.5" x14ac:dyDescent="0.25">
      <c r="A312" s="8" t="s">
        <v>402</v>
      </c>
      <c r="B312" s="8" t="s">
        <v>128</v>
      </c>
      <c r="C312" s="8" t="s">
        <v>502</v>
      </c>
      <c r="D312" s="8" t="s">
        <v>504</v>
      </c>
      <c r="E312" s="25">
        <v>49.5</v>
      </c>
      <c r="F312" s="25">
        <v>4.5</v>
      </c>
      <c r="G312" s="25">
        <v>45</v>
      </c>
      <c r="O312" s="25"/>
    </row>
    <row r="313" spans="1:15" ht="12.5" x14ac:dyDescent="0.25">
      <c r="A313" s="8" t="s">
        <v>402</v>
      </c>
      <c r="B313" s="8" t="s">
        <v>128</v>
      </c>
      <c r="C313" s="8" t="s">
        <v>505</v>
      </c>
      <c r="D313" s="8" t="s">
        <v>222</v>
      </c>
      <c r="E313" s="25">
        <v>877.8</v>
      </c>
      <c r="F313" s="25">
        <v>79.8</v>
      </c>
      <c r="G313" s="25">
        <v>798</v>
      </c>
      <c r="O313" s="25"/>
    </row>
    <row r="314" spans="1:15" ht="12.5" x14ac:dyDescent="0.25">
      <c r="A314" s="8" t="s">
        <v>402</v>
      </c>
      <c r="B314" s="8" t="s">
        <v>137</v>
      </c>
      <c r="C314" s="8" t="s">
        <v>505</v>
      </c>
      <c r="D314" s="8" t="s">
        <v>223</v>
      </c>
      <c r="E314" s="25">
        <v>59.69</v>
      </c>
      <c r="F314" s="25">
        <v>5.43</v>
      </c>
      <c r="G314" s="25">
        <v>54.26</v>
      </c>
      <c r="O314" s="25"/>
    </row>
    <row r="315" spans="1:15" ht="12.5" x14ac:dyDescent="0.25">
      <c r="A315" s="8" t="s">
        <v>402</v>
      </c>
      <c r="B315" s="8" t="s">
        <v>128</v>
      </c>
      <c r="C315" s="8" t="s">
        <v>493</v>
      </c>
      <c r="D315" s="8" t="s">
        <v>506</v>
      </c>
      <c r="E315" s="25">
        <v>328.9</v>
      </c>
      <c r="F315" s="25">
        <v>29.9</v>
      </c>
      <c r="G315" s="25">
        <v>299</v>
      </c>
      <c r="O315" s="25"/>
    </row>
    <row r="316" spans="1:15" ht="12.5" x14ac:dyDescent="0.25">
      <c r="A316" s="8" t="s">
        <v>402</v>
      </c>
      <c r="B316" s="8" t="s">
        <v>137</v>
      </c>
      <c r="C316" s="8" t="s">
        <v>493</v>
      </c>
      <c r="D316" s="8" t="s">
        <v>160</v>
      </c>
      <c r="E316" s="25">
        <v>8.23</v>
      </c>
      <c r="F316" s="25">
        <v>0.75</v>
      </c>
      <c r="G316" s="25">
        <v>7.48</v>
      </c>
      <c r="O316" s="25"/>
    </row>
    <row r="317" spans="1:15" ht="12.5" x14ac:dyDescent="0.25">
      <c r="A317" s="8" t="s">
        <v>402</v>
      </c>
      <c r="B317" s="8" t="s">
        <v>174</v>
      </c>
      <c r="C317" s="8" t="s">
        <v>161</v>
      </c>
      <c r="D317" s="8" t="s">
        <v>307</v>
      </c>
      <c r="E317" s="25">
        <v>679.8</v>
      </c>
      <c r="F317" s="25">
        <v>61.8</v>
      </c>
      <c r="G317" s="25">
        <v>618</v>
      </c>
      <c r="O317" s="25"/>
    </row>
    <row r="318" spans="1:15" ht="12.5" x14ac:dyDescent="0.25">
      <c r="A318" s="8" t="s">
        <v>402</v>
      </c>
      <c r="B318" s="8" t="s">
        <v>174</v>
      </c>
      <c r="C318" s="8" t="s">
        <v>161</v>
      </c>
      <c r="D318" s="8" t="s">
        <v>308</v>
      </c>
      <c r="E318" s="25">
        <v>-49.5</v>
      </c>
      <c r="F318" s="25">
        <v>-4.5</v>
      </c>
      <c r="G318" s="25">
        <v>-45</v>
      </c>
      <c r="O318" s="25"/>
    </row>
    <row r="319" spans="1:15" ht="12.5" x14ac:dyDescent="0.25">
      <c r="A319" s="8" t="s">
        <v>402</v>
      </c>
      <c r="B319" s="8" t="s">
        <v>128</v>
      </c>
      <c r="C319" s="8" t="s">
        <v>502</v>
      </c>
      <c r="D319" s="8" t="s">
        <v>162</v>
      </c>
      <c r="E319" s="25">
        <v>218.9</v>
      </c>
      <c r="F319" s="25">
        <v>19.899999999999999</v>
      </c>
      <c r="G319" s="25">
        <v>199</v>
      </c>
      <c r="O319" s="25"/>
    </row>
    <row r="320" spans="1:15" ht="12.5" x14ac:dyDescent="0.25">
      <c r="A320" s="8" t="s">
        <v>402</v>
      </c>
      <c r="B320" s="8" t="s">
        <v>174</v>
      </c>
      <c r="C320" s="8" t="s">
        <v>507</v>
      </c>
      <c r="D320" s="8" t="s">
        <v>508</v>
      </c>
      <c r="E320" s="25">
        <v>242</v>
      </c>
      <c r="F320" s="25">
        <v>22</v>
      </c>
      <c r="G320" s="25">
        <v>220</v>
      </c>
      <c r="O320" s="25"/>
    </row>
    <row r="321" spans="1:15" ht="12.5" x14ac:dyDescent="0.25">
      <c r="A321" s="8" t="s">
        <v>402</v>
      </c>
      <c r="B321" s="8" t="s">
        <v>174</v>
      </c>
      <c r="C321" s="8" t="s">
        <v>507</v>
      </c>
      <c r="D321" s="8" t="s">
        <v>322</v>
      </c>
      <c r="E321" s="25">
        <v>665.5</v>
      </c>
      <c r="F321" s="25">
        <v>60.5</v>
      </c>
      <c r="G321" s="25">
        <v>605</v>
      </c>
      <c r="O321" s="25"/>
    </row>
    <row r="322" spans="1:15" ht="12.5" x14ac:dyDescent="0.25">
      <c r="A322" s="8" t="s">
        <v>402</v>
      </c>
      <c r="B322" s="8" t="s">
        <v>128</v>
      </c>
      <c r="C322" s="8" t="s">
        <v>509</v>
      </c>
      <c r="D322" s="8" t="s">
        <v>510</v>
      </c>
      <c r="E322" s="25">
        <v>2530</v>
      </c>
      <c r="F322" s="25">
        <v>230</v>
      </c>
      <c r="G322" s="25">
        <v>2300</v>
      </c>
      <c r="O322" s="25"/>
    </row>
    <row r="323" spans="1:15" ht="12.5" x14ac:dyDescent="0.25">
      <c r="A323" s="8" t="s">
        <v>402</v>
      </c>
      <c r="B323" s="8" t="s">
        <v>128</v>
      </c>
      <c r="C323" s="8" t="s">
        <v>509</v>
      </c>
      <c r="D323" s="8" t="s">
        <v>511</v>
      </c>
      <c r="E323" s="25">
        <v>1188</v>
      </c>
      <c r="F323" s="25">
        <v>108</v>
      </c>
      <c r="G323" s="25">
        <v>1080</v>
      </c>
      <c r="O323" s="25"/>
    </row>
    <row r="324" spans="1:15" ht="12.5" x14ac:dyDescent="0.25">
      <c r="A324" s="8" t="s">
        <v>402</v>
      </c>
      <c r="B324" s="8" t="s">
        <v>128</v>
      </c>
      <c r="C324" s="8" t="s">
        <v>512</v>
      </c>
      <c r="D324" s="8" t="s">
        <v>513</v>
      </c>
      <c r="E324" s="25">
        <v>18348</v>
      </c>
      <c r="F324" s="25">
        <v>1668</v>
      </c>
      <c r="G324" s="25">
        <v>16680</v>
      </c>
      <c r="O324" s="25"/>
    </row>
    <row r="325" spans="1:15" ht="12.5" x14ac:dyDescent="0.25">
      <c r="A325" s="8" t="s">
        <v>402</v>
      </c>
      <c r="B325" s="8" t="s">
        <v>128</v>
      </c>
      <c r="C325" s="8" t="s">
        <v>512</v>
      </c>
      <c r="D325" s="8" t="s">
        <v>514</v>
      </c>
      <c r="E325" s="25">
        <v>594</v>
      </c>
      <c r="F325" s="25">
        <v>54</v>
      </c>
      <c r="G325" s="25">
        <v>540</v>
      </c>
      <c r="O325" s="25"/>
    </row>
    <row r="326" spans="1:15" ht="12.5" x14ac:dyDescent="0.25">
      <c r="A326" s="8" t="s">
        <v>402</v>
      </c>
      <c r="B326" s="8" t="s">
        <v>128</v>
      </c>
      <c r="C326" s="8" t="s">
        <v>512</v>
      </c>
      <c r="D326" s="8" t="s">
        <v>515</v>
      </c>
      <c r="E326" s="25">
        <v>594</v>
      </c>
      <c r="F326" s="25">
        <v>54</v>
      </c>
      <c r="G326" s="25">
        <v>540</v>
      </c>
      <c r="O326" s="25"/>
    </row>
    <row r="327" spans="1:15" ht="12.5" x14ac:dyDescent="0.25">
      <c r="A327" s="8" t="s">
        <v>402</v>
      </c>
      <c r="B327" s="8" t="s">
        <v>128</v>
      </c>
      <c r="C327" s="8" t="s">
        <v>516</v>
      </c>
      <c r="D327" s="8" t="s">
        <v>517</v>
      </c>
      <c r="E327" s="25">
        <v>973.5</v>
      </c>
      <c r="F327" s="25">
        <v>88.5</v>
      </c>
      <c r="G327" s="25">
        <v>885</v>
      </c>
      <c r="O327" s="25"/>
    </row>
    <row r="328" spans="1:15" ht="12.5" x14ac:dyDescent="0.25">
      <c r="A328" s="8" t="s">
        <v>402</v>
      </c>
      <c r="B328" s="8" t="s">
        <v>132</v>
      </c>
      <c r="C328" s="8" t="s">
        <v>516</v>
      </c>
      <c r="D328" s="8" t="s">
        <v>518</v>
      </c>
      <c r="E328" s="25">
        <v>82.5</v>
      </c>
      <c r="F328" s="25">
        <v>7.5</v>
      </c>
      <c r="G328" s="25">
        <v>75</v>
      </c>
      <c r="O328" s="25"/>
    </row>
    <row r="329" spans="1:15" ht="12.5" x14ac:dyDescent="0.25">
      <c r="A329" s="8" t="s">
        <v>402</v>
      </c>
      <c r="B329" s="8" t="s">
        <v>128</v>
      </c>
      <c r="C329" s="8" t="s">
        <v>519</v>
      </c>
      <c r="D329" s="8" t="s">
        <v>334</v>
      </c>
      <c r="E329" s="25">
        <v>687.5</v>
      </c>
      <c r="F329" s="25">
        <v>62.5</v>
      </c>
      <c r="G329" s="25">
        <v>625</v>
      </c>
      <c r="O329" s="25"/>
    </row>
    <row r="330" spans="1:15" ht="12.5" x14ac:dyDescent="0.25">
      <c r="A330" s="8" t="s">
        <v>402</v>
      </c>
      <c r="B330" s="8" t="s">
        <v>128</v>
      </c>
      <c r="C330" s="8" t="s">
        <v>520</v>
      </c>
      <c r="D330" s="8" t="s">
        <v>521</v>
      </c>
      <c r="E330" s="25">
        <v>1881</v>
      </c>
      <c r="F330" s="25">
        <v>171</v>
      </c>
      <c r="G330" s="25">
        <v>1710</v>
      </c>
      <c r="O330" s="25"/>
    </row>
    <row r="331" spans="1:15" ht="12.5" x14ac:dyDescent="0.25">
      <c r="A331" s="8" t="s">
        <v>402</v>
      </c>
      <c r="B331" s="8" t="s">
        <v>128</v>
      </c>
      <c r="C331" s="8" t="s">
        <v>391</v>
      </c>
      <c r="D331" s="8" t="s">
        <v>522</v>
      </c>
      <c r="E331" s="25">
        <v>1580.7</v>
      </c>
      <c r="F331" s="25">
        <v>143.69999999999999</v>
      </c>
      <c r="G331" s="25">
        <v>1437</v>
      </c>
      <c r="O331" s="25"/>
    </row>
    <row r="332" spans="1:15" ht="12.5" x14ac:dyDescent="0.25">
      <c r="A332" s="8" t="s">
        <v>402</v>
      </c>
      <c r="B332" s="8" t="s">
        <v>128</v>
      </c>
      <c r="C332" s="8" t="s">
        <v>391</v>
      </c>
      <c r="D332" s="8" t="s">
        <v>523</v>
      </c>
      <c r="E332" s="25">
        <v>742.5</v>
      </c>
      <c r="F332" s="25">
        <v>67.5</v>
      </c>
      <c r="G332" s="25">
        <v>675</v>
      </c>
      <c r="O332" s="25"/>
    </row>
    <row r="333" spans="1:15" ht="12.5" x14ac:dyDescent="0.25">
      <c r="A333" s="8" t="s">
        <v>402</v>
      </c>
      <c r="B333" s="8" t="s">
        <v>132</v>
      </c>
      <c r="C333" s="8" t="s">
        <v>391</v>
      </c>
      <c r="D333" s="8" t="s">
        <v>524</v>
      </c>
      <c r="E333" s="25">
        <v>82.5</v>
      </c>
      <c r="F333" s="25">
        <v>7.5</v>
      </c>
      <c r="G333" s="25">
        <v>75</v>
      </c>
      <c r="O333" s="25"/>
    </row>
    <row r="334" spans="1:15" ht="12.5" x14ac:dyDescent="0.25">
      <c r="A334" s="8" t="s">
        <v>402</v>
      </c>
      <c r="B334" s="8" t="s">
        <v>128</v>
      </c>
      <c r="C334" s="8" t="s">
        <v>424</v>
      </c>
      <c r="D334" s="8" t="s">
        <v>525</v>
      </c>
      <c r="E334" s="25">
        <v>990</v>
      </c>
      <c r="F334" s="25">
        <v>90</v>
      </c>
      <c r="G334" s="25">
        <v>900</v>
      </c>
      <c r="O334" s="25"/>
    </row>
    <row r="335" spans="1:15" ht="12.5" x14ac:dyDescent="0.25">
      <c r="A335" s="8" t="s">
        <v>402</v>
      </c>
      <c r="B335" s="8" t="s">
        <v>128</v>
      </c>
      <c r="C335" s="8" t="s">
        <v>424</v>
      </c>
      <c r="D335" s="8" t="s">
        <v>526</v>
      </c>
      <c r="E335" s="25">
        <v>82.5</v>
      </c>
      <c r="F335" s="25">
        <v>7.5</v>
      </c>
      <c r="G335" s="25">
        <v>75</v>
      </c>
      <c r="O335" s="25"/>
    </row>
    <row r="336" spans="1:15" ht="12.5" x14ac:dyDescent="0.25">
      <c r="A336" s="8" t="s">
        <v>402</v>
      </c>
      <c r="B336" s="8" t="s">
        <v>128</v>
      </c>
      <c r="C336" s="8" t="s">
        <v>527</v>
      </c>
      <c r="D336" s="8" t="s">
        <v>528</v>
      </c>
      <c r="E336" s="25">
        <v>6534</v>
      </c>
      <c r="F336" s="25">
        <v>594</v>
      </c>
      <c r="G336" s="25">
        <v>5940</v>
      </c>
      <c r="O336" s="25"/>
    </row>
    <row r="337" spans="1:15" ht="12.5" x14ac:dyDescent="0.25">
      <c r="A337" s="8" t="s">
        <v>402</v>
      </c>
      <c r="B337" s="8" t="s">
        <v>128</v>
      </c>
      <c r="C337" s="8" t="s">
        <v>527</v>
      </c>
      <c r="D337" s="8" t="s">
        <v>529</v>
      </c>
      <c r="E337" s="25">
        <v>1122</v>
      </c>
      <c r="F337" s="25">
        <v>102</v>
      </c>
      <c r="G337" s="25">
        <v>1020</v>
      </c>
      <c r="O337" s="25"/>
    </row>
    <row r="338" spans="1:15" ht="12.5" x14ac:dyDescent="0.25">
      <c r="A338" s="8" t="s">
        <v>402</v>
      </c>
      <c r="B338" s="8" t="s">
        <v>128</v>
      </c>
      <c r="C338" s="8" t="s">
        <v>527</v>
      </c>
      <c r="D338" s="8" t="s">
        <v>530</v>
      </c>
      <c r="E338" s="25">
        <v>1188</v>
      </c>
      <c r="F338" s="25">
        <v>108</v>
      </c>
      <c r="G338" s="25">
        <v>1080</v>
      </c>
      <c r="O338" s="25"/>
    </row>
    <row r="339" spans="1:15" ht="12.5" x14ac:dyDescent="0.25">
      <c r="A339" s="8" t="s">
        <v>402</v>
      </c>
      <c r="B339" s="8" t="s">
        <v>128</v>
      </c>
      <c r="C339" s="8" t="s">
        <v>527</v>
      </c>
      <c r="D339" s="8" t="s">
        <v>531</v>
      </c>
      <c r="E339" s="25">
        <v>396</v>
      </c>
      <c r="F339" s="25">
        <v>36</v>
      </c>
      <c r="G339" s="25">
        <v>360</v>
      </c>
      <c r="O339" s="25"/>
    </row>
    <row r="340" spans="1:15" ht="12.5" x14ac:dyDescent="0.25">
      <c r="A340" s="8" t="s">
        <v>402</v>
      </c>
      <c r="B340" s="8" t="s">
        <v>128</v>
      </c>
      <c r="C340" s="8" t="s">
        <v>493</v>
      </c>
      <c r="D340" s="8" t="s">
        <v>532</v>
      </c>
      <c r="E340" s="25">
        <v>627</v>
      </c>
      <c r="F340" s="25">
        <v>57</v>
      </c>
      <c r="G340" s="25">
        <v>570</v>
      </c>
      <c r="O340" s="25"/>
    </row>
    <row r="341" spans="1:15" ht="12.5" x14ac:dyDescent="0.25">
      <c r="A341" s="8" t="s">
        <v>402</v>
      </c>
      <c r="B341" s="8" t="s">
        <v>128</v>
      </c>
      <c r="C341" s="8" t="s">
        <v>493</v>
      </c>
      <c r="D341" s="8" t="s">
        <v>153</v>
      </c>
      <c r="E341" s="25">
        <v>27.5</v>
      </c>
      <c r="F341" s="25">
        <v>2.5</v>
      </c>
      <c r="G341" s="25">
        <v>25</v>
      </c>
      <c r="O341" s="25"/>
    </row>
    <row r="342" spans="1:15" ht="12.5" x14ac:dyDescent="0.25">
      <c r="A342" s="8" t="s">
        <v>402</v>
      </c>
      <c r="B342" s="8" t="s">
        <v>128</v>
      </c>
      <c r="C342" s="8" t="s">
        <v>493</v>
      </c>
      <c r="D342" s="8" t="s">
        <v>154</v>
      </c>
      <c r="E342" s="25">
        <v>49.5</v>
      </c>
      <c r="F342" s="25">
        <v>4.5</v>
      </c>
      <c r="G342" s="25">
        <v>45</v>
      </c>
      <c r="O342" s="25"/>
    </row>
    <row r="343" spans="1:15" ht="12.5" x14ac:dyDescent="0.25">
      <c r="A343" s="8" t="s">
        <v>402</v>
      </c>
      <c r="B343" s="8" t="s">
        <v>132</v>
      </c>
      <c r="C343" s="8" t="s">
        <v>533</v>
      </c>
      <c r="D343" s="8" t="s">
        <v>148</v>
      </c>
      <c r="E343" s="25">
        <v>297</v>
      </c>
      <c r="F343" s="25">
        <v>27</v>
      </c>
      <c r="G343" s="25">
        <v>270</v>
      </c>
      <c r="O343" s="25"/>
    </row>
    <row r="344" spans="1:15" ht="12.5" x14ac:dyDescent="0.25">
      <c r="A344" s="8" t="s">
        <v>402</v>
      </c>
      <c r="B344" s="8" t="s">
        <v>132</v>
      </c>
      <c r="C344" s="8" t="s">
        <v>533</v>
      </c>
      <c r="D344" s="8" t="s">
        <v>149</v>
      </c>
      <c r="E344" s="25">
        <v>49.5</v>
      </c>
      <c r="F344" s="25">
        <v>4.5</v>
      </c>
      <c r="G344" s="25">
        <v>45</v>
      </c>
      <c r="O344" s="25"/>
    </row>
    <row r="345" spans="1:15" ht="12.5" x14ac:dyDescent="0.25">
      <c r="A345" s="8" t="s">
        <v>402</v>
      </c>
      <c r="B345" s="8" t="s">
        <v>132</v>
      </c>
      <c r="C345" s="8" t="s">
        <v>533</v>
      </c>
      <c r="D345" s="8" t="s">
        <v>150</v>
      </c>
      <c r="E345" s="25">
        <v>304.92</v>
      </c>
      <c r="F345" s="25">
        <v>27.72</v>
      </c>
      <c r="G345" s="25">
        <v>277.2</v>
      </c>
      <c r="O345" s="25"/>
    </row>
    <row r="346" spans="1:15" ht="12.5" x14ac:dyDescent="0.25">
      <c r="A346" s="8" t="s">
        <v>402</v>
      </c>
      <c r="B346" s="8" t="s">
        <v>132</v>
      </c>
      <c r="C346" s="8" t="s">
        <v>533</v>
      </c>
      <c r="D346" s="8" t="s">
        <v>155</v>
      </c>
      <c r="E346" s="25">
        <v>27.5</v>
      </c>
      <c r="F346" s="25">
        <v>2.5</v>
      </c>
      <c r="G346" s="25">
        <v>25</v>
      </c>
      <c r="O346" s="25"/>
    </row>
    <row r="347" spans="1:15" ht="12.5" x14ac:dyDescent="0.25">
      <c r="A347" s="8" t="s">
        <v>402</v>
      </c>
      <c r="B347" s="8" t="s">
        <v>132</v>
      </c>
      <c r="C347" s="8" t="s">
        <v>533</v>
      </c>
      <c r="D347" s="8" t="s">
        <v>156</v>
      </c>
      <c r="E347" s="25">
        <v>27.5</v>
      </c>
      <c r="F347" s="25">
        <v>2.5</v>
      </c>
      <c r="G347" s="25">
        <v>25</v>
      </c>
      <c r="O347" s="25"/>
    </row>
    <row r="348" spans="1:15" ht="12.5" x14ac:dyDescent="0.25">
      <c r="A348" s="8" t="s">
        <v>402</v>
      </c>
      <c r="B348" s="8" t="s">
        <v>132</v>
      </c>
      <c r="C348" s="8" t="s">
        <v>533</v>
      </c>
      <c r="D348" s="8" t="s">
        <v>157</v>
      </c>
      <c r="E348" s="25">
        <v>49.5</v>
      </c>
      <c r="F348" s="25">
        <v>4.5</v>
      </c>
      <c r="G348" s="25">
        <v>45</v>
      </c>
      <c r="O348" s="25"/>
    </row>
    <row r="349" spans="1:15" ht="12.5" x14ac:dyDescent="0.25">
      <c r="A349" s="8" t="s">
        <v>402</v>
      </c>
      <c r="B349" s="8" t="s">
        <v>137</v>
      </c>
      <c r="C349" s="8" t="s">
        <v>533</v>
      </c>
      <c r="D349" s="8" t="s">
        <v>158</v>
      </c>
      <c r="E349" s="25">
        <v>18.899999999999999</v>
      </c>
      <c r="F349" s="25">
        <v>1.72</v>
      </c>
      <c r="G349" s="25">
        <v>17.18</v>
      </c>
      <c r="O349" s="25"/>
    </row>
    <row r="350" spans="1:15" ht="12.5" x14ac:dyDescent="0.25">
      <c r="A350" s="8" t="s">
        <v>402</v>
      </c>
      <c r="B350" s="8" t="s">
        <v>128</v>
      </c>
      <c r="C350" s="8" t="s">
        <v>534</v>
      </c>
      <c r="D350" s="8" t="s">
        <v>535</v>
      </c>
      <c r="E350" s="25">
        <v>436.7</v>
      </c>
      <c r="F350" s="25">
        <v>39.700000000000003</v>
      </c>
      <c r="G350" s="25">
        <v>397</v>
      </c>
      <c r="O350" s="25"/>
    </row>
    <row r="351" spans="1:15" ht="12.5" x14ac:dyDescent="0.25">
      <c r="A351" s="8" t="s">
        <v>402</v>
      </c>
      <c r="B351" s="8" t="s">
        <v>137</v>
      </c>
      <c r="C351" s="8" t="s">
        <v>534</v>
      </c>
      <c r="D351" s="8" t="s">
        <v>220</v>
      </c>
      <c r="E351" s="25">
        <v>10.92</v>
      </c>
      <c r="F351" s="25">
        <v>0.99</v>
      </c>
      <c r="G351" s="25">
        <v>9.93</v>
      </c>
      <c r="O351" s="25"/>
    </row>
    <row r="352" spans="1:15" ht="12.5" x14ac:dyDescent="0.25">
      <c r="A352" s="8" t="s">
        <v>402</v>
      </c>
      <c r="B352" s="8" t="s">
        <v>132</v>
      </c>
      <c r="C352" s="8" t="s">
        <v>536</v>
      </c>
      <c r="D352" s="8" t="s">
        <v>537</v>
      </c>
      <c r="E352" s="25">
        <v>1461.9</v>
      </c>
      <c r="F352" s="25">
        <v>132.9</v>
      </c>
      <c r="G352" s="25">
        <v>1329</v>
      </c>
      <c r="O352" s="25"/>
    </row>
    <row r="353" spans="1:15" ht="12.5" x14ac:dyDescent="0.25">
      <c r="A353" s="8" t="s">
        <v>402</v>
      </c>
      <c r="B353" s="8" t="s">
        <v>132</v>
      </c>
      <c r="C353" s="8" t="s">
        <v>536</v>
      </c>
      <c r="D353" s="8" t="s">
        <v>538</v>
      </c>
      <c r="E353" s="25">
        <v>330</v>
      </c>
      <c r="F353" s="25">
        <v>30</v>
      </c>
      <c r="G353" s="25">
        <v>300</v>
      </c>
      <c r="O353" s="25"/>
    </row>
    <row r="354" spans="1:15" ht="12.5" x14ac:dyDescent="0.25">
      <c r="A354" s="8" t="s">
        <v>402</v>
      </c>
      <c r="B354" s="8" t="s">
        <v>132</v>
      </c>
      <c r="C354" s="8" t="s">
        <v>536</v>
      </c>
      <c r="D354" s="8" t="s">
        <v>539</v>
      </c>
      <c r="E354" s="25">
        <v>330</v>
      </c>
      <c r="F354" s="25">
        <v>30</v>
      </c>
      <c r="G354" s="25">
        <v>300</v>
      </c>
      <c r="O354" s="25"/>
    </row>
    <row r="355" spans="1:15" ht="12.5" x14ac:dyDescent="0.25">
      <c r="A355" s="8" t="s">
        <v>402</v>
      </c>
      <c r="B355" s="8" t="s">
        <v>128</v>
      </c>
      <c r="C355" s="8" t="s">
        <v>540</v>
      </c>
      <c r="D355" s="8" t="s">
        <v>541</v>
      </c>
      <c r="E355" s="25">
        <v>3960</v>
      </c>
      <c r="F355" s="25">
        <v>360</v>
      </c>
      <c r="G355" s="25">
        <v>3600</v>
      </c>
      <c r="O355" s="25"/>
    </row>
    <row r="356" spans="1:15" ht="12.5" x14ac:dyDescent="0.25">
      <c r="A356" s="8" t="s">
        <v>402</v>
      </c>
      <c r="B356" s="8" t="s">
        <v>128</v>
      </c>
      <c r="C356" s="8" t="s">
        <v>493</v>
      </c>
      <c r="D356" s="8" t="s">
        <v>542</v>
      </c>
      <c r="E356" s="25">
        <v>273.89999999999998</v>
      </c>
      <c r="F356" s="25">
        <v>24.9</v>
      </c>
      <c r="G356" s="25">
        <v>249</v>
      </c>
      <c r="O356" s="25"/>
    </row>
    <row r="357" spans="1:15" ht="12.5" x14ac:dyDescent="0.25">
      <c r="A357" s="8" t="s">
        <v>402</v>
      </c>
      <c r="B357" s="8" t="s">
        <v>132</v>
      </c>
      <c r="C357" s="8" t="s">
        <v>543</v>
      </c>
      <c r="D357" s="8" t="s">
        <v>544</v>
      </c>
      <c r="E357" s="25">
        <v>891</v>
      </c>
      <c r="F357" s="25">
        <v>81</v>
      </c>
      <c r="G357" s="25">
        <v>810</v>
      </c>
      <c r="O357" s="25"/>
    </row>
    <row r="358" spans="1:15" ht="12.5" x14ac:dyDescent="0.25">
      <c r="A358" s="8" t="s">
        <v>402</v>
      </c>
      <c r="B358" s="8" t="s">
        <v>128</v>
      </c>
      <c r="C358" s="8" t="s">
        <v>502</v>
      </c>
      <c r="D358" s="8" t="s">
        <v>290</v>
      </c>
      <c r="E358" s="25">
        <v>675.4</v>
      </c>
      <c r="F358" s="25">
        <v>61.4</v>
      </c>
      <c r="G358" s="25">
        <v>614</v>
      </c>
      <c r="O358" s="25"/>
    </row>
    <row r="359" spans="1:15" ht="12.5" x14ac:dyDescent="0.25">
      <c r="A359" s="8" t="s">
        <v>402</v>
      </c>
      <c r="B359" s="8" t="s">
        <v>128</v>
      </c>
      <c r="C359" s="8" t="s">
        <v>502</v>
      </c>
      <c r="D359" s="8" t="s">
        <v>291</v>
      </c>
      <c r="E359" s="25">
        <v>-345.4</v>
      </c>
      <c r="F359" s="25">
        <v>-31.4</v>
      </c>
      <c r="G359" s="25">
        <v>-314</v>
      </c>
      <c r="O359" s="25"/>
    </row>
    <row r="360" spans="1:15" ht="12.5" x14ac:dyDescent="0.25">
      <c r="A360" s="8" t="s">
        <v>402</v>
      </c>
      <c r="B360" s="8" t="s">
        <v>128</v>
      </c>
      <c r="C360" s="8" t="s">
        <v>493</v>
      </c>
      <c r="D360" s="8" t="s">
        <v>545</v>
      </c>
      <c r="E360" s="25">
        <v>427.9</v>
      </c>
      <c r="F360" s="25">
        <v>38.9</v>
      </c>
      <c r="G360" s="25">
        <v>389</v>
      </c>
      <c r="O360" s="25"/>
    </row>
    <row r="361" spans="1:15" ht="12.5" x14ac:dyDescent="0.25">
      <c r="A361" s="8" t="s">
        <v>402</v>
      </c>
      <c r="B361" s="8" t="s">
        <v>137</v>
      </c>
      <c r="C361" s="8" t="s">
        <v>493</v>
      </c>
      <c r="D361" s="8" t="s">
        <v>293</v>
      </c>
      <c r="E361" s="25">
        <v>10.7</v>
      </c>
      <c r="F361" s="25">
        <v>0.97</v>
      </c>
      <c r="G361" s="25">
        <v>9.73</v>
      </c>
      <c r="O361" s="25"/>
    </row>
    <row r="362" spans="1:15" ht="12.5" x14ac:dyDescent="0.25">
      <c r="A362" s="8" t="s">
        <v>402</v>
      </c>
      <c r="B362" s="8" t="s">
        <v>128</v>
      </c>
      <c r="C362" s="8" t="s">
        <v>493</v>
      </c>
      <c r="D362" s="8" t="s">
        <v>294</v>
      </c>
      <c r="E362" s="25">
        <v>220</v>
      </c>
      <c r="F362" s="25">
        <v>20</v>
      </c>
      <c r="G362" s="25">
        <v>200</v>
      </c>
      <c r="O362" s="25"/>
    </row>
    <row r="363" spans="1:15" ht="12.5" x14ac:dyDescent="0.25">
      <c r="A363" s="8" t="s">
        <v>402</v>
      </c>
      <c r="B363" s="8" t="s">
        <v>137</v>
      </c>
      <c r="C363" s="8" t="s">
        <v>493</v>
      </c>
      <c r="D363" s="8" t="s">
        <v>295</v>
      </c>
      <c r="E363" s="25">
        <v>5.5</v>
      </c>
      <c r="F363" s="25">
        <v>0.5</v>
      </c>
      <c r="G363" s="25">
        <v>5</v>
      </c>
      <c r="O363" s="25"/>
    </row>
    <row r="364" spans="1:15" ht="12.5" x14ac:dyDescent="0.25">
      <c r="A364" s="8" t="s">
        <v>402</v>
      </c>
      <c r="B364" s="8" t="s">
        <v>174</v>
      </c>
      <c r="C364" s="8" t="s">
        <v>546</v>
      </c>
      <c r="D364" s="8" t="s">
        <v>547</v>
      </c>
      <c r="E364" s="25">
        <v>378.4</v>
      </c>
      <c r="F364" s="25">
        <v>34.4</v>
      </c>
      <c r="G364" s="25">
        <v>344</v>
      </c>
      <c r="O364" s="25"/>
    </row>
    <row r="365" spans="1:15" ht="12.5" x14ac:dyDescent="0.25">
      <c r="A365" s="8" t="s">
        <v>402</v>
      </c>
      <c r="B365" s="8" t="s">
        <v>128</v>
      </c>
      <c r="C365" s="8" t="s">
        <v>548</v>
      </c>
      <c r="D365" s="8" t="s">
        <v>549</v>
      </c>
      <c r="E365" s="25">
        <v>242</v>
      </c>
      <c r="F365" s="25">
        <v>22</v>
      </c>
      <c r="G365" s="25">
        <v>220</v>
      </c>
      <c r="O365" s="25"/>
    </row>
    <row r="366" spans="1:15" ht="12.5" x14ac:dyDescent="0.25">
      <c r="A366" s="8" t="s">
        <v>402</v>
      </c>
      <c r="B366" s="8" t="s">
        <v>128</v>
      </c>
      <c r="C366" s="8" t="s">
        <v>550</v>
      </c>
      <c r="D366" s="8" t="s">
        <v>551</v>
      </c>
      <c r="E366" s="25">
        <v>280.5</v>
      </c>
      <c r="F366" s="25">
        <v>25.5</v>
      </c>
      <c r="G366" s="25">
        <v>255</v>
      </c>
      <c r="O366" s="25"/>
    </row>
    <row r="367" spans="1:15" ht="12.5" x14ac:dyDescent="0.25">
      <c r="A367" s="8" t="s">
        <v>552</v>
      </c>
      <c r="B367" s="8" t="s">
        <v>356</v>
      </c>
      <c r="C367" s="8" t="s">
        <v>553</v>
      </c>
      <c r="D367" s="8" t="s">
        <v>554</v>
      </c>
      <c r="E367" s="25">
        <v>610.5</v>
      </c>
      <c r="F367" s="25">
        <v>55.5</v>
      </c>
      <c r="G367" s="25">
        <v>555</v>
      </c>
      <c r="O367" s="25"/>
    </row>
    <row r="368" spans="1:15" ht="12.5" x14ac:dyDescent="0.25">
      <c r="A368" s="8" t="s">
        <v>552</v>
      </c>
      <c r="B368" s="8" t="s">
        <v>132</v>
      </c>
      <c r="C368" s="8" t="s">
        <v>555</v>
      </c>
      <c r="D368" s="8" t="s">
        <v>556</v>
      </c>
      <c r="E368" s="25">
        <v>-498.3</v>
      </c>
      <c r="F368" s="25">
        <v>-45.3</v>
      </c>
      <c r="G368" s="25">
        <v>-453</v>
      </c>
      <c r="O368" s="25"/>
    </row>
    <row r="369" spans="1:15" ht="12.5" x14ac:dyDescent="0.25">
      <c r="A369" s="8" t="s">
        <v>552</v>
      </c>
      <c r="B369" s="8" t="s">
        <v>132</v>
      </c>
      <c r="C369" s="8" t="s">
        <v>555</v>
      </c>
      <c r="D369" s="8" t="s">
        <v>557</v>
      </c>
      <c r="E369" s="25">
        <v>-330</v>
      </c>
      <c r="F369" s="25">
        <v>-30</v>
      </c>
      <c r="G369" s="25">
        <v>-300</v>
      </c>
      <c r="O369" s="25"/>
    </row>
    <row r="370" spans="1:15" ht="12.5" x14ac:dyDescent="0.25">
      <c r="A370" s="8" t="s">
        <v>552</v>
      </c>
      <c r="B370" s="8" t="s">
        <v>128</v>
      </c>
      <c r="C370" s="8" t="s">
        <v>558</v>
      </c>
      <c r="D370" s="8" t="s">
        <v>559</v>
      </c>
      <c r="E370" s="25">
        <v>330</v>
      </c>
      <c r="F370" s="25">
        <v>30</v>
      </c>
      <c r="G370" s="25">
        <v>300</v>
      </c>
      <c r="O370" s="25"/>
    </row>
    <row r="371" spans="1:15" ht="12.5" x14ac:dyDescent="0.25">
      <c r="A371" s="8" t="s">
        <v>552</v>
      </c>
      <c r="B371" s="8" t="s">
        <v>356</v>
      </c>
      <c r="C371" s="8" t="s">
        <v>560</v>
      </c>
      <c r="D371" s="8" t="s">
        <v>561</v>
      </c>
      <c r="E371" s="25">
        <v>-2442</v>
      </c>
      <c r="F371" s="25">
        <v>-222</v>
      </c>
      <c r="G371" s="25">
        <v>-2220</v>
      </c>
      <c r="O371" s="25"/>
    </row>
    <row r="372" spans="1:15" ht="12.5" x14ac:dyDescent="0.25">
      <c r="A372" s="8" t="s">
        <v>562</v>
      </c>
      <c r="B372" s="8" t="s">
        <v>347</v>
      </c>
      <c r="C372" s="8" t="s">
        <v>563</v>
      </c>
      <c r="D372" s="8" t="s">
        <v>564</v>
      </c>
      <c r="E372" s="25">
        <v>220</v>
      </c>
      <c r="F372" s="25">
        <v>20</v>
      </c>
      <c r="G372" s="25">
        <v>200</v>
      </c>
      <c r="O372" s="25"/>
    </row>
    <row r="373" spans="1:15" ht="12.5" x14ac:dyDescent="0.25">
      <c r="A373" s="8" t="s">
        <v>562</v>
      </c>
      <c r="B373" s="8" t="s">
        <v>128</v>
      </c>
      <c r="C373" s="8" t="s">
        <v>563</v>
      </c>
      <c r="D373" s="8" t="s">
        <v>565</v>
      </c>
      <c r="E373" s="25">
        <v>636.02</v>
      </c>
      <c r="F373" s="25">
        <v>57.82</v>
      </c>
      <c r="G373" s="25">
        <v>578.20000000000005</v>
      </c>
      <c r="O373" s="25"/>
    </row>
    <row r="374" spans="1:15" ht="12.5" x14ac:dyDescent="0.25">
      <c r="A374" s="8" t="s">
        <v>562</v>
      </c>
      <c r="B374" s="8" t="s">
        <v>356</v>
      </c>
      <c r="C374" s="8" t="s">
        <v>566</v>
      </c>
      <c r="D374" s="8" t="s">
        <v>567</v>
      </c>
      <c r="E374" s="25">
        <v>814</v>
      </c>
      <c r="F374" s="25">
        <v>74</v>
      </c>
      <c r="G374" s="25">
        <v>740</v>
      </c>
      <c r="O374" s="25"/>
    </row>
    <row r="375" spans="1:15" ht="12.5" x14ac:dyDescent="0.25">
      <c r="A375" s="8" t="s">
        <v>562</v>
      </c>
      <c r="B375" s="8" t="s">
        <v>356</v>
      </c>
      <c r="C375" s="8" t="s">
        <v>568</v>
      </c>
      <c r="D375" s="8" t="s">
        <v>569</v>
      </c>
      <c r="E375" s="25">
        <v>814</v>
      </c>
      <c r="F375" s="25">
        <v>74</v>
      </c>
      <c r="G375" s="25">
        <v>740</v>
      </c>
      <c r="O375" s="25"/>
    </row>
    <row r="376" spans="1:15" ht="12.5" x14ac:dyDescent="0.25">
      <c r="A376" s="8" t="s">
        <v>562</v>
      </c>
      <c r="B376" s="8" t="s">
        <v>356</v>
      </c>
      <c r="C376" s="8" t="s">
        <v>570</v>
      </c>
      <c r="D376" s="8" t="s">
        <v>571</v>
      </c>
      <c r="E376" s="25">
        <v>407</v>
      </c>
      <c r="F376" s="25">
        <v>37</v>
      </c>
      <c r="G376" s="25">
        <v>370</v>
      </c>
      <c r="O376" s="25"/>
    </row>
    <row r="377" spans="1:15" ht="12.5" x14ac:dyDescent="0.25">
      <c r="A377" s="8" t="s">
        <v>562</v>
      </c>
      <c r="B377" s="8" t="s">
        <v>356</v>
      </c>
      <c r="C377" s="8" t="s">
        <v>572</v>
      </c>
      <c r="D377" s="8" t="s">
        <v>573</v>
      </c>
      <c r="E377" s="25">
        <v>1017.5</v>
      </c>
      <c r="F377" s="25">
        <v>92.5</v>
      </c>
      <c r="G377" s="25">
        <v>925</v>
      </c>
      <c r="O377" s="25"/>
    </row>
    <row r="378" spans="1:15" ht="12.5" x14ac:dyDescent="0.25">
      <c r="A378" s="8" t="s">
        <v>574</v>
      </c>
      <c r="B378" s="8" t="s">
        <v>356</v>
      </c>
      <c r="C378" s="8" t="s">
        <v>575</v>
      </c>
      <c r="D378" s="8" t="s">
        <v>576</v>
      </c>
      <c r="E378" s="25">
        <v>610.5</v>
      </c>
      <c r="F378" s="25">
        <v>55.5</v>
      </c>
      <c r="G378" s="25">
        <v>555</v>
      </c>
      <c r="O378" s="25"/>
    </row>
    <row r="379" spans="1:15" ht="12.5" x14ac:dyDescent="0.25">
      <c r="A379" s="8" t="s">
        <v>574</v>
      </c>
      <c r="B379" s="8" t="s">
        <v>356</v>
      </c>
      <c r="C379" s="8" t="s">
        <v>577</v>
      </c>
      <c r="D379" s="8" t="s">
        <v>578</v>
      </c>
      <c r="E379" s="25">
        <v>874.5</v>
      </c>
      <c r="F379" s="25">
        <v>79.5</v>
      </c>
      <c r="G379" s="25">
        <v>795</v>
      </c>
      <c r="O379" s="25"/>
    </row>
    <row r="380" spans="1:15" ht="12.5" x14ac:dyDescent="0.25">
      <c r="A380" s="8" t="s">
        <v>574</v>
      </c>
      <c r="B380" s="8" t="s">
        <v>132</v>
      </c>
      <c r="C380" s="8" t="s">
        <v>577</v>
      </c>
      <c r="D380" s="8" t="s">
        <v>579</v>
      </c>
      <c r="E380" s="25">
        <v>162.86000000000001</v>
      </c>
      <c r="F380" s="25">
        <v>14.81</v>
      </c>
      <c r="G380" s="25">
        <v>148.05000000000001</v>
      </c>
      <c r="O380" s="25"/>
    </row>
    <row r="381" spans="1:15" ht="12.5" x14ac:dyDescent="0.25">
      <c r="A381" s="8" t="s">
        <v>574</v>
      </c>
      <c r="B381" s="8" t="s">
        <v>132</v>
      </c>
      <c r="C381" s="8" t="s">
        <v>577</v>
      </c>
      <c r="D381" s="8" t="s">
        <v>580</v>
      </c>
      <c r="E381" s="25">
        <v>-171.62</v>
      </c>
      <c r="F381" s="25">
        <v>-15.6</v>
      </c>
      <c r="G381" s="25">
        <v>-156.02000000000001</v>
      </c>
      <c r="O381" s="25"/>
    </row>
    <row r="382" spans="1:15" ht="12.5" x14ac:dyDescent="0.25">
      <c r="A382" s="8" t="s">
        <v>574</v>
      </c>
      <c r="B382" s="8" t="s">
        <v>356</v>
      </c>
      <c r="C382" s="8" t="s">
        <v>581</v>
      </c>
      <c r="D382" s="8" t="s">
        <v>582</v>
      </c>
      <c r="E382" s="25">
        <v>1017.5</v>
      </c>
      <c r="F382" s="25">
        <v>92.5</v>
      </c>
      <c r="G382" s="25">
        <v>925</v>
      </c>
      <c r="O382" s="25"/>
    </row>
    <row r="383" spans="1:15" ht="12.5" x14ac:dyDescent="0.25">
      <c r="A383" s="8" t="s">
        <v>583</v>
      </c>
      <c r="B383" s="8" t="s">
        <v>347</v>
      </c>
      <c r="C383" s="8" t="s">
        <v>584</v>
      </c>
      <c r="D383" s="8" t="s">
        <v>585</v>
      </c>
      <c r="E383" s="25">
        <v>110</v>
      </c>
      <c r="F383" s="25">
        <v>10</v>
      </c>
      <c r="G383" s="25">
        <v>100</v>
      </c>
      <c r="O383" s="25"/>
    </row>
    <row r="384" spans="1:15" ht="12.5" x14ac:dyDescent="0.25">
      <c r="A384" s="8" t="s">
        <v>583</v>
      </c>
      <c r="B384" s="8" t="s">
        <v>128</v>
      </c>
      <c r="C384" s="8" t="s">
        <v>584</v>
      </c>
      <c r="D384" s="8" t="s">
        <v>586</v>
      </c>
      <c r="E384" s="25">
        <v>158.4</v>
      </c>
      <c r="F384" s="25">
        <v>14.4</v>
      </c>
      <c r="G384" s="25">
        <v>144</v>
      </c>
      <c r="O384" s="25"/>
    </row>
    <row r="385" spans="1:15" ht="12.5" x14ac:dyDescent="0.25">
      <c r="A385" s="8" t="s">
        <v>587</v>
      </c>
      <c r="B385" s="8" t="s">
        <v>588</v>
      </c>
      <c r="C385" s="8" t="s">
        <v>527</v>
      </c>
      <c r="D385" s="8" t="s">
        <v>528</v>
      </c>
      <c r="E385" s="25">
        <v>-6534</v>
      </c>
      <c r="F385" s="25">
        <v>-594</v>
      </c>
      <c r="G385" s="25">
        <v>-5940</v>
      </c>
      <c r="O385" s="25"/>
    </row>
    <row r="386" spans="1:15" ht="12.5" x14ac:dyDescent="0.25">
      <c r="A386" s="8" t="s">
        <v>587</v>
      </c>
      <c r="B386" s="8" t="s">
        <v>588</v>
      </c>
      <c r="C386" s="8" t="s">
        <v>527</v>
      </c>
      <c r="D386" s="8" t="s">
        <v>529</v>
      </c>
      <c r="E386" s="25">
        <v>-1122</v>
      </c>
      <c r="F386" s="25">
        <v>-102</v>
      </c>
      <c r="G386" s="25">
        <v>-1020</v>
      </c>
      <c r="O386" s="25"/>
    </row>
    <row r="387" spans="1:15" ht="12.5" x14ac:dyDescent="0.25">
      <c r="A387" s="8" t="s">
        <v>587</v>
      </c>
      <c r="B387" s="8" t="s">
        <v>588</v>
      </c>
      <c r="C387" s="8" t="s">
        <v>527</v>
      </c>
      <c r="D387" s="8" t="s">
        <v>530</v>
      </c>
      <c r="E387" s="25">
        <v>-1188</v>
      </c>
      <c r="F387" s="25">
        <v>-108</v>
      </c>
      <c r="G387" s="25">
        <v>-1080</v>
      </c>
      <c r="O387" s="25"/>
    </row>
    <row r="388" spans="1:15" ht="12.5" x14ac:dyDescent="0.25">
      <c r="A388" s="8" t="s">
        <v>587</v>
      </c>
      <c r="B388" s="8" t="s">
        <v>588</v>
      </c>
      <c r="C388" s="8" t="s">
        <v>527</v>
      </c>
      <c r="D388" s="8" t="s">
        <v>531</v>
      </c>
      <c r="E388" s="25">
        <v>-396</v>
      </c>
      <c r="F388" s="25">
        <v>-36</v>
      </c>
      <c r="G388" s="25">
        <v>-360</v>
      </c>
      <c r="O388" s="25"/>
    </row>
    <row r="389" spans="1:15" ht="12.5" x14ac:dyDescent="0.25">
      <c r="A389" s="8" t="s">
        <v>587</v>
      </c>
      <c r="B389" s="8" t="s">
        <v>347</v>
      </c>
      <c r="C389" s="8" t="s">
        <v>589</v>
      </c>
      <c r="D389" s="8" t="s">
        <v>590</v>
      </c>
      <c r="E389" s="25">
        <v>220</v>
      </c>
      <c r="F389" s="25">
        <v>20</v>
      </c>
      <c r="G389" s="25">
        <v>200</v>
      </c>
      <c r="O389" s="25"/>
    </row>
    <row r="390" spans="1:15" ht="12.5" x14ac:dyDescent="0.25">
      <c r="A390" s="8" t="s">
        <v>587</v>
      </c>
      <c r="B390" s="8" t="s">
        <v>347</v>
      </c>
      <c r="C390" s="8" t="s">
        <v>589</v>
      </c>
      <c r="D390" s="8" t="s">
        <v>591</v>
      </c>
      <c r="E390" s="25">
        <v>-220</v>
      </c>
      <c r="F390" s="25">
        <v>-20</v>
      </c>
      <c r="G390" s="25">
        <v>-200</v>
      </c>
      <c r="O390" s="25"/>
    </row>
    <row r="391" spans="1:15" ht="12.5" x14ac:dyDescent="0.25">
      <c r="A391" s="8" t="s">
        <v>587</v>
      </c>
      <c r="B391" s="8" t="s">
        <v>128</v>
      </c>
      <c r="C391" s="8" t="s">
        <v>589</v>
      </c>
      <c r="D391" s="8" t="s">
        <v>592</v>
      </c>
      <c r="E391" s="25">
        <v>297</v>
      </c>
      <c r="F391" s="25">
        <v>27</v>
      </c>
      <c r="G391" s="25">
        <v>270</v>
      </c>
      <c r="O391" s="25"/>
    </row>
    <row r="392" spans="1:15" ht="12.5" x14ac:dyDescent="0.25">
      <c r="A392" s="8" t="s">
        <v>587</v>
      </c>
      <c r="B392" s="8" t="s">
        <v>128</v>
      </c>
      <c r="C392" s="8" t="s">
        <v>589</v>
      </c>
      <c r="D392" s="8" t="s">
        <v>593</v>
      </c>
      <c r="E392" s="25">
        <v>-297</v>
      </c>
      <c r="F392" s="25">
        <v>-27</v>
      </c>
      <c r="G392" s="25">
        <v>-270</v>
      </c>
      <c r="O392" s="25"/>
    </row>
    <row r="393" spans="1:15" ht="12.5" x14ac:dyDescent="0.25">
      <c r="A393" s="8" t="s">
        <v>594</v>
      </c>
      <c r="B393" s="8" t="s">
        <v>132</v>
      </c>
      <c r="C393" s="8" t="s">
        <v>595</v>
      </c>
      <c r="D393" s="8" t="s">
        <v>596</v>
      </c>
      <c r="E393" s="25">
        <v>357.5</v>
      </c>
      <c r="F393" s="25">
        <v>32.5</v>
      </c>
      <c r="G393" s="25">
        <v>325</v>
      </c>
      <c r="O393" s="25"/>
    </row>
    <row r="394" spans="1:15" ht="12.5" x14ac:dyDescent="0.25">
      <c r="A394" s="8" t="s">
        <v>594</v>
      </c>
      <c r="B394" s="8" t="s">
        <v>128</v>
      </c>
      <c r="C394" s="8" t="s">
        <v>597</v>
      </c>
      <c r="D394" s="8" t="s">
        <v>598</v>
      </c>
      <c r="E394" s="25">
        <v>-527.12</v>
      </c>
      <c r="F394" s="25">
        <v>-47.92</v>
      </c>
      <c r="G394" s="25">
        <v>-479.2</v>
      </c>
      <c r="O394" s="25"/>
    </row>
    <row r="395" spans="1:15" ht="12.5" x14ac:dyDescent="0.25">
      <c r="A395" s="8" t="s">
        <v>599</v>
      </c>
      <c r="B395" s="8" t="s">
        <v>347</v>
      </c>
      <c r="C395" s="8" t="s">
        <v>600</v>
      </c>
      <c r="D395" s="8" t="s">
        <v>601</v>
      </c>
      <c r="E395" s="25">
        <v>110</v>
      </c>
      <c r="F395" s="25">
        <v>10</v>
      </c>
      <c r="G395" s="25">
        <v>100</v>
      </c>
      <c r="O395" s="25"/>
    </row>
    <row r="396" spans="1:15" ht="12.5" x14ac:dyDescent="0.25">
      <c r="A396" s="8" t="s">
        <v>599</v>
      </c>
      <c r="B396" s="8" t="s">
        <v>128</v>
      </c>
      <c r="C396" s="8" t="s">
        <v>600</v>
      </c>
      <c r="D396" s="8" t="s">
        <v>602</v>
      </c>
      <c r="E396" s="25">
        <v>600.82000000000005</v>
      </c>
      <c r="F396" s="25">
        <v>54.62</v>
      </c>
      <c r="G396" s="25">
        <v>546.20000000000005</v>
      </c>
      <c r="O396" s="25"/>
    </row>
    <row r="397" spans="1:15" ht="12.5" x14ac:dyDescent="0.25">
      <c r="A397" s="8" t="s">
        <v>599</v>
      </c>
      <c r="B397" s="8" t="s">
        <v>356</v>
      </c>
      <c r="C397" s="8" t="s">
        <v>357</v>
      </c>
      <c r="D397" s="8" t="s">
        <v>603</v>
      </c>
      <c r="E397" s="25">
        <v>407</v>
      </c>
      <c r="F397" s="25">
        <v>37</v>
      </c>
      <c r="G397" s="25">
        <v>370</v>
      </c>
      <c r="O397" s="25"/>
    </row>
    <row r="398" spans="1:15" ht="12.5" x14ac:dyDescent="0.25">
      <c r="A398" s="8" t="s">
        <v>599</v>
      </c>
      <c r="B398" s="8" t="s">
        <v>356</v>
      </c>
      <c r="C398" s="8" t="s">
        <v>357</v>
      </c>
      <c r="D398" s="8" t="s">
        <v>604</v>
      </c>
      <c r="E398" s="25">
        <v>407</v>
      </c>
      <c r="F398" s="25">
        <v>37</v>
      </c>
      <c r="G398" s="25">
        <v>370</v>
      </c>
      <c r="O398" s="25"/>
    </row>
    <row r="399" spans="1:15" ht="12.5" x14ac:dyDescent="0.25">
      <c r="A399" s="8" t="s">
        <v>605</v>
      </c>
      <c r="B399" s="8" t="s">
        <v>347</v>
      </c>
      <c r="C399" s="8" t="s">
        <v>606</v>
      </c>
      <c r="D399" s="8" t="s">
        <v>607</v>
      </c>
      <c r="E399" s="25">
        <v>4290</v>
      </c>
      <c r="F399" s="25">
        <v>390</v>
      </c>
      <c r="G399" s="25">
        <v>3900</v>
      </c>
      <c r="O399" s="25"/>
    </row>
    <row r="400" spans="1:15" ht="12.5" x14ac:dyDescent="0.25">
      <c r="A400" s="8" t="s">
        <v>605</v>
      </c>
      <c r="B400" s="8" t="s">
        <v>347</v>
      </c>
      <c r="C400" s="8" t="s">
        <v>606</v>
      </c>
      <c r="D400" s="8" t="s">
        <v>608</v>
      </c>
      <c r="E400" s="25">
        <v>-429</v>
      </c>
      <c r="F400" s="25">
        <v>-39</v>
      </c>
      <c r="G400" s="25">
        <v>-390</v>
      </c>
      <c r="O400" s="25"/>
    </row>
    <row r="401" spans="1:15" ht="12.5" x14ac:dyDescent="0.25">
      <c r="A401" s="8" t="s">
        <v>605</v>
      </c>
      <c r="B401" s="8" t="s">
        <v>347</v>
      </c>
      <c r="C401" s="8" t="s">
        <v>606</v>
      </c>
      <c r="D401" s="8" t="s">
        <v>609</v>
      </c>
      <c r="E401" s="25">
        <v>874.5</v>
      </c>
      <c r="F401" s="25">
        <v>79.5</v>
      </c>
      <c r="G401" s="25">
        <v>795</v>
      </c>
      <c r="O401" s="25"/>
    </row>
    <row r="402" spans="1:15" ht="12.5" x14ac:dyDescent="0.25">
      <c r="A402" s="8" t="s">
        <v>605</v>
      </c>
      <c r="B402" s="8" t="s">
        <v>347</v>
      </c>
      <c r="C402" s="8" t="s">
        <v>606</v>
      </c>
      <c r="D402" s="8" t="s">
        <v>610</v>
      </c>
      <c r="E402" s="25">
        <v>654.5</v>
      </c>
      <c r="F402" s="25">
        <v>59.5</v>
      </c>
      <c r="G402" s="25">
        <v>595</v>
      </c>
      <c r="O402" s="25"/>
    </row>
    <row r="403" spans="1:15" ht="12.5" x14ac:dyDescent="0.25">
      <c r="A403" s="8" t="s">
        <v>605</v>
      </c>
      <c r="B403" s="8" t="s">
        <v>128</v>
      </c>
      <c r="C403" s="8" t="s">
        <v>611</v>
      </c>
      <c r="D403" s="8" t="s">
        <v>612</v>
      </c>
      <c r="E403" s="25">
        <v>2508</v>
      </c>
      <c r="F403" s="25">
        <v>228</v>
      </c>
      <c r="G403" s="25">
        <v>2280</v>
      </c>
      <c r="O403" s="25"/>
    </row>
    <row r="404" spans="1:15" ht="12.5" x14ac:dyDescent="0.25">
      <c r="A404" s="8" t="s">
        <v>605</v>
      </c>
      <c r="B404" s="8" t="s">
        <v>128</v>
      </c>
      <c r="C404" s="8" t="s">
        <v>611</v>
      </c>
      <c r="D404" s="8" t="s">
        <v>613</v>
      </c>
      <c r="E404" s="25">
        <v>82.5</v>
      </c>
      <c r="F404" s="25">
        <v>7.5</v>
      </c>
      <c r="G404" s="25">
        <v>75</v>
      </c>
      <c r="O404" s="25"/>
    </row>
    <row r="405" spans="1:15" ht="12.5" x14ac:dyDescent="0.25">
      <c r="A405" s="8" t="s">
        <v>614</v>
      </c>
      <c r="B405" s="8" t="s">
        <v>347</v>
      </c>
      <c r="C405" s="8" t="s">
        <v>615</v>
      </c>
      <c r="D405" s="8" t="s">
        <v>616</v>
      </c>
      <c r="E405" s="25">
        <v>110</v>
      </c>
      <c r="F405" s="25">
        <v>10</v>
      </c>
      <c r="G405" s="25">
        <v>100</v>
      </c>
      <c r="O405" s="25"/>
    </row>
    <row r="406" spans="1:15" ht="12.5" x14ac:dyDescent="0.25">
      <c r="A406" s="8" t="s">
        <v>614</v>
      </c>
      <c r="B406" s="8" t="s">
        <v>347</v>
      </c>
      <c r="C406" s="8" t="s">
        <v>615</v>
      </c>
      <c r="D406" s="8" t="s">
        <v>617</v>
      </c>
      <c r="E406" s="25">
        <v>-110</v>
      </c>
      <c r="F406" s="25">
        <v>-10</v>
      </c>
      <c r="G406" s="25">
        <v>-100</v>
      </c>
      <c r="O406" s="25"/>
    </row>
    <row r="407" spans="1:15" ht="12.5" x14ac:dyDescent="0.25">
      <c r="A407" s="8" t="s">
        <v>614</v>
      </c>
      <c r="B407" s="8" t="s">
        <v>128</v>
      </c>
      <c r="C407" s="8" t="s">
        <v>615</v>
      </c>
      <c r="D407" s="8" t="s">
        <v>618</v>
      </c>
      <c r="E407" s="25">
        <v>148.5</v>
      </c>
      <c r="F407" s="25">
        <v>13.5</v>
      </c>
      <c r="G407" s="25">
        <v>135</v>
      </c>
      <c r="O407" s="25"/>
    </row>
    <row r="408" spans="1:15" ht="12.5" x14ac:dyDescent="0.25">
      <c r="A408" s="8" t="s">
        <v>614</v>
      </c>
      <c r="B408" s="8" t="s">
        <v>128</v>
      </c>
      <c r="C408" s="8" t="s">
        <v>615</v>
      </c>
      <c r="D408" s="8" t="s">
        <v>619</v>
      </c>
      <c r="E408" s="25">
        <v>-148.5</v>
      </c>
      <c r="F408" s="25">
        <v>-13.5</v>
      </c>
      <c r="G408" s="25">
        <v>-135</v>
      </c>
      <c r="O408" s="25"/>
    </row>
    <row r="409" spans="1:15" ht="12.5" x14ac:dyDescent="0.25">
      <c r="A409" s="8" t="s">
        <v>614</v>
      </c>
      <c r="B409" s="8" t="s">
        <v>347</v>
      </c>
      <c r="C409" s="8" t="s">
        <v>620</v>
      </c>
      <c r="D409" s="8" t="s">
        <v>621</v>
      </c>
      <c r="E409" s="25">
        <v>110</v>
      </c>
      <c r="F409" s="25">
        <v>10</v>
      </c>
      <c r="G409" s="25">
        <v>100</v>
      </c>
      <c r="O409" s="25"/>
    </row>
    <row r="410" spans="1:15" ht="12.5" x14ac:dyDescent="0.25">
      <c r="A410" s="8" t="s">
        <v>614</v>
      </c>
      <c r="B410" s="8" t="s">
        <v>347</v>
      </c>
      <c r="C410" s="8" t="s">
        <v>620</v>
      </c>
      <c r="D410" s="8" t="s">
        <v>622</v>
      </c>
      <c r="E410" s="25">
        <v>-110</v>
      </c>
      <c r="F410" s="25">
        <v>-10</v>
      </c>
      <c r="G410" s="25">
        <v>-100</v>
      </c>
      <c r="O410" s="25"/>
    </row>
    <row r="411" spans="1:15" ht="12.5" x14ac:dyDescent="0.25">
      <c r="A411" s="8" t="s">
        <v>614</v>
      </c>
      <c r="B411" s="8" t="s">
        <v>128</v>
      </c>
      <c r="C411" s="8" t="s">
        <v>620</v>
      </c>
      <c r="D411" s="8" t="s">
        <v>623</v>
      </c>
      <c r="E411" s="25">
        <v>330</v>
      </c>
      <c r="F411" s="25">
        <v>30</v>
      </c>
      <c r="G411" s="25">
        <v>300</v>
      </c>
      <c r="O411" s="25"/>
    </row>
    <row r="412" spans="1:15" ht="12.5" x14ac:dyDescent="0.25">
      <c r="A412" s="8" t="s">
        <v>614</v>
      </c>
      <c r="B412" s="8" t="s">
        <v>128</v>
      </c>
      <c r="C412" s="8" t="s">
        <v>620</v>
      </c>
      <c r="D412" s="8" t="s">
        <v>624</v>
      </c>
      <c r="E412" s="25">
        <v>-330</v>
      </c>
      <c r="F412" s="25">
        <v>-30</v>
      </c>
      <c r="G412" s="25">
        <v>-300</v>
      </c>
      <c r="O412" s="25"/>
    </row>
    <row r="413" spans="1:15" ht="12.5" x14ac:dyDescent="0.25">
      <c r="A413" s="8" t="s">
        <v>625</v>
      </c>
      <c r="B413" s="8" t="s">
        <v>356</v>
      </c>
      <c r="C413" s="8" t="s">
        <v>357</v>
      </c>
      <c r="D413" s="8" t="s">
        <v>626</v>
      </c>
      <c r="E413" s="25">
        <v>1628</v>
      </c>
      <c r="F413" s="25">
        <v>148</v>
      </c>
      <c r="G413" s="25">
        <v>1480</v>
      </c>
      <c r="O413" s="25"/>
    </row>
    <row r="414" spans="1:15" ht="12.5" x14ac:dyDescent="0.25">
      <c r="A414" s="8" t="s">
        <v>625</v>
      </c>
      <c r="B414" s="8" t="s">
        <v>356</v>
      </c>
      <c r="C414" s="8" t="s">
        <v>627</v>
      </c>
      <c r="D414" s="8" t="s">
        <v>628</v>
      </c>
      <c r="E414" s="25">
        <v>814</v>
      </c>
      <c r="F414" s="25">
        <v>74</v>
      </c>
      <c r="G414" s="25">
        <v>740</v>
      </c>
      <c r="O414" s="25"/>
    </row>
    <row r="415" spans="1:15" ht="12.5" x14ac:dyDescent="0.25">
      <c r="A415" s="8" t="s">
        <v>625</v>
      </c>
      <c r="B415" s="8" t="s">
        <v>356</v>
      </c>
      <c r="C415" s="8" t="s">
        <v>629</v>
      </c>
      <c r="D415" s="8" t="s">
        <v>630</v>
      </c>
      <c r="E415" s="25">
        <v>814</v>
      </c>
      <c r="F415" s="25">
        <v>74</v>
      </c>
      <c r="G415" s="25">
        <v>740</v>
      </c>
      <c r="O415" s="25"/>
    </row>
    <row r="416" spans="1:15" ht="12.5" x14ac:dyDescent="0.25">
      <c r="A416" s="8" t="s">
        <v>625</v>
      </c>
      <c r="B416" s="8" t="s">
        <v>347</v>
      </c>
      <c r="C416" s="8" t="s">
        <v>631</v>
      </c>
      <c r="D416" s="8" t="s">
        <v>632</v>
      </c>
      <c r="E416" s="25">
        <v>5445</v>
      </c>
      <c r="F416" s="25">
        <v>495</v>
      </c>
      <c r="G416" s="25">
        <v>4950</v>
      </c>
      <c r="O416" s="25"/>
    </row>
    <row r="417" spans="1:15" ht="12.5" x14ac:dyDescent="0.25">
      <c r="A417" s="8" t="s">
        <v>625</v>
      </c>
      <c r="B417" s="8" t="s">
        <v>128</v>
      </c>
      <c r="C417" s="8" t="s">
        <v>633</v>
      </c>
      <c r="D417" s="8" t="s">
        <v>634</v>
      </c>
      <c r="E417" s="25">
        <v>1303.5</v>
      </c>
      <c r="F417" s="25">
        <v>118.5</v>
      </c>
      <c r="G417" s="25">
        <v>1185</v>
      </c>
      <c r="O417" s="25"/>
    </row>
    <row r="418" spans="1:15" ht="12.5" x14ac:dyDescent="0.25">
      <c r="A418" s="8" t="s">
        <v>625</v>
      </c>
      <c r="B418" s="8" t="s">
        <v>356</v>
      </c>
      <c r="C418" s="8" t="s">
        <v>635</v>
      </c>
      <c r="D418" s="8" t="s">
        <v>636</v>
      </c>
      <c r="E418" s="25">
        <v>-407</v>
      </c>
      <c r="F418" s="25">
        <v>-37</v>
      </c>
      <c r="G418" s="25">
        <v>-370</v>
      </c>
      <c r="O418" s="25"/>
    </row>
    <row r="419" spans="1:15" ht="12.5" x14ac:dyDescent="0.25">
      <c r="A419" s="8" t="s">
        <v>625</v>
      </c>
      <c r="B419" s="8" t="s">
        <v>132</v>
      </c>
      <c r="C419" s="8" t="s">
        <v>637</v>
      </c>
      <c r="D419" s="8" t="s">
        <v>638</v>
      </c>
      <c r="E419" s="25">
        <v>-1066.3</v>
      </c>
      <c r="F419" s="25">
        <v>-96.94</v>
      </c>
      <c r="G419" s="25">
        <v>-969.36</v>
      </c>
      <c r="O419" s="25"/>
    </row>
    <row r="420" spans="1:15" ht="12.5" x14ac:dyDescent="0.25">
      <c r="A420" s="8" t="s">
        <v>625</v>
      </c>
      <c r="B420" s="8" t="s">
        <v>132</v>
      </c>
      <c r="C420" s="8" t="s">
        <v>637</v>
      </c>
      <c r="D420" s="8" t="s">
        <v>639</v>
      </c>
      <c r="E420" s="25">
        <v>-82.5</v>
      </c>
      <c r="F420" s="25">
        <v>-7.5</v>
      </c>
      <c r="G420" s="25">
        <v>-75</v>
      </c>
      <c r="O420" s="25"/>
    </row>
    <row r="421" spans="1:15" ht="12.5" x14ac:dyDescent="0.25">
      <c r="A421" s="8" t="s">
        <v>625</v>
      </c>
      <c r="B421" s="8" t="s">
        <v>347</v>
      </c>
      <c r="C421" s="8" t="s">
        <v>640</v>
      </c>
      <c r="D421" s="8" t="s">
        <v>641</v>
      </c>
      <c r="E421" s="25">
        <v>330</v>
      </c>
      <c r="F421" s="25">
        <v>30</v>
      </c>
      <c r="G421" s="25">
        <v>300</v>
      </c>
      <c r="O421" s="25"/>
    </row>
    <row r="422" spans="1:15" ht="12.5" x14ac:dyDescent="0.25">
      <c r="A422" s="8" t="s">
        <v>625</v>
      </c>
      <c r="B422" s="8" t="s">
        <v>347</v>
      </c>
      <c r="C422" s="8" t="s">
        <v>640</v>
      </c>
      <c r="D422" s="8" t="s">
        <v>642</v>
      </c>
      <c r="E422" s="25">
        <v>-330</v>
      </c>
      <c r="F422" s="25">
        <v>-30</v>
      </c>
      <c r="G422" s="25">
        <v>-300</v>
      </c>
      <c r="O422" s="25"/>
    </row>
    <row r="423" spans="1:15" ht="12.5" x14ac:dyDescent="0.25">
      <c r="A423" s="8" t="s">
        <v>625</v>
      </c>
      <c r="B423" s="8" t="s">
        <v>128</v>
      </c>
      <c r="C423" s="8" t="s">
        <v>640</v>
      </c>
      <c r="D423" s="8" t="s">
        <v>643</v>
      </c>
      <c r="E423" s="25">
        <v>445.5</v>
      </c>
      <c r="F423" s="25">
        <v>40.5</v>
      </c>
      <c r="G423" s="25">
        <v>405</v>
      </c>
      <c r="O423" s="25"/>
    </row>
    <row r="424" spans="1:15" ht="12.5" x14ac:dyDescent="0.25">
      <c r="A424" s="8" t="s">
        <v>625</v>
      </c>
      <c r="B424" s="8" t="s">
        <v>128</v>
      </c>
      <c r="C424" s="8" t="s">
        <v>640</v>
      </c>
      <c r="D424" s="8" t="s">
        <v>644</v>
      </c>
      <c r="E424" s="25">
        <v>-445.5</v>
      </c>
      <c r="F424" s="25">
        <v>-40.5</v>
      </c>
      <c r="G424" s="25">
        <v>-405</v>
      </c>
      <c r="O424" s="25"/>
    </row>
    <row r="425" spans="1:15" ht="12.5" x14ac:dyDescent="0.25">
      <c r="A425" s="8" t="s">
        <v>625</v>
      </c>
      <c r="B425" s="8" t="s">
        <v>356</v>
      </c>
      <c r="C425" s="8" t="s">
        <v>645</v>
      </c>
      <c r="D425" s="8" t="s">
        <v>646</v>
      </c>
      <c r="E425" s="25">
        <v>1221</v>
      </c>
      <c r="F425" s="25">
        <v>111</v>
      </c>
      <c r="G425" s="25">
        <v>1110</v>
      </c>
      <c r="O425" s="25"/>
    </row>
    <row r="426" spans="1:15" ht="12.5" x14ac:dyDescent="0.25">
      <c r="A426" s="8" t="s">
        <v>625</v>
      </c>
      <c r="B426" s="8" t="s">
        <v>356</v>
      </c>
      <c r="C426" s="8" t="s">
        <v>647</v>
      </c>
      <c r="D426" s="8" t="s">
        <v>648</v>
      </c>
      <c r="E426" s="25">
        <v>407</v>
      </c>
      <c r="F426" s="25">
        <v>37</v>
      </c>
      <c r="G426" s="25">
        <v>370</v>
      </c>
      <c r="O426" s="25"/>
    </row>
    <row r="427" spans="1:15" ht="12.5" x14ac:dyDescent="0.25">
      <c r="A427" s="8" t="s">
        <v>625</v>
      </c>
      <c r="B427" s="8" t="s">
        <v>356</v>
      </c>
      <c r="C427" s="8" t="s">
        <v>627</v>
      </c>
      <c r="D427" s="8" t="s">
        <v>628</v>
      </c>
      <c r="E427" s="25">
        <v>-814</v>
      </c>
      <c r="F427" s="25">
        <v>-74</v>
      </c>
      <c r="G427" s="25">
        <v>-740</v>
      </c>
      <c r="O427" s="25"/>
    </row>
    <row r="428" spans="1:15" ht="12.5" x14ac:dyDescent="0.25">
      <c r="A428" s="8" t="s">
        <v>649</v>
      </c>
      <c r="B428" s="8" t="s">
        <v>347</v>
      </c>
      <c r="C428" s="8" t="s">
        <v>650</v>
      </c>
      <c r="D428" s="8" t="s">
        <v>651</v>
      </c>
      <c r="E428" s="25">
        <v>110</v>
      </c>
      <c r="F428" s="25">
        <v>10</v>
      </c>
      <c r="G428" s="25">
        <v>100</v>
      </c>
      <c r="O428" s="25"/>
    </row>
    <row r="429" spans="1:15" ht="12.5" x14ac:dyDescent="0.25">
      <c r="A429" s="8" t="s">
        <v>649</v>
      </c>
      <c r="B429" s="8" t="s">
        <v>347</v>
      </c>
      <c r="C429" s="8" t="s">
        <v>650</v>
      </c>
      <c r="D429" s="8" t="s">
        <v>652</v>
      </c>
      <c r="E429" s="25">
        <v>-110</v>
      </c>
      <c r="F429" s="25">
        <v>-10</v>
      </c>
      <c r="G429" s="25">
        <v>-100</v>
      </c>
      <c r="O429" s="25"/>
    </row>
    <row r="430" spans="1:15" ht="12.5" x14ac:dyDescent="0.25">
      <c r="A430" s="8" t="s">
        <v>649</v>
      </c>
      <c r="B430" s="8" t="s">
        <v>128</v>
      </c>
      <c r="C430" s="8" t="s">
        <v>650</v>
      </c>
      <c r="D430" s="8" t="s">
        <v>653</v>
      </c>
      <c r="E430" s="25">
        <v>148.5</v>
      </c>
      <c r="F430" s="25">
        <v>13.5</v>
      </c>
      <c r="G430" s="25">
        <v>135</v>
      </c>
      <c r="O430" s="25"/>
    </row>
    <row r="431" spans="1:15" ht="12.5" x14ac:dyDescent="0.25">
      <c r="A431" s="8" t="s">
        <v>649</v>
      </c>
      <c r="B431" s="8" t="s">
        <v>128</v>
      </c>
      <c r="C431" s="8" t="s">
        <v>650</v>
      </c>
      <c r="D431" s="8" t="s">
        <v>654</v>
      </c>
      <c r="E431" s="25">
        <v>-148.5</v>
      </c>
      <c r="F431" s="25">
        <v>-13.5</v>
      </c>
      <c r="G431" s="25">
        <v>-135</v>
      </c>
      <c r="O431" s="25"/>
    </row>
    <row r="432" spans="1:15" ht="12.5" x14ac:dyDescent="0.25">
      <c r="A432" s="8" t="s">
        <v>655</v>
      </c>
      <c r="B432" s="8" t="s">
        <v>356</v>
      </c>
      <c r="C432" s="8" t="s">
        <v>357</v>
      </c>
      <c r="D432" s="8" t="s">
        <v>656</v>
      </c>
      <c r="E432" s="25">
        <v>874.5</v>
      </c>
      <c r="F432" s="25">
        <v>79.5</v>
      </c>
      <c r="G432" s="25">
        <v>795</v>
      </c>
      <c r="O432" s="25"/>
    </row>
    <row r="433" spans="1:15" ht="12.5" x14ac:dyDescent="0.25">
      <c r="A433" s="8" t="s">
        <v>655</v>
      </c>
      <c r="B433" s="8" t="s">
        <v>132</v>
      </c>
      <c r="C433" s="8" t="s">
        <v>357</v>
      </c>
      <c r="D433" s="8" t="s">
        <v>657</v>
      </c>
      <c r="E433" s="25">
        <v>55</v>
      </c>
      <c r="F433" s="25">
        <v>5</v>
      </c>
      <c r="G433" s="25">
        <v>50</v>
      </c>
      <c r="O433" s="25"/>
    </row>
    <row r="434" spans="1:15" ht="12.5" x14ac:dyDescent="0.25">
      <c r="A434" s="8" t="s">
        <v>658</v>
      </c>
      <c r="B434" s="8" t="s">
        <v>132</v>
      </c>
      <c r="C434" s="8" t="s">
        <v>659</v>
      </c>
      <c r="D434" s="8" t="s">
        <v>660</v>
      </c>
      <c r="E434" s="25">
        <v>8464.5</v>
      </c>
      <c r="F434" s="25">
        <v>769.5</v>
      </c>
      <c r="G434" s="25">
        <v>7695</v>
      </c>
      <c r="O434" s="25"/>
    </row>
    <row r="435" spans="1:15" ht="12.5" x14ac:dyDescent="0.25">
      <c r="A435" s="8" t="s">
        <v>658</v>
      </c>
      <c r="B435" s="8" t="s">
        <v>132</v>
      </c>
      <c r="C435" s="8" t="s">
        <v>659</v>
      </c>
      <c r="D435" s="8" t="s">
        <v>661</v>
      </c>
      <c r="E435" s="25">
        <v>-8464.5</v>
      </c>
      <c r="F435" s="25">
        <v>-769.5</v>
      </c>
      <c r="G435" s="25">
        <v>-7695</v>
      </c>
      <c r="O435" s="25"/>
    </row>
    <row r="436" spans="1:15" ht="12.5" x14ac:dyDescent="0.25">
      <c r="A436" s="8" t="s">
        <v>658</v>
      </c>
      <c r="B436" s="8" t="s">
        <v>132</v>
      </c>
      <c r="C436" s="8" t="s">
        <v>659</v>
      </c>
      <c r="D436" s="8" t="s">
        <v>662</v>
      </c>
      <c r="E436" s="25">
        <v>423.23</v>
      </c>
      <c r="F436" s="25">
        <v>38.479999999999997</v>
      </c>
      <c r="G436" s="25">
        <v>384.75</v>
      </c>
      <c r="O436" s="25"/>
    </row>
    <row r="437" spans="1:15" ht="12.5" x14ac:dyDescent="0.25">
      <c r="A437" s="8" t="s">
        <v>658</v>
      </c>
      <c r="B437" s="8" t="s">
        <v>132</v>
      </c>
      <c r="C437" s="8" t="s">
        <v>659</v>
      </c>
      <c r="D437" s="8" t="s">
        <v>663</v>
      </c>
      <c r="E437" s="25">
        <v>-423.23</v>
      </c>
      <c r="F437" s="25">
        <v>-38.479999999999997</v>
      </c>
      <c r="G437" s="25">
        <v>-384.75</v>
      </c>
      <c r="O437" s="25"/>
    </row>
    <row r="438" spans="1:15" ht="12.5" x14ac:dyDescent="0.25">
      <c r="A438" s="8" t="s">
        <v>664</v>
      </c>
      <c r="B438" s="8" t="s">
        <v>132</v>
      </c>
      <c r="C438" s="8" t="s">
        <v>665</v>
      </c>
      <c r="D438" s="8" t="s">
        <v>666</v>
      </c>
      <c r="E438" s="25">
        <v>6534</v>
      </c>
      <c r="F438" s="25">
        <v>594</v>
      </c>
      <c r="G438" s="25">
        <v>5940</v>
      </c>
      <c r="O438" s="25"/>
    </row>
    <row r="439" spans="1:15" ht="12.5" x14ac:dyDescent="0.25">
      <c r="A439" s="8" t="s">
        <v>664</v>
      </c>
      <c r="B439" s="8" t="s">
        <v>132</v>
      </c>
      <c r="C439" s="8" t="s">
        <v>665</v>
      </c>
      <c r="D439" s="8" t="s">
        <v>667</v>
      </c>
      <c r="E439" s="25">
        <v>-6534</v>
      </c>
      <c r="F439" s="25">
        <v>-594</v>
      </c>
      <c r="G439" s="25">
        <v>-5940</v>
      </c>
      <c r="O439" s="25"/>
    </row>
    <row r="440" spans="1:15" ht="12.5" x14ac:dyDescent="0.25">
      <c r="A440" s="8" t="s">
        <v>664</v>
      </c>
      <c r="B440" s="8" t="s">
        <v>132</v>
      </c>
      <c r="C440" s="8" t="s">
        <v>665</v>
      </c>
      <c r="D440" s="8" t="s">
        <v>668</v>
      </c>
      <c r="E440" s="25">
        <v>326.7</v>
      </c>
      <c r="F440" s="25">
        <v>29.7</v>
      </c>
      <c r="G440" s="25">
        <v>297</v>
      </c>
      <c r="O440" s="25"/>
    </row>
    <row r="441" spans="1:15" ht="12.5" x14ac:dyDescent="0.25">
      <c r="A441" s="8" t="s">
        <v>664</v>
      </c>
      <c r="B441" s="8" t="s">
        <v>132</v>
      </c>
      <c r="C441" s="8" t="s">
        <v>665</v>
      </c>
      <c r="D441" s="8" t="s">
        <v>669</v>
      </c>
      <c r="E441" s="25">
        <v>-326.7</v>
      </c>
      <c r="F441" s="25">
        <v>-29.7</v>
      </c>
      <c r="G441" s="25">
        <v>-297</v>
      </c>
      <c r="O441" s="25"/>
    </row>
    <row r="442" spans="1:15" ht="12.5" x14ac:dyDescent="0.25">
      <c r="A442" s="8" t="s">
        <v>664</v>
      </c>
      <c r="B442" s="8" t="s">
        <v>132</v>
      </c>
      <c r="C442" s="8" t="s">
        <v>665</v>
      </c>
      <c r="D442" s="8" t="s">
        <v>670</v>
      </c>
      <c r="E442" s="25">
        <v>297</v>
      </c>
      <c r="F442" s="25">
        <v>27</v>
      </c>
      <c r="G442" s="25">
        <v>270</v>
      </c>
      <c r="O442" s="25"/>
    </row>
    <row r="443" spans="1:15" ht="12.5" x14ac:dyDescent="0.25">
      <c r="A443" s="8" t="s">
        <v>664</v>
      </c>
      <c r="B443" s="8" t="s">
        <v>132</v>
      </c>
      <c r="C443" s="8" t="s">
        <v>665</v>
      </c>
      <c r="D443" s="8" t="s">
        <v>671</v>
      </c>
      <c r="E443" s="25">
        <v>-297</v>
      </c>
      <c r="F443" s="25">
        <v>-27</v>
      </c>
      <c r="G443" s="25">
        <v>-270</v>
      </c>
      <c r="O443" s="25"/>
    </row>
    <row r="444" spans="1:15" ht="12.5" x14ac:dyDescent="0.25">
      <c r="A444" s="8" t="s">
        <v>664</v>
      </c>
      <c r="B444" s="8" t="s">
        <v>356</v>
      </c>
      <c r="C444" s="8" t="s">
        <v>629</v>
      </c>
      <c r="D444" s="8" t="s">
        <v>630</v>
      </c>
      <c r="E444" s="25">
        <v>-814</v>
      </c>
      <c r="F444" s="25">
        <v>-74</v>
      </c>
      <c r="G444" s="25">
        <v>-740</v>
      </c>
      <c r="O444" s="25"/>
    </row>
    <row r="445" spans="1:15" ht="12.5" x14ac:dyDescent="0.25">
      <c r="A445" s="8" t="s">
        <v>672</v>
      </c>
      <c r="B445" s="8" t="s">
        <v>132</v>
      </c>
      <c r="C445" s="8" t="s">
        <v>673</v>
      </c>
      <c r="D445" s="8" t="s">
        <v>674</v>
      </c>
      <c r="E445" s="25">
        <v>5643</v>
      </c>
      <c r="F445" s="25">
        <v>513</v>
      </c>
      <c r="G445" s="25">
        <v>5130</v>
      </c>
      <c r="O445" s="25"/>
    </row>
    <row r="446" spans="1:15" ht="12.5" x14ac:dyDescent="0.25">
      <c r="A446" s="8" t="s">
        <v>672</v>
      </c>
      <c r="B446" s="8" t="s">
        <v>132</v>
      </c>
      <c r="C446" s="8" t="s">
        <v>673</v>
      </c>
      <c r="D446" s="8" t="s">
        <v>675</v>
      </c>
      <c r="E446" s="25">
        <v>-5643</v>
      </c>
      <c r="F446" s="25">
        <v>-513</v>
      </c>
      <c r="G446" s="25">
        <v>-5130</v>
      </c>
      <c r="O446" s="25"/>
    </row>
    <row r="447" spans="1:15" ht="12.5" x14ac:dyDescent="0.25">
      <c r="A447" s="8" t="s">
        <v>672</v>
      </c>
      <c r="B447" s="8" t="s">
        <v>132</v>
      </c>
      <c r="C447" s="8" t="s">
        <v>673</v>
      </c>
      <c r="D447" s="8" t="s">
        <v>676</v>
      </c>
      <c r="E447" s="25">
        <v>282.14999999999998</v>
      </c>
      <c r="F447" s="25">
        <v>25.65</v>
      </c>
      <c r="G447" s="25">
        <v>256.5</v>
      </c>
      <c r="O447" s="26"/>
    </row>
    <row r="448" spans="1:15" ht="12.5" x14ac:dyDescent="0.25">
      <c r="A448" s="8" t="s">
        <v>672</v>
      </c>
      <c r="B448" s="8" t="s">
        <v>132</v>
      </c>
      <c r="C448" s="8" t="s">
        <v>673</v>
      </c>
      <c r="D448" s="8" t="s">
        <v>663</v>
      </c>
      <c r="E448" s="25">
        <v>-282.14999999999998</v>
      </c>
      <c r="F448" s="25">
        <v>-25.65</v>
      </c>
      <c r="G448" s="25">
        <v>-256.5</v>
      </c>
    </row>
    <row r="449" spans="1:15" ht="12.5" x14ac:dyDescent="0.25">
      <c r="A449" s="8" t="s">
        <v>672</v>
      </c>
      <c r="B449" s="8" t="s">
        <v>347</v>
      </c>
      <c r="C449" s="8" t="s">
        <v>677</v>
      </c>
      <c r="D449" s="8" t="s">
        <v>678</v>
      </c>
      <c r="E449" s="25">
        <v>220</v>
      </c>
      <c r="F449" s="25">
        <v>20</v>
      </c>
      <c r="G449" s="25">
        <v>200</v>
      </c>
    </row>
    <row r="450" spans="1:15" ht="12.5" x14ac:dyDescent="0.25">
      <c r="A450" s="8" t="s">
        <v>672</v>
      </c>
      <c r="B450" s="8" t="s">
        <v>347</v>
      </c>
      <c r="C450" s="8" t="s">
        <v>677</v>
      </c>
      <c r="D450" s="8" t="s">
        <v>679</v>
      </c>
      <c r="E450" s="25">
        <v>-220</v>
      </c>
      <c r="F450" s="25">
        <v>-20</v>
      </c>
      <c r="G450" s="25">
        <v>-200</v>
      </c>
      <c r="O450" s="25"/>
    </row>
    <row r="451" spans="1:15" ht="12.5" x14ac:dyDescent="0.25">
      <c r="A451" s="8" t="s">
        <v>672</v>
      </c>
      <c r="B451" s="8" t="s">
        <v>128</v>
      </c>
      <c r="C451" s="8" t="s">
        <v>677</v>
      </c>
      <c r="D451" s="8" t="s">
        <v>680</v>
      </c>
      <c r="E451" s="25">
        <v>660</v>
      </c>
      <c r="F451" s="25">
        <v>60</v>
      </c>
      <c r="G451" s="25">
        <v>600</v>
      </c>
      <c r="O451" s="25"/>
    </row>
    <row r="452" spans="1:15" ht="12.5" x14ac:dyDescent="0.25">
      <c r="A452" s="8" t="s">
        <v>672</v>
      </c>
      <c r="B452" s="8" t="s">
        <v>128</v>
      </c>
      <c r="C452" s="8" t="s">
        <v>677</v>
      </c>
      <c r="D452" s="8" t="s">
        <v>681</v>
      </c>
      <c r="E452" s="25">
        <v>-660</v>
      </c>
      <c r="F452" s="25">
        <v>-60</v>
      </c>
      <c r="G452" s="25">
        <v>-600</v>
      </c>
      <c r="O452" s="25"/>
    </row>
    <row r="453" spans="1:15" ht="12.5" x14ac:dyDescent="0.25">
      <c r="A453" s="8" t="s">
        <v>672</v>
      </c>
      <c r="B453" s="8" t="s">
        <v>682</v>
      </c>
      <c r="C453" s="8" t="s">
        <v>683</v>
      </c>
      <c r="D453" s="8" t="s">
        <v>684</v>
      </c>
      <c r="E453" s="25">
        <v>9355.5</v>
      </c>
      <c r="F453" s="25">
        <v>850.5</v>
      </c>
      <c r="G453" s="25">
        <v>8505</v>
      </c>
      <c r="O453" s="25"/>
    </row>
    <row r="454" spans="1:15" ht="12.5" x14ac:dyDescent="0.25">
      <c r="A454" s="8" t="s">
        <v>672</v>
      </c>
      <c r="B454" s="8" t="s">
        <v>682</v>
      </c>
      <c r="C454" s="8" t="s">
        <v>683</v>
      </c>
      <c r="D454" s="8" t="s">
        <v>685</v>
      </c>
      <c r="E454" s="25">
        <v>-9355.5</v>
      </c>
      <c r="F454" s="25">
        <v>-850.5</v>
      </c>
      <c r="G454" s="25">
        <v>-8505</v>
      </c>
      <c r="O454" s="25"/>
    </row>
    <row r="455" spans="1:15" ht="12.5" x14ac:dyDescent="0.25">
      <c r="A455" s="8" t="s">
        <v>672</v>
      </c>
      <c r="B455" s="8" t="s">
        <v>132</v>
      </c>
      <c r="C455" s="8" t="s">
        <v>683</v>
      </c>
      <c r="D455" s="8" t="s">
        <v>686</v>
      </c>
      <c r="E455" s="25">
        <v>445.5</v>
      </c>
      <c r="F455" s="25">
        <v>40.5</v>
      </c>
      <c r="G455" s="25">
        <v>405</v>
      </c>
      <c r="O455" s="25"/>
    </row>
    <row r="456" spans="1:15" ht="12.5" x14ac:dyDescent="0.25">
      <c r="A456" s="8" t="s">
        <v>672</v>
      </c>
      <c r="B456" s="8" t="s">
        <v>132</v>
      </c>
      <c r="C456" s="8" t="s">
        <v>683</v>
      </c>
      <c r="D456" s="8" t="s">
        <v>687</v>
      </c>
      <c r="E456" s="25">
        <v>-445.5</v>
      </c>
      <c r="F456" s="25">
        <v>-40.5</v>
      </c>
      <c r="G456" s="25">
        <v>-405</v>
      </c>
      <c r="O456" s="25"/>
    </row>
    <row r="457" spans="1:15" ht="12.5" x14ac:dyDescent="0.25">
      <c r="A457" s="8" t="s">
        <v>672</v>
      </c>
      <c r="B457" s="8" t="s">
        <v>682</v>
      </c>
      <c r="C457" s="8" t="s">
        <v>688</v>
      </c>
      <c r="D457" s="8" t="s">
        <v>689</v>
      </c>
      <c r="E457" s="25">
        <v>4870.8</v>
      </c>
      <c r="F457" s="25">
        <v>442.8</v>
      </c>
      <c r="G457" s="25">
        <v>4428</v>
      </c>
      <c r="O457" s="25"/>
    </row>
    <row r="458" spans="1:15" ht="12.5" x14ac:dyDescent="0.25">
      <c r="A458" s="8" t="s">
        <v>672</v>
      </c>
      <c r="B458" s="8" t="s">
        <v>682</v>
      </c>
      <c r="C458" s="8" t="s">
        <v>688</v>
      </c>
      <c r="D458" s="8" t="s">
        <v>690</v>
      </c>
      <c r="E458" s="25">
        <v>-4870.8</v>
      </c>
      <c r="F458" s="25">
        <v>-442.8</v>
      </c>
      <c r="G458" s="25">
        <v>-4428</v>
      </c>
      <c r="O458" s="25"/>
    </row>
    <row r="459" spans="1:15" ht="12.5" x14ac:dyDescent="0.25">
      <c r="A459" s="8" t="s">
        <v>672</v>
      </c>
      <c r="B459" s="8" t="s">
        <v>132</v>
      </c>
      <c r="C459" s="8" t="s">
        <v>688</v>
      </c>
      <c r="D459" s="8" t="s">
        <v>691</v>
      </c>
      <c r="E459" s="25">
        <v>228.69</v>
      </c>
      <c r="F459" s="25">
        <v>20.79</v>
      </c>
      <c r="G459" s="25">
        <v>207.9</v>
      </c>
      <c r="O459" s="25"/>
    </row>
    <row r="460" spans="1:15" ht="12.5" x14ac:dyDescent="0.25">
      <c r="A460" s="8" t="s">
        <v>672</v>
      </c>
      <c r="B460" s="8" t="s">
        <v>132</v>
      </c>
      <c r="C460" s="8" t="s">
        <v>688</v>
      </c>
      <c r="D460" s="8" t="s">
        <v>692</v>
      </c>
      <c r="E460" s="25">
        <v>-228.69</v>
      </c>
      <c r="F460" s="25">
        <v>-20.79</v>
      </c>
      <c r="G460" s="25">
        <v>-207.9</v>
      </c>
      <c r="O460" s="25"/>
    </row>
    <row r="461" spans="1:15" ht="12.5" x14ac:dyDescent="0.25">
      <c r="A461" s="8" t="s">
        <v>672</v>
      </c>
      <c r="B461" s="8" t="s">
        <v>132</v>
      </c>
      <c r="C461" s="8" t="s">
        <v>688</v>
      </c>
      <c r="D461" s="8" t="s">
        <v>693</v>
      </c>
      <c r="E461" s="25">
        <v>148.5</v>
      </c>
      <c r="F461" s="25">
        <v>13.5</v>
      </c>
      <c r="G461" s="25">
        <v>135</v>
      </c>
      <c r="O461" s="25"/>
    </row>
    <row r="462" spans="1:15" ht="12.5" x14ac:dyDescent="0.25">
      <c r="A462" s="8" t="s">
        <v>672</v>
      </c>
      <c r="B462" s="8" t="s">
        <v>132</v>
      </c>
      <c r="C462" s="8" t="s">
        <v>688</v>
      </c>
      <c r="D462" s="8" t="s">
        <v>694</v>
      </c>
      <c r="E462" s="25">
        <v>-148.5</v>
      </c>
      <c r="F462" s="25">
        <v>-13.5</v>
      </c>
      <c r="G462" s="25">
        <v>-135</v>
      </c>
      <c r="O462" s="25"/>
    </row>
    <row r="463" spans="1:15" ht="12.5" x14ac:dyDescent="0.25">
      <c r="A463" s="8" t="s">
        <v>695</v>
      </c>
      <c r="B463" s="8" t="s">
        <v>132</v>
      </c>
      <c r="C463" s="8" t="s">
        <v>696</v>
      </c>
      <c r="D463" s="8" t="s">
        <v>674</v>
      </c>
      <c r="E463" s="25">
        <v>5643</v>
      </c>
      <c r="F463" s="25">
        <v>513</v>
      </c>
      <c r="G463" s="25">
        <v>5130</v>
      </c>
      <c r="O463" s="25"/>
    </row>
    <row r="464" spans="1:15" ht="12.5" x14ac:dyDescent="0.25">
      <c r="A464" s="8" t="s">
        <v>695</v>
      </c>
      <c r="B464" s="8" t="s">
        <v>132</v>
      </c>
      <c r="C464" s="8" t="s">
        <v>696</v>
      </c>
      <c r="D464" s="8" t="s">
        <v>675</v>
      </c>
      <c r="E464" s="25">
        <v>-5643</v>
      </c>
      <c r="F464" s="25">
        <v>-513</v>
      </c>
      <c r="G464" s="25">
        <v>-5130</v>
      </c>
      <c r="O464" s="25"/>
    </row>
    <row r="465" spans="1:15" ht="12.5" x14ac:dyDescent="0.25">
      <c r="A465" s="8" t="s">
        <v>695</v>
      </c>
      <c r="B465" s="8" t="s">
        <v>132</v>
      </c>
      <c r="C465" s="8" t="s">
        <v>696</v>
      </c>
      <c r="D465" s="8" t="s">
        <v>676</v>
      </c>
      <c r="E465" s="25">
        <v>282.14999999999998</v>
      </c>
      <c r="F465" s="25">
        <v>25.65</v>
      </c>
      <c r="G465" s="25">
        <v>256.5</v>
      </c>
      <c r="O465" s="25"/>
    </row>
    <row r="466" spans="1:15" ht="12.5" x14ac:dyDescent="0.25">
      <c r="A466" s="8" t="s">
        <v>695</v>
      </c>
      <c r="B466" s="8" t="s">
        <v>132</v>
      </c>
      <c r="C466" s="8" t="s">
        <v>696</v>
      </c>
      <c r="D466" s="8" t="s">
        <v>663</v>
      </c>
      <c r="E466" s="25">
        <v>-282.14999999999998</v>
      </c>
      <c r="F466" s="25">
        <v>-25.65</v>
      </c>
      <c r="G466" s="25">
        <v>-256.5</v>
      </c>
      <c r="O466" s="25"/>
    </row>
    <row r="467" spans="1:15" ht="12.5" x14ac:dyDescent="0.25">
      <c r="A467" s="8" t="s">
        <v>695</v>
      </c>
      <c r="B467" s="8" t="s">
        <v>356</v>
      </c>
      <c r="C467" s="8" t="s">
        <v>357</v>
      </c>
      <c r="D467" s="8" t="s">
        <v>697</v>
      </c>
      <c r="E467" s="25">
        <v>1221</v>
      </c>
      <c r="F467" s="25">
        <v>111</v>
      </c>
      <c r="G467" s="25">
        <v>1110</v>
      </c>
      <c r="O467" s="25"/>
    </row>
    <row r="468" spans="1:15" ht="12.5" x14ac:dyDescent="0.25">
      <c r="A468" s="8" t="s">
        <v>695</v>
      </c>
      <c r="B468" s="8" t="s">
        <v>347</v>
      </c>
      <c r="C468" s="8" t="s">
        <v>698</v>
      </c>
      <c r="D468" s="8" t="s">
        <v>699</v>
      </c>
      <c r="E468" s="25">
        <v>110</v>
      </c>
      <c r="F468" s="25">
        <v>10</v>
      </c>
      <c r="G468" s="25">
        <v>100</v>
      </c>
      <c r="O468" s="25"/>
    </row>
    <row r="469" spans="1:15" ht="12.5" x14ac:dyDescent="0.25">
      <c r="A469" s="8" t="s">
        <v>695</v>
      </c>
      <c r="B469" s="8" t="s">
        <v>347</v>
      </c>
      <c r="C469" s="8" t="s">
        <v>698</v>
      </c>
      <c r="D469" s="8" t="s">
        <v>700</v>
      </c>
      <c r="E469" s="25">
        <v>-110</v>
      </c>
      <c r="F469" s="25">
        <v>-10</v>
      </c>
      <c r="G469" s="25">
        <v>-100</v>
      </c>
      <c r="O469" s="25"/>
    </row>
    <row r="470" spans="1:15" ht="12.5" x14ac:dyDescent="0.25">
      <c r="A470" s="8" t="s">
        <v>695</v>
      </c>
      <c r="B470" s="8" t="s">
        <v>128</v>
      </c>
      <c r="C470" s="8" t="s">
        <v>698</v>
      </c>
      <c r="D470" s="8" t="s">
        <v>701</v>
      </c>
      <c r="E470" s="25">
        <v>148.5</v>
      </c>
      <c r="F470" s="25">
        <v>13.5</v>
      </c>
      <c r="G470" s="25">
        <v>135</v>
      </c>
      <c r="O470" s="25"/>
    </row>
    <row r="471" spans="1:15" ht="12.5" x14ac:dyDescent="0.25">
      <c r="A471" s="8" t="s">
        <v>695</v>
      </c>
      <c r="B471" s="8" t="s">
        <v>128</v>
      </c>
      <c r="C471" s="8" t="s">
        <v>698</v>
      </c>
      <c r="D471" s="8" t="s">
        <v>702</v>
      </c>
      <c r="E471" s="25">
        <v>-148.5</v>
      </c>
      <c r="F471" s="25">
        <v>-13.5</v>
      </c>
      <c r="G471" s="25">
        <v>-135</v>
      </c>
      <c r="O471" s="25"/>
    </row>
    <row r="472" spans="1:15" ht="12.5" x14ac:dyDescent="0.25">
      <c r="A472" s="8" t="s">
        <v>695</v>
      </c>
      <c r="B472" s="8" t="s">
        <v>356</v>
      </c>
      <c r="C472" s="8" t="s">
        <v>357</v>
      </c>
      <c r="D472" s="8" t="s">
        <v>703</v>
      </c>
      <c r="E472" s="25">
        <v>4884</v>
      </c>
      <c r="F472" s="25">
        <v>444</v>
      </c>
      <c r="G472" s="25">
        <v>4440</v>
      </c>
      <c r="O472" s="25"/>
    </row>
    <row r="473" spans="1:15" ht="12.5" x14ac:dyDescent="0.25">
      <c r="A473" s="8" t="s">
        <v>695</v>
      </c>
      <c r="B473" s="8" t="s">
        <v>356</v>
      </c>
      <c r="C473" s="8" t="s">
        <v>357</v>
      </c>
      <c r="D473" s="8" t="s">
        <v>704</v>
      </c>
      <c r="E473" s="25">
        <v>9157.5</v>
      </c>
      <c r="F473" s="25">
        <v>832.5</v>
      </c>
      <c r="G473" s="25">
        <v>8325</v>
      </c>
      <c r="O473" s="25"/>
    </row>
    <row r="474" spans="1:15" ht="12.5" x14ac:dyDescent="0.25">
      <c r="A474" s="8" t="s">
        <v>695</v>
      </c>
      <c r="B474" s="8" t="s">
        <v>347</v>
      </c>
      <c r="C474" s="8" t="s">
        <v>705</v>
      </c>
      <c r="D474" s="8" t="s">
        <v>706</v>
      </c>
      <c r="E474" s="25">
        <v>770</v>
      </c>
      <c r="F474" s="25">
        <v>70</v>
      </c>
      <c r="G474" s="25">
        <v>700</v>
      </c>
      <c r="O474" s="25"/>
    </row>
    <row r="475" spans="1:15" ht="12.5" x14ac:dyDescent="0.25">
      <c r="A475" s="8" t="s">
        <v>695</v>
      </c>
      <c r="B475" s="8" t="s">
        <v>347</v>
      </c>
      <c r="C475" s="8" t="s">
        <v>705</v>
      </c>
      <c r="D475" s="8" t="s">
        <v>707</v>
      </c>
      <c r="E475" s="25">
        <v>-770</v>
      </c>
      <c r="F475" s="25">
        <v>-70</v>
      </c>
      <c r="G475" s="25">
        <v>-700</v>
      </c>
      <c r="O475" s="25"/>
    </row>
    <row r="476" spans="1:15" ht="12.5" x14ac:dyDescent="0.25">
      <c r="A476" s="8" t="s">
        <v>695</v>
      </c>
      <c r="B476" s="8" t="s">
        <v>128</v>
      </c>
      <c r="C476" s="8" t="s">
        <v>705</v>
      </c>
      <c r="D476" s="8" t="s">
        <v>708</v>
      </c>
      <c r="E476" s="25">
        <v>1039.5</v>
      </c>
      <c r="F476" s="25">
        <v>94.5</v>
      </c>
      <c r="G476" s="25">
        <v>945</v>
      </c>
      <c r="O476" s="25"/>
    </row>
    <row r="477" spans="1:15" ht="12.5" x14ac:dyDescent="0.25">
      <c r="A477" s="8" t="s">
        <v>695</v>
      </c>
      <c r="B477" s="8" t="s">
        <v>128</v>
      </c>
      <c r="C477" s="8" t="s">
        <v>705</v>
      </c>
      <c r="D477" s="8" t="s">
        <v>709</v>
      </c>
      <c r="E477" s="25">
        <v>-1039.5</v>
      </c>
      <c r="F477" s="25">
        <v>-94.5</v>
      </c>
      <c r="G477" s="25">
        <v>-945</v>
      </c>
      <c r="O477" s="25"/>
    </row>
    <row r="478" spans="1:15" ht="12.5" x14ac:dyDescent="0.25">
      <c r="A478" s="8" t="s">
        <v>695</v>
      </c>
      <c r="B478" s="8" t="s">
        <v>347</v>
      </c>
      <c r="C478" s="8" t="s">
        <v>710</v>
      </c>
      <c r="D478" s="8" t="s">
        <v>711</v>
      </c>
      <c r="E478" s="25">
        <v>110</v>
      </c>
      <c r="F478" s="25">
        <v>10</v>
      </c>
      <c r="G478" s="25">
        <v>100</v>
      </c>
      <c r="O478" s="25"/>
    </row>
    <row r="479" spans="1:15" ht="12.5" x14ac:dyDescent="0.25">
      <c r="A479" s="8" t="s">
        <v>695</v>
      </c>
      <c r="B479" s="8" t="s">
        <v>347</v>
      </c>
      <c r="C479" s="8" t="s">
        <v>710</v>
      </c>
      <c r="D479" s="8" t="s">
        <v>712</v>
      </c>
      <c r="E479" s="25">
        <v>-110</v>
      </c>
      <c r="F479" s="25">
        <v>-10</v>
      </c>
      <c r="G479" s="25">
        <v>-100</v>
      </c>
      <c r="O479" s="25"/>
    </row>
    <row r="480" spans="1:15" ht="12.5" x14ac:dyDescent="0.25">
      <c r="A480" s="8" t="s">
        <v>695</v>
      </c>
      <c r="B480" s="8" t="s">
        <v>128</v>
      </c>
      <c r="C480" s="8" t="s">
        <v>710</v>
      </c>
      <c r="D480" s="8" t="s">
        <v>713</v>
      </c>
      <c r="E480" s="25">
        <v>330</v>
      </c>
      <c r="F480" s="25">
        <v>30</v>
      </c>
      <c r="G480" s="25">
        <v>300</v>
      </c>
      <c r="O480" s="25"/>
    </row>
    <row r="481" spans="1:15" ht="12.5" x14ac:dyDescent="0.25">
      <c r="A481" s="8" t="s">
        <v>695</v>
      </c>
      <c r="B481" s="8" t="s">
        <v>128</v>
      </c>
      <c r="C481" s="8" t="s">
        <v>710</v>
      </c>
      <c r="D481" s="8" t="s">
        <v>714</v>
      </c>
      <c r="E481" s="25">
        <v>-330</v>
      </c>
      <c r="F481" s="25">
        <v>-30</v>
      </c>
      <c r="G481" s="25">
        <v>-300</v>
      </c>
      <c r="O481" s="25"/>
    </row>
    <row r="482" spans="1:15" ht="12.5" x14ac:dyDescent="0.25">
      <c r="A482" s="8" t="s">
        <v>715</v>
      </c>
      <c r="B482" s="8" t="s">
        <v>128</v>
      </c>
      <c r="C482" s="8" t="s">
        <v>716</v>
      </c>
      <c r="D482" s="8" t="s">
        <v>717</v>
      </c>
      <c r="E482" s="25">
        <v>242</v>
      </c>
      <c r="F482" s="25">
        <v>22</v>
      </c>
      <c r="G482" s="25">
        <v>220</v>
      </c>
      <c r="O482" s="25"/>
    </row>
    <row r="483" spans="1:15" ht="12.5" x14ac:dyDescent="0.25">
      <c r="A483" s="8" t="s">
        <v>715</v>
      </c>
      <c r="B483" s="8" t="s">
        <v>128</v>
      </c>
      <c r="C483" s="8" t="s">
        <v>718</v>
      </c>
      <c r="D483" s="8" t="s">
        <v>719</v>
      </c>
      <c r="E483" s="25">
        <v>5280</v>
      </c>
      <c r="F483" s="25">
        <v>480</v>
      </c>
      <c r="G483" s="25">
        <v>4800</v>
      </c>
      <c r="O483" s="25"/>
    </row>
    <row r="484" spans="1:15" ht="12.5" x14ac:dyDescent="0.25">
      <c r="A484" s="8" t="s">
        <v>715</v>
      </c>
      <c r="B484" s="8" t="s">
        <v>128</v>
      </c>
      <c r="C484" s="8" t="s">
        <v>720</v>
      </c>
      <c r="D484" s="8" t="s">
        <v>721</v>
      </c>
      <c r="E484" s="25">
        <v>427.9</v>
      </c>
      <c r="F484" s="25">
        <v>38.9</v>
      </c>
      <c r="G484" s="25">
        <v>389</v>
      </c>
      <c r="O484" s="25"/>
    </row>
    <row r="485" spans="1:15" ht="12.5" x14ac:dyDescent="0.25">
      <c r="A485" s="8" t="s">
        <v>715</v>
      </c>
      <c r="B485" s="8" t="s">
        <v>137</v>
      </c>
      <c r="C485" s="8" t="s">
        <v>720</v>
      </c>
      <c r="D485" s="8" t="s">
        <v>293</v>
      </c>
      <c r="E485" s="25">
        <v>10.7</v>
      </c>
      <c r="F485" s="25">
        <v>0.97</v>
      </c>
      <c r="G485" s="25">
        <v>9.73</v>
      </c>
      <c r="O485" s="25"/>
    </row>
    <row r="486" spans="1:15" ht="12.5" x14ac:dyDescent="0.25">
      <c r="A486" s="8" t="s">
        <v>715</v>
      </c>
      <c r="B486" s="8" t="s">
        <v>128</v>
      </c>
      <c r="C486" s="8" t="s">
        <v>611</v>
      </c>
      <c r="D486" s="8" t="s">
        <v>722</v>
      </c>
      <c r="E486" s="25">
        <v>825</v>
      </c>
      <c r="F486" s="25">
        <v>75</v>
      </c>
      <c r="G486" s="25">
        <v>750</v>
      </c>
      <c r="O486" s="25"/>
    </row>
    <row r="487" spans="1:15" ht="12.5" x14ac:dyDescent="0.25">
      <c r="A487" s="8" t="s">
        <v>715</v>
      </c>
      <c r="B487" s="8" t="s">
        <v>128</v>
      </c>
      <c r="C487" s="8" t="s">
        <v>611</v>
      </c>
      <c r="D487" s="8" t="s">
        <v>723</v>
      </c>
      <c r="E487" s="25">
        <v>1039.5</v>
      </c>
      <c r="F487" s="25">
        <v>94.5</v>
      </c>
      <c r="G487" s="25">
        <v>945</v>
      </c>
      <c r="O487" s="25"/>
    </row>
    <row r="488" spans="1:15" ht="12.5" x14ac:dyDescent="0.25">
      <c r="A488" s="8" t="s">
        <v>715</v>
      </c>
      <c r="B488" s="8" t="s">
        <v>128</v>
      </c>
      <c r="C488" s="8" t="s">
        <v>611</v>
      </c>
      <c r="D488" s="8" t="s">
        <v>724</v>
      </c>
      <c r="E488" s="25">
        <v>148.5</v>
      </c>
      <c r="F488" s="25">
        <v>13.5</v>
      </c>
      <c r="G488" s="25">
        <v>135</v>
      </c>
      <c r="O488" s="25"/>
    </row>
    <row r="489" spans="1:15" ht="12.5" x14ac:dyDescent="0.25">
      <c r="A489" s="8" t="s">
        <v>715</v>
      </c>
      <c r="B489" s="8" t="s">
        <v>128</v>
      </c>
      <c r="C489" s="8" t="s">
        <v>611</v>
      </c>
      <c r="D489" s="8" t="s">
        <v>725</v>
      </c>
      <c r="E489" s="25">
        <v>330</v>
      </c>
      <c r="F489" s="25">
        <v>30</v>
      </c>
      <c r="G489" s="25">
        <v>300</v>
      </c>
      <c r="O489" s="25"/>
    </row>
    <row r="490" spans="1:15" ht="12.5" x14ac:dyDescent="0.25">
      <c r="A490" s="8" t="s">
        <v>715</v>
      </c>
      <c r="B490" s="8" t="s">
        <v>128</v>
      </c>
      <c r="C490" s="8" t="s">
        <v>726</v>
      </c>
      <c r="D490" s="8" t="s">
        <v>727</v>
      </c>
      <c r="E490" s="25">
        <v>990</v>
      </c>
      <c r="F490" s="25">
        <v>90</v>
      </c>
      <c r="G490" s="25">
        <v>900</v>
      </c>
      <c r="O490" s="25"/>
    </row>
    <row r="491" spans="1:15" ht="12.5" x14ac:dyDescent="0.25">
      <c r="A491" s="8" t="s">
        <v>715</v>
      </c>
      <c r="B491" s="8" t="s">
        <v>128</v>
      </c>
      <c r="C491" s="8" t="s">
        <v>728</v>
      </c>
      <c r="D491" s="8" t="s">
        <v>729</v>
      </c>
      <c r="E491" s="25">
        <v>495</v>
      </c>
      <c r="F491" s="25">
        <v>45</v>
      </c>
      <c r="G491" s="25">
        <v>450</v>
      </c>
      <c r="O491" s="25"/>
    </row>
    <row r="492" spans="1:15" ht="12.5" x14ac:dyDescent="0.25">
      <c r="A492" s="8" t="s">
        <v>715</v>
      </c>
      <c r="B492" s="8" t="s">
        <v>128</v>
      </c>
      <c r="C492" s="8" t="s">
        <v>720</v>
      </c>
      <c r="D492" s="8" t="s">
        <v>730</v>
      </c>
      <c r="E492" s="25">
        <v>627</v>
      </c>
      <c r="F492" s="25">
        <v>57</v>
      </c>
      <c r="G492" s="25">
        <v>570</v>
      </c>
      <c r="O492" s="25"/>
    </row>
    <row r="493" spans="1:15" ht="12.5" x14ac:dyDescent="0.25">
      <c r="A493" s="8" t="s">
        <v>715</v>
      </c>
      <c r="B493" s="8" t="s">
        <v>128</v>
      </c>
      <c r="C493" s="8" t="s">
        <v>720</v>
      </c>
      <c r="D493" s="8" t="s">
        <v>153</v>
      </c>
      <c r="E493" s="25">
        <v>27.5</v>
      </c>
      <c r="F493" s="25">
        <v>2.5</v>
      </c>
      <c r="G493" s="25">
        <v>25</v>
      </c>
      <c r="O493" s="25"/>
    </row>
    <row r="494" spans="1:15" ht="12.5" x14ac:dyDescent="0.25">
      <c r="A494" s="8" t="s">
        <v>715</v>
      </c>
      <c r="B494" s="8" t="s">
        <v>128</v>
      </c>
      <c r="C494" s="8" t="s">
        <v>720</v>
      </c>
      <c r="D494" s="8" t="s">
        <v>154</v>
      </c>
      <c r="E494" s="25">
        <v>49.5</v>
      </c>
      <c r="F494" s="25">
        <v>4.5</v>
      </c>
      <c r="G494" s="25">
        <v>45</v>
      </c>
      <c r="O494" s="25"/>
    </row>
    <row r="495" spans="1:15" ht="12.5" x14ac:dyDescent="0.25">
      <c r="A495" s="8" t="s">
        <v>715</v>
      </c>
      <c r="B495" s="8" t="s">
        <v>128</v>
      </c>
      <c r="C495" s="8" t="s">
        <v>731</v>
      </c>
      <c r="D495" s="8" t="s">
        <v>732</v>
      </c>
      <c r="E495" s="25">
        <v>328.9</v>
      </c>
      <c r="F495" s="25">
        <v>29.9</v>
      </c>
      <c r="G495" s="25">
        <v>299</v>
      </c>
      <c r="O495" s="25"/>
    </row>
    <row r="496" spans="1:15" ht="12.5" x14ac:dyDescent="0.25">
      <c r="A496" s="8" t="s">
        <v>715</v>
      </c>
      <c r="B496" s="8" t="s">
        <v>137</v>
      </c>
      <c r="C496" s="8" t="s">
        <v>731</v>
      </c>
      <c r="D496" s="8" t="s">
        <v>160</v>
      </c>
      <c r="E496" s="25">
        <v>8.23</v>
      </c>
      <c r="F496" s="25">
        <v>0.75</v>
      </c>
      <c r="G496" s="25">
        <v>7.48</v>
      </c>
      <c r="O496" s="25"/>
    </row>
    <row r="497" spans="1:15" ht="12.5" x14ac:dyDescent="0.25">
      <c r="A497" s="8" t="s">
        <v>715</v>
      </c>
      <c r="B497" s="8" t="s">
        <v>132</v>
      </c>
      <c r="C497" s="8" t="s">
        <v>733</v>
      </c>
      <c r="D497" s="8" t="s">
        <v>734</v>
      </c>
      <c r="E497" s="25">
        <v>653.4</v>
      </c>
      <c r="F497" s="25">
        <v>59.4</v>
      </c>
      <c r="G497" s="25">
        <v>594</v>
      </c>
      <c r="O497" s="25"/>
    </row>
    <row r="498" spans="1:15" ht="12.5" x14ac:dyDescent="0.25">
      <c r="A498" s="8" t="s">
        <v>715</v>
      </c>
      <c r="B498" s="8" t="s">
        <v>132</v>
      </c>
      <c r="C498" s="8" t="s">
        <v>733</v>
      </c>
      <c r="D498" s="8" t="s">
        <v>735</v>
      </c>
      <c r="E498" s="25">
        <v>594</v>
      </c>
      <c r="F498" s="25">
        <v>54</v>
      </c>
      <c r="G498" s="25">
        <v>540</v>
      </c>
      <c r="O498" s="25"/>
    </row>
    <row r="499" spans="1:15" ht="12.5" x14ac:dyDescent="0.25">
      <c r="A499" s="8" t="s">
        <v>715</v>
      </c>
      <c r="B499" s="8" t="s">
        <v>132</v>
      </c>
      <c r="C499" s="8" t="s">
        <v>733</v>
      </c>
      <c r="D499" s="8" t="s">
        <v>736</v>
      </c>
      <c r="E499" s="25">
        <v>82.5</v>
      </c>
      <c r="F499" s="25">
        <v>7.5</v>
      </c>
      <c r="G499" s="25">
        <v>75</v>
      </c>
      <c r="O499" s="25"/>
    </row>
    <row r="500" spans="1:15" ht="12.5" x14ac:dyDescent="0.25">
      <c r="A500" s="8" t="s">
        <v>715</v>
      </c>
      <c r="B500" s="8" t="s">
        <v>132</v>
      </c>
      <c r="C500" s="8" t="s">
        <v>733</v>
      </c>
      <c r="D500" s="8" t="s">
        <v>737</v>
      </c>
      <c r="E500" s="25">
        <v>148.5</v>
      </c>
      <c r="F500" s="25">
        <v>13.5</v>
      </c>
      <c r="G500" s="25">
        <v>135</v>
      </c>
      <c r="O500" s="25"/>
    </row>
    <row r="501" spans="1:15" ht="12.5" x14ac:dyDescent="0.25">
      <c r="A501" s="8" t="s">
        <v>715</v>
      </c>
      <c r="B501" s="8" t="s">
        <v>128</v>
      </c>
      <c r="C501" s="8" t="s">
        <v>738</v>
      </c>
      <c r="D501" s="8" t="s">
        <v>334</v>
      </c>
      <c r="E501" s="25">
        <v>687.5</v>
      </c>
      <c r="F501" s="25">
        <v>62.5</v>
      </c>
      <c r="G501" s="25">
        <v>625</v>
      </c>
      <c r="O501" s="25"/>
    </row>
    <row r="502" spans="1:15" ht="12.5" x14ac:dyDescent="0.25">
      <c r="A502" s="8" t="s">
        <v>715</v>
      </c>
      <c r="B502" s="8" t="s">
        <v>128</v>
      </c>
      <c r="C502" s="8" t="s">
        <v>726</v>
      </c>
      <c r="D502" s="8" t="s">
        <v>739</v>
      </c>
      <c r="E502" s="25">
        <v>1877.7</v>
      </c>
      <c r="F502" s="25">
        <v>170.7</v>
      </c>
      <c r="G502" s="25">
        <v>1707</v>
      </c>
      <c r="O502" s="25"/>
    </row>
    <row r="503" spans="1:15" ht="12.5" x14ac:dyDescent="0.25">
      <c r="A503" s="8" t="s">
        <v>715</v>
      </c>
      <c r="B503" s="8" t="s">
        <v>128</v>
      </c>
      <c r="C503" s="8" t="s">
        <v>726</v>
      </c>
      <c r="D503" s="8" t="s">
        <v>740</v>
      </c>
      <c r="E503" s="25">
        <v>330</v>
      </c>
      <c r="F503" s="25">
        <v>30</v>
      </c>
      <c r="G503" s="25">
        <v>300</v>
      </c>
      <c r="O503" s="25"/>
    </row>
    <row r="504" spans="1:15" ht="12.5" x14ac:dyDescent="0.25">
      <c r="A504" s="8" t="s">
        <v>715</v>
      </c>
      <c r="B504" s="8" t="s">
        <v>128</v>
      </c>
      <c r="C504" s="8" t="s">
        <v>611</v>
      </c>
      <c r="D504" s="8" t="s">
        <v>741</v>
      </c>
      <c r="E504" s="25">
        <v>1996.5</v>
      </c>
      <c r="F504" s="25">
        <v>181.5</v>
      </c>
      <c r="G504" s="25">
        <v>1815</v>
      </c>
      <c r="O504" s="25"/>
    </row>
    <row r="505" spans="1:15" ht="12.5" x14ac:dyDescent="0.25">
      <c r="A505" s="8" t="s">
        <v>715</v>
      </c>
      <c r="B505" s="8" t="s">
        <v>128</v>
      </c>
      <c r="C505" s="8" t="s">
        <v>611</v>
      </c>
      <c r="D505" s="8" t="s">
        <v>742</v>
      </c>
      <c r="E505" s="25">
        <v>577.5</v>
      </c>
      <c r="F505" s="25">
        <v>52.5</v>
      </c>
      <c r="G505" s="25">
        <v>525</v>
      </c>
      <c r="O505" s="26"/>
    </row>
    <row r="506" spans="1:15" ht="12.5" x14ac:dyDescent="0.25">
      <c r="A506" s="8" t="s">
        <v>715</v>
      </c>
      <c r="B506" s="8" t="s">
        <v>128</v>
      </c>
      <c r="C506" s="8" t="s">
        <v>611</v>
      </c>
      <c r="D506" s="8" t="s">
        <v>743</v>
      </c>
      <c r="E506" s="25">
        <v>-161.69999999999999</v>
      </c>
      <c r="F506" s="25">
        <v>-14.7</v>
      </c>
      <c r="G506" s="25">
        <v>-147</v>
      </c>
    </row>
    <row r="507" spans="1:15" ht="12.5" x14ac:dyDescent="0.25">
      <c r="A507" s="8" t="s">
        <v>715</v>
      </c>
      <c r="B507" s="8" t="s">
        <v>174</v>
      </c>
      <c r="C507" s="8" t="s">
        <v>744</v>
      </c>
      <c r="D507" s="8" t="s">
        <v>745</v>
      </c>
      <c r="E507" s="25">
        <v>994.4</v>
      </c>
      <c r="F507" s="25">
        <v>90.4</v>
      </c>
      <c r="G507" s="25">
        <v>904</v>
      </c>
    </row>
    <row r="508" spans="1:15" ht="12.5" x14ac:dyDescent="0.25">
      <c r="A508" s="8" t="s">
        <v>715</v>
      </c>
      <c r="B508" s="8" t="s">
        <v>128</v>
      </c>
      <c r="C508" s="8" t="s">
        <v>746</v>
      </c>
      <c r="D508" s="8" t="s">
        <v>222</v>
      </c>
      <c r="E508" s="25">
        <v>877.8</v>
      </c>
      <c r="F508" s="25">
        <v>79.8</v>
      </c>
      <c r="G508" s="25">
        <v>798</v>
      </c>
      <c r="O508" s="25"/>
    </row>
    <row r="509" spans="1:15" ht="12.5" x14ac:dyDescent="0.25">
      <c r="A509" s="8" t="s">
        <v>715</v>
      </c>
      <c r="B509" s="8" t="s">
        <v>137</v>
      </c>
      <c r="C509" s="8" t="s">
        <v>746</v>
      </c>
      <c r="D509" s="8" t="s">
        <v>223</v>
      </c>
      <c r="E509" s="25">
        <v>59.69</v>
      </c>
      <c r="F509" s="25">
        <v>5.43</v>
      </c>
      <c r="G509" s="25">
        <v>54.26</v>
      </c>
      <c r="O509" s="25"/>
    </row>
    <row r="510" spans="1:15" ht="12.5" x14ac:dyDescent="0.25">
      <c r="A510" s="8" t="s">
        <v>715</v>
      </c>
      <c r="B510" s="8" t="s">
        <v>174</v>
      </c>
      <c r="C510" s="8" t="s">
        <v>747</v>
      </c>
      <c r="D510" s="8" t="s">
        <v>324</v>
      </c>
      <c r="E510" s="25">
        <v>1654.4</v>
      </c>
      <c r="F510" s="25">
        <v>150.4</v>
      </c>
      <c r="G510" s="25">
        <v>1504</v>
      </c>
      <c r="O510" s="25"/>
    </row>
    <row r="511" spans="1:15" ht="12.5" x14ac:dyDescent="0.25">
      <c r="A511" s="8" t="s">
        <v>715</v>
      </c>
      <c r="B511" s="8" t="s">
        <v>174</v>
      </c>
      <c r="C511" s="8" t="s">
        <v>747</v>
      </c>
      <c r="D511" s="8" t="s">
        <v>325</v>
      </c>
      <c r="E511" s="25">
        <v>220</v>
      </c>
      <c r="F511" s="25">
        <v>20</v>
      </c>
      <c r="G511" s="25">
        <v>200</v>
      </c>
      <c r="O511" s="25"/>
    </row>
    <row r="512" spans="1:15" ht="12.5" x14ac:dyDescent="0.25">
      <c r="A512" s="8" t="s">
        <v>715</v>
      </c>
      <c r="B512" s="8" t="s">
        <v>137</v>
      </c>
      <c r="C512" s="8" t="s">
        <v>747</v>
      </c>
      <c r="D512" s="8" t="s">
        <v>326</v>
      </c>
      <c r="E512" s="25">
        <v>46.86</v>
      </c>
      <c r="F512" s="25">
        <v>4.26</v>
      </c>
      <c r="G512" s="25">
        <v>42.6</v>
      </c>
      <c r="O512" s="25"/>
    </row>
    <row r="513" spans="1:15" ht="12.5" x14ac:dyDescent="0.25">
      <c r="A513" s="8" t="s">
        <v>715</v>
      </c>
      <c r="B513" s="8" t="s">
        <v>128</v>
      </c>
      <c r="C513" s="8" t="s">
        <v>720</v>
      </c>
      <c r="D513" s="8" t="s">
        <v>294</v>
      </c>
      <c r="E513" s="25">
        <v>220</v>
      </c>
      <c r="F513" s="25">
        <v>20</v>
      </c>
      <c r="G513" s="25">
        <v>200</v>
      </c>
      <c r="O513" s="25"/>
    </row>
    <row r="514" spans="1:15" ht="12.5" x14ac:dyDescent="0.25">
      <c r="A514" s="8" t="s">
        <v>715</v>
      </c>
      <c r="B514" s="8" t="s">
        <v>137</v>
      </c>
      <c r="C514" s="8" t="s">
        <v>720</v>
      </c>
      <c r="D514" s="8" t="s">
        <v>295</v>
      </c>
      <c r="E514" s="25">
        <v>5.5</v>
      </c>
      <c r="F514" s="25">
        <v>0.5</v>
      </c>
      <c r="G514" s="25">
        <v>5</v>
      </c>
      <c r="O514" s="25"/>
    </row>
    <row r="515" spans="1:15" ht="12.5" x14ac:dyDescent="0.25">
      <c r="A515" s="8" t="s">
        <v>715</v>
      </c>
      <c r="B515" s="8" t="s">
        <v>174</v>
      </c>
      <c r="C515" s="8" t="s">
        <v>502</v>
      </c>
      <c r="D515" s="8" t="s">
        <v>748</v>
      </c>
      <c r="E515" s="25">
        <v>477.4</v>
      </c>
      <c r="F515" s="25">
        <v>43.4</v>
      </c>
      <c r="G515" s="25">
        <v>434</v>
      </c>
      <c r="O515" s="25"/>
    </row>
    <row r="516" spans="1:15" ht="12.5" x14ac:dyDescent="0.25">
      <c r="A516" s="8" t="s">
        <v>715</v>
      </c>
      <c r="B516" s="8" t="s">
        <v>174</v>
      </c>
      <c r="C516" s="8" t="s">
        <v>502</v>
      </c>
      <c r="D516" s="8" t="s">
        <v>306</v>
      </c>
      <c r="E516" s="25">
        <v>49.5</v>
      </c>
      <c r="F516" s="25">
        <v>4.5</v>
      </c>
      <c r="G516" s="25">
        <v>45</v>
      </c>
      <c r="O516" s="25"/>
    </row>
    <row r="517" spans="1:15" ht="12.5" x14ac:dyDescent="0.25">
      <c r="A517" s="8" t="s">
        <v>715</v>
      </c>
      <c r="B517" s="8" t="s">
        <v>174</v>
      </c>
      <c r="C517" s="8" t="s">
        <v>502</v>
      </c>
      <c r="D517" s="8" t="s">
        <v>307</v>
      </c>
      <c r="E517" s="25">
        <v>679.8</v>
      </c>
      <c r="F517" s="25">
        <v>61.8</v>
      </c>
      <c r="G517" s="25">
        <v>618</v>
      </c>
      <c r="O517" s="25"/>
    </row>
    <row r="518" spans="1:15" ht="12.5" x14ac:dyDescent="0.25">
      <c r="A518" s="8" t="s">
        <v>715</v>
      </c>
      <c r="B518" s="8" t="s">
        <v>174</v>
      </c>
      <c r="C518" s="8" t="s">
        <v>502</v>
      </c>
      <c r="D518" s="8" t="s">
        <v>308</v>
      </c>
      <c r="E518" s="25">
        <v>-49.5</v>
      </c>
      <c r="F518" s="25">
        <v>-4.5</v>
      </c>
      <c r="G518" s="25">
        <v>-45</v>
      </c>
      <c r="O518" s="25"/>
    </row>
    <row r="519" spans="1:15" ht="12.5" x14ac:dyDescent="0.25">
      <c r="A519" s="8" t="s">
        <v>715</v>
      </c>
      <c r="B519" s="8" t="s">
        <v>132</v>
      </c>
      <c r="C519" s="8" t="s">
        <v>749</v>
      </c>
      <c r="D519" s="8" t="s">
        <v>750</v>
      </c>
      <c r="E519" s="25">
        <v>103.95</v>
      </c>
      <c r="F519" s="25">
        <v>9.4499999999999993</v>
      </c>
      <c r="G519" s="25">
        <v>94.5</v>
      </c>
      <c r="O519" s="25"/>
    </row>
    <row r="520" spans="1:15" ht="12.5" x14ac:dyDescent="0.25">
      <c r="A520" s="8" t="s">
        <v>715</v>
      </c>
      <c r="B520" s="8" t="s">
        <v>128</v>
      </c>
      <c r="C520" s="8" t="s">
        <v>751</v>
      </c>
      <c r="D520" s="8" t="s">
        <v>752</v>
      </c>
      <c r="E520" s="25">
        <v>986.7</v>
      </c>
      <c r="F520" s="25">
        <v>89.7</v>
      </c>
      <c r="G520" s="25">
        <v>897</v>
      </c>
      <c r="O520" s="25"/>
    </row>
    <row r="521" spans="1:15" ht="12.5" x14ac:dyDescent="0.25">
      <c r="A521" s="8" t="s">
        <v>715</v>
      </c>
      <c r="B521" s="8" t="s">
        <v>128</v>
      </c>
      <c r="C521" s="8" t="s">
        <v>751</v>
      </c>
      <c r="D521" s="8" t="s">
        <v>753</v>
      </c>
      <c r="E521" s="25">
        <v>297</v>
      </c>
      <c r="F521" s="25">
        <v>27</v>
      </c>
      <c r="G521" s="25">
        <v>270</v>
      </c>
      <c r="O521" s="25"/>
    </row>
    <row r="522" spans="1:15" ht="12.5" x14ac:dyDescent="0.25">
      <c r="A522" s="8" t="s">
        <v>715</v>
      </c>
      <c r="B522" s="8" t="s">
        <v>128</v>
      </c>
      <c r="C522" s="8" t="s">
        <v>611</v>
      </c>
      <c r="D522" s="8" t="s">
        <v>754</v>
      </c>
      <c r="E522" s="25">
        <v>1729.2</v>
      </c>
      <c r="F522" s="25">
        <v>157.19999999999999</v>
      </c>
      <c r="G522" s="25">
        <v>1572</v>
      </c>
      <c r="O522" s="25"/>
    </row>
    <row r="523" spans="1:15" ht="12.5" x14ac:dyDescent="0.25">
      <c r="A523" s="8" t="s">
        <v>715</v>
      </c>
      <c r="B523" s="8" t="s">
        <v>128</v>
      </c>
      <c r="C523" s="8" t="s">
        <v>611</v>
      </c>
      <c r="D523" s="8" t="s">
        <v>755</v>
      </c>
      <c r="E523" s="25">
        <v>297</v>
      </c>
      <c r="F523" s="25">
        <v>27</v>
      </c>
      <c r="G523" s="25">
        <v>270</v>
      </c>
      <c r="O523" s="25"/>
    </row>
    <row r="524" spans="1:15" ht="12.5" x14ac:dyDescent="0.25">
      <c r="A524" s="8" t="s">
        <v>715</v>
      </c>
      <c r="B524" s="8" t="s">
        <v>128</v>
      </c>
      <c r="C524" s="8" t="s">
        <v>756</v>
      </c>
      <c r="D524" s="8" t="s">
        <v>757</v>
      </c>
      <c r="E524" s="25">
        <v>3135</v>
      </c>
      <c r="F524" s="25">
        <v>285</v>
      </c>
      <c r="G524" s="25">
        <v>2850</v>
      </c>
      <c r="O524" s="25"/>
    </row>
    <row r="525" spans="1:15" ht="12.5" x14ac:dyDescent="0.25">
      <c r="A525" s="8" t="s">
        <v>715</v>
      </c>
      <c r="B525" s="8" t="s">
        <v>128</v>
      </c>
      <c r="C525" s="8" t="s">
        <v>756</v>
      </c>
      <c r="D525" s="8" t="s">
        <v>143</v>
      </c>
      <c r="E525" s="25">
        <v>935</v>
      </c>
      <c r="F525" s="25">
        <v>85</v>
      </c>
      <c r="G525" s="25">
        <v>850</v>
      </c>
      <c r="O525" s="25"/>
    </row>
    <row r="526" spans="1:15" ht="12.5" x14ac:dyDescent="0.25">
      <c r="A526" s="8" t="s">
        <v>715</v>
      </c>
      <c r="B526" s="8" t="s">
        <v>128</v>
      </c>
      <c r="C526" s="8" t="s">
        <v>756</v>
      </c>
      <c r="D526" s="8" t="s">
        <v>145</v>
      </c>
      <c r="E526" s="25">
        <v>93.5</v>
      </c>
      <c r="F526" s="25">
        <v>8.5</v>
      </c>
      <c r="G526" s="25">
        <v>85</v>
      </c>
      <c r="O526" s="25"/>
    </row>
    <row r="527" spans="1:15" ht="12.5" x14ac:dyDescent="0.25">
      <c r="A527" s="8" t="s">
        <v>715</v>
      </c>
      <c r="B527" s="8" t="s">
        <v>132</v>
      </c>
      <c r="C527" s="8" t="s">
        <v>758</v>
      </c>
      <c r="D527" s="8" t="s">
        <v>759</v>
      </c>
      <c r="E527" s="25">
        <v>556.88</v>
      </c>
      <c r="F527" s="25">
        <v>50.63</v>
      </c>
      <c r="G527" s="25">
        <v>506.25</v>
      </c>
      <c r="O527" s="25"/>
    </row>
    <row r="528" spans="1:15" ht="12.5" x14ac:dyDescent="0.25">
      <c r="A528" s="8" t="s">
        <v>715</v>
      </c>
      <c r="B528" s="8" t="s">
        <v>132</v>
      </c>
      <c r="C528" s="8" t="s">
        <v>758</v>
      </c>
      <c r="D528" s="8" t="s">
        <v>760</v>
      </c>
      <c r="E528" s="25">
        <v>82.5</v>
      </c>
      <c r="F528" s="25">
        <v>7.5</v>
      </c>
      <c r="G528" s="25">
        <v>75</v>
      </c>
      <c r="O528" s="25"/>
    </row>
    <row r="529" spans="1:15" ht="12.5" x14ac:dyDescent="0.25">
      <c r="A529" s="8" t="s">
        <v>715</v>
      </c>
      <c r="B529" s="8" t="s">
        <v>132</v>
      </c>
      <c r="C529" s="8" t="s">
        <v>758</v>
      </c>
      <c r="D529" s="8" t="s">
        <v>761</v>
      </c>
      <c r="E529" s="25">
        <v>-63.93</v>
      </c>
      <c r="F529" s="25">
        <v>-5.81</v>
      </c>
      <c r="G529" s="25">
        <v>-58.12</v>
      </c>
      <c r="O529" s="25"/>
    </row>
    <row r="530" spans="1:15" ht="12.5" x14ac:dyDescent="0.25">
      <c r="A530" s="8" t="s">
        <v>715</v>
      </c>
      <c r="B530" s="8" t="s">
        <v>132</v>
      </c>
      <c r="C530" s="8" t="s">
        <v>762</v>
      </c>
      <c r="D530" s="8" t="s">
        <v>763</v>
      </c>
      <c r="E530" s="25">
        <v>2910.6</v>
      </c>
      <c r="F530" s="25">
        <v>264.60000000000002</v>
      </c>
      <c r="G530" s="25">
        <v>2646</v>
      </c>
      <c r="O530" s="25"/>
    </row>
    <row r="531" spans="1:15" ht="12.5" x14ac:dyDescent="0.25">
      <c r="A531" s="8" t="s">
        <v>715</v>
      </c>
      <c r="B531" s="8" t="s">
        <v>132</v>
      </c>
      <c r="C531" s="8" t="s">
        <v>762</v>
      </c>
      <c r="D531" s="8" t="s">
        <v>764</v>
      </c>
      <c r="E531" s="25">
        <v>330</v>
      </c>
      <c r="F531" s="25">
        <v>30</v>
      </c>
      <c r="G531" s="25">
        <v>300</v>
      </c>
      <c r="O531" s="25"/>
    </row>
    <row r="532" spans="1:15" ht="12.5" x14ac:dyDescent="0.25">
      <c r="A532" s="8" t="s">
        <v>715</v>
      </c>
      <c r="B532" s="8" t="s">
        <v>128</v>
      </c>
      <c r="C532" s="8" t="s">
        <v>765</v>
      </c>
      <c r="D532" s="8" t="s">
        <v>766</v>
      </c>
      <c r="E532" s="25">
        <v>3564</v>
      </c>
      <c r="F532" s="25">
        <v>324</v>
      </c>
      <c r="G532" s="25">
        <v>3240</v>
      </c>
      <c r="O532" s="25"/>
    </row>
    <row r="533" spans="1:15" ht="12.5" x14ac:dyDescent="0.25">
      <c r="A533" s="8" t="s">
        <v>715</v>
      </c>
      <c r="B533" s="8" t="s">
        <v>132</v>
      </c>
      <c r="C533" s="8" t="s">
        <v>767</v>
      </c>
      <c r="D533" s="8" t="s">
        <v>768</v>
      </c>
      <c r="E533" s="25">
        <v>247.5</v>
      </c>
      <c r="F533" s="25">
        <v>22.5</v>
      </c>
      <c r="G533" s="25">
        <v>225</v>
      </c>
      <c r="O533" s="25"/>
    </row>
    <row r="534" spans="1:15" ht="12.5" x14ac:dyDescent="0.25">
      <c r="A534" s="8" t="s">
        <v>715</v>
      </c>
      <c r="B534" s="8" t="s">
        <v>137</v>
      </c>
      <c r="C534" s="8" t="s">
        <v>767</v>
      </c>
      <c r="D534" s="8" t="s">
        <v>258</v>
      </c>
      <c r="E534" s="25">
        <v>16.829999999999998</v>
      </c>
      <c r="F534" s="25">
        <v>1.53</v>
      </c>
      <c r="G534" s="25">
        <v>15.3</v>
      </c>
      <c r="O534" s="25"/>
    </row>
    <row r="535" spans="1:15" ht="12.5" x14ac:dyDescent="0.25">
      <c r="A535" s="8" t="s">
        <v>715</v>
      </c>
      <c r="B535" s="8" t="s">
        <v>132</v>
      </c>
      <c r="C535" s="8" t="s">
        <v>769</v>
      </c>
      <c r="D535" s="8" t="s">
        <v>330</v>
      </c>
      <c r="E535" s="25">
        <v>387.2</v>
      </c>
      <c r="F535" s="25">
        <v>35.200000000000003</v>
      </c>
      <c r="G535" s="25">
        <v>352</v>
      </c>
      <c r="O535" s="25"/>
    </row>
    <row r="536" spans="1:15" ht="12.5" x14ac:dyDescent="0.25">
      <c r="A536" s="8" t="s">
        <v>715</v>
      </c>
      <c r="B536" s="8" t="s">
        <v>132</v>
      </c>
      <c r="C536" s="8" t="s">
        <v>769</v>
      </c>
      <c r="D536" s="8" t="s">
        <v>331</v>
      </c>
      <c r="E536" s="25">
        <v>27.5</v>
      </c>
      <c r="F536" s="25">
        <v>2.5</v>
      </c>
      <c r="G536" s="25">
        <v>25</v>
      </c>
      <c r="O536" s="25"/>
    </row>
    <row r="537" spans="1:15" ht="12.5" x14ac:dyDescent="0.25">
      <c r="A537" s="8" t="s">
        <v>715</v>
      </c>
      <c r="B537" s="8" t="s">
        <v>132</v>
      </c>
      <c r="C537" s="8" t="s">
        <v>769</v>
      </c>
      <c r="D537" s="8" t="s">
        <v>430</v>
      </c>
      <c r="E537" s="25">
        <v>27.5</v>
      </c>
      <c r="F537" s="25">
        <v>2.5</v>
      </c>
      <c r="G537" s="25">
        <v>25</v>
      </c>
      <c r="O537" s="25"/>
    </row>
    <row r="538" spans="1:15" ht="12.5" x14ac:dyDescent="0.25">
      <c r="A538" s="8" t="s">
        <v>715</v>
      </c>
      <c r="B538" s="8" t="s">
        <v>132</v>
      </c>
      <c r="C538" s="8" t="s">
        <v>770</v>
      </c>
      <c r="D538" s="8" t="s">
        <v>134</v>
      </c>
      <c r="E538" s="25">
        <v>49.5</v>
      </c>
      <c r="F538" s="25">
        <v>4.5</v>
      </c>
      <c r="G538" s="25">
        <v>45</v>
      </c>
      <c r="O538" s="25"/>
    </row>
    <row r="539" spans="1:15" ht="12.5" x14ac:dyDescent="0.25">
      <c r="A539" s="8" t="s">
        <v>715</v>
      </c>
      <c r="B539" s="8" t="s">
        <v>132</v>
      </c>
      <c r="C539" s="8" t="s">
        <v>770</v>
      </c>
      <c r="D539" s="8" t="s">
        <v>136</v>
      </c>
      <c r="E539" s="25">
        <v>27.5</v>
      </c>
      <c r="F539" s="25">
        <v>2.5</v>
      </c>
      <c r="G539" s="25">
        <v>25</v>
      </c>
      <c r="O539" s="25"/>
    </row>
    <row r="540" spans="1:15" ht="12.5" x14ac:dyDescent="0.25">
      <c r="A540" s="8" t="s">
        <v>715</v>
      </c>
      <c r="B540" s="8" t="s">
        <v>137</v>
      </c>
      <c r="C540" s="8" t="s">
        <v>770</v>
      </c>
      <c r="D540" s="8" t="s">
        <v>138</v>
      </c>
      <c r="E540" s="25">
        <v>1.93</v>
      </c>
      <c r="F540" s="25">
        <v>0.18</v>
      </c>
      <c r="G540" s="25">
        <v>1.75</v>
      </c>
      <c r="O540" s="25"/>
    </row>
    <row r="541" spans="1:15" ht="12.5" x14ac:dyDescent="0.25">
      <c r="A541" s="8" t="s">
        <v>715</v>
      </c>
      <c r="B541" s="8" t="s">
        <v>132</v>
      </c>
      <c r="C541" s="8" t="s">
        <v>771</v>
      </c>
      <c r="D541" s="8" t="s">
        <v>772</v>
      </c>
      <c r="E541" s="25">
        <v>357.49</v>
      </c>
      <c r="F541" s="25">
        <v>32.5</v>
      </c>
      <c r="G541" s="25">
        <v>324.99</v>
      </c>
      <c r="O541" s="25"/>
    </row>
    <row r="542" spans="1:15" ht="12.5" x14ac:dyDescent="0.25">
      <c r="A542" s="8" t="s">
        <v>715</v>
      </c>
      <c r="B542" s="8" t="s">
        <v>132</v>
      </c>
      <c r="C542" s="8" t="s">
        <v>771</v>
      </c>
      <c r="D542" s="8" t="s">
        <v>773</v>
      </c>
      <c r="E542" s="25">
        <v>82.5</v>
      </c>
      <c r="F542" s="25">
        <v>7.5</v>
      </c>
      <c r="G542" s="25">
        <v>75</v>
      </c>
      <c r="O542" s="25"/>
    </row>
    <row r="543" spans="1:15" ht="12.5" x14ac:dyDescent="0.25">
      <c r="A543" s="8" t="s">
        <v>715</v>
      </c>
      <c r="B543" s="8" t="s">
        <v>132</v>
      </c>
      <c r="C543" s="8" t="s">
        <v>774</v>
      </c>
      <c r="D543" s="8" t="s">
        <v>181</v>
      </c>
      <c r="E543" s="25">
        <v>148.5</v>
      </c>
      <c r="F543" s="25">
        <v>13.5</v>
      </c>
      <c r="G543" s="25">
        <v>135</v>
      </c>
      <c r="O543" s="25"/>
    </row>
    <row r="544" spans="1:15" ht="12.5" x14ac:dyDescent="0.25">
      <c r="A544" s="8" t="s">
        <v>715</v>
      </c>
      <c r="B544" s="8" t="s">
        <v>137</v>
      </c>
      <c r="C544" s="8" t="s">
        <v>774</v>
      </c>
      <c r="D544" s="8" t="s">
        <v>182</v>
      </c>
      <c r="E544" s="25">
        <v>4.95</v>
      </c>
      <c r="F544" s="25">
        <v>0.45</v>
      </c>
      <c r="G544" s="25">
        <v>4.5</v>
      </c>
      <c r="O544" s="25"/>
    </row>
    <row r="545" spans="1:15" ht="12.5" x14ac:dyDescent="0.25">
      <c r="A545" s="8" t="s">
        <v>715</v>
      </c>
      <c r="B545" s="8" t="s">
        <v>128</v>
      </c>
      <c r="C545" s="8" t="s">
        <v>775</v>
      </c>
      <c r="D545" s="8" t="s">
        <v>776</v>
      </c>
      <c r="E545" s="25">
        <v>436.7</v>
      </c>
      <c r="F545" s="25">
        <v>39.700000000000003</v>
      </c>
      <c r="G545" s="25">
        <v>397</v>
      </c>
      <c r="O545" s="25"/>
    </row>
    <row r="546" spans="1:15" ht="12.5" x14ac:dyDescent="0.25">
      <c r="A546" s="8" t="s">
        <v>715</v>
      </c>
      <c r="B546" s="8" t="s">
        <v>137</v>
      </c>
      <c r="C546" s="8" t="s">
        <v>775</v>
      </c>
      <c r="D546" s="8" t="s">
        <v>220</v>
      </c>
      <c r="E546" s="25">
        <v>10.92</v>
      </c>
      <c r="F546" s="25">
        <v>0.99</v>
      </c>
      <c r="G546" s="25">
        <v>9.93</v>
      </c>
      <c r="O546" s="25"/>
    </row>
    <row r="547" spans="1:15" ht="12.5" x14ac:dyDescent="0.25">
      <c r="A547" s="8" t="s">
        <v>715</v>
      </c>
      <c r="B547" s="8" t="s">
        <v>128</v>
      </c>
      <c r="C547" s="8" t="s">
        <v>777</v>
      </c>
      <c r="D547" s="8" t="s">
        <v>162</v>
      </c>
      <c r="E547" s="25">
        <v>218.9</v>
      </c>
      <c r="F547" s="25">
        <v>19.899999999999999</v>
      </c>
      <c r="G547" s="25">
        <v>199</v>
      </c>
      <c r="O547" s="25"/>
    </row>
    <row r="548" spans="1:15" ht="12.5" x14ac:dyDescent="0.25">
      <c r="A548" s="8" t="s">
        <v>715</v>
      </c>
      <c r="B548" s="8" t="s">
        <v>128</v>
      </c>
      <c r="C548" s="8" t="s">
        <v>778</v>
      </c>
      <c r="D548" s="8" t="s">
        <v>779</v>
      </c>
      <c r="E548" s="25">
        <v>253</v>
      </c>
      <c r="F548" s="25">
        <v>23</v>
      </c>
      <c r="G548" s="25">
        <v>230</v>
      </c>
      <c r="O548" s="25"/>
    </row>
    <row r="549" spans="1:15" ht="12.5" x14ac:dyDescent="0.25">
      <c r="A549" s="8" t="s">
        <v>715</v>
      </c>
      <c r="B549" s="8" t="s">
        <v>128</v>
      </c>
      <c r="C549" s="8" t="s">
        <v>611</v>
      </c>
      <c r="D549" s="8" t="s">
        <v>780</v>
      </c>
      <c r="E549" s="25">
        <v>1710.79</v>
      </c>
      <c r="F549" s="25">
        <v>155.53</v>
      </c>
      <c r="G549" s="25">
        <v>1555.26</v>
      </c>
      <c r="O549" s="25"/>
    </row>
    <row r="550" spans="1:15" ht="12.5" x14ac:dyDescent="0.25">
      <c r="A550" s="8" t="s">
        <v>715</v>
      </c>
      <c r="B550" s="8" t="s">
        <v>128</v>
      </c>
      <c r="C550" s="8" t="s">
        <v>611</v>
      </c>
      <c r="D550" s="8" t="s">
        <v>781</v>
      </c>
      <c r="E550" s="25">
        <v>462</v>
      </c>
      <c r="F550" s="25">
        <v>42</v>
      </c>
      <c r="G550" s="25">
        <v>420</v>
      </c>
      <c r="O550" s="25"/>
    </row>
    <row r="551" spans="1:15" ht="12.5" x14ac:dyDescent="0.25">
      <c r="A551" s="8" t="s">
        <v>715</v>
      </c>
      <c r="B551" s="8" t="s">
        <v>128</v>
      </c>
      <c r="C551" s="8" t="s">
        <v>611</v>
      </c>
      <c r="D551" s="8" t="s">
        <v>782</v>
      </c>
      <c r="E551" s="25">
        <v>-594</v>
      </c>
      <c r="F551" s="25">
        <v>-54</v>
      </c>
      <c r="G551" s="25">
        <v>-540</v>
      </c>
      <c r="O551" s="25"/>
    </row>
    <row r="552" spans="1:15" ht="12.5" x14ac:dyDescent="0.25">
      <c r="A552" s="8" t="s">
        <v>715</v>
      </c>
      <c r="B552" s="8" t="s">
        <v>132</v>
      </c>
      <c r="C552" s="8" t="s">
        <v>783</v>
      </c>
      <c r="D552" s="8" t="s">
        <v>784</v>
      </c>
      <c r="E552" s="25">
        <v>2376</v>
      </c>
      <c r="F552" s="25">
        <v>216</v>
      </c>
      <c r="G552" s="25">
        <v>2160</v>
      </c>
      <c r="O552" s="25"/>
    </row>
    <row r="553" spans="1:15" ht="12.5" x14ac:dyDescent="0.25">
      <c r="A553" s="8" t="s">
        <v>715</v>
      </c>
      <c r="B553" s="8" t="s">
        <v>174</v>
      </c>
      <c r="C553" s="8" t="s">
        <v>785</v>
      </c>
      <c r="D553" s="8" t="s">
        <v>786</v>
      </c>
      <c r="E553" s="25">
        <v>220</v>
      </c>
      <c r="F553" s="25">
        <v>20</v>
      </c>
      <c r="G553" s="25">
        <v>200</v>
      </c>
      <c r="O553" s="25"/>
    </row>
    <row r="554" spans="1:15" ht="12.5" x14ac:dyDescent="0.25">
      <c r="A554" s="8" t="s">
        <v>715</v>
      </c>
      <c r="B554" s="8" t="s">
        <v>128</v>
      </c>
      <c r="C554" s="8" t="s">
        <v>726</v>
      </c>
      <c r="D554" s="8" t="s">
        <v>787</v>
      </c>
      <c r="E554" s="25">
        <v>544.5</v>
      </c>
      <c r="F554" s="25">
        <v>49.5</v>
      </c>
      <c r="G554" s="25">
        <v>495</v>
      </c>
      <c r="O554" s="25"/>
    </row>
    <row r="555" spans="1:15" ht="12.5" x14ac:dyDescent="0.25">
      <c r="A555" s="8" t="s">
        <v>715</v>
      </c>
      <c r="B555" s="8" t="s">
        <v>128</v>
      </c>
      <c r="C555" s="8" t="s">
        <v>726</v>
      </c>
      <c r="D555" s="8" t="s">
        <v>788</v>
      </c>
      <c r="E555" s="25">
        <v>990</v>
      </c>
      <c r="F555" s="25">
        <v>90</v>
      </c>
      <c r="G555" s="25">
        <v>900</v>
      </c>
      <c r="O555" s="25"/>
    </row>
    <row r="556" spans="1:15" ht="12.5" x14ac:dyDescent="0.25">
      <c r="A556" s="8" t="s">
        <v>715</v>
      </c>
      <c r="B556" s="8" t="s">
        <v>128</v>
      </c>
      <c r="C556" s="8" t="s">
        <v>726</v>
      </c>
      <c r="D556" s="8" t="s">
        <v>789</v>
      </c>
      <c r="E556" s="25">
        <v>330</v>
      </c>
      <c r="F556" s="25">
        <v>30</v>
      </c>
      <c r="G556" s="25">
        <v>300</v>
      </c>
      <c r="O556" s="25"/>
    </row>
    <row r="557" spans="1:15" ht="12.5" x14ac:dyDescent="0.25">
      <c r="A557" s="8" t="s">
        <v>715</v>
      </c>
      <c r="B557" s="8" t="s">
        <v>128</v>
      </c>
      <c r="C557" s="8" t="s">
        <v>726</v>
      </c>
      <c r="D557" s="8" t="s">
        <v>790</v>
      </c>
      <c r="E557" s="25">
        <v>891</v>
      </c>
      <c r="F557" s="25">
        <v>81</v>
      </c>
      <c r="G557" s="25">
        <v>810</v>
      </c>
      <c r="O557" s="25"/>
    </row>
    <row r="558" spans="1:15" ht="12.5" x14ac:dyDescent="0.25">
      <c r="A558" s="8" t="s">
        <v>715</v>
      </c>
      <c r="B558" s="8" t="s">
        <v>128</v>
      </c>
      <c r="C558" s="8" t="s">
        <v>726</v>
      </c>
      <c r="D558" s="8" t="s">
        <v>164</v>
      </c>
      <c r="E558" s="25">
        <v>2310</v>
      </c>
      <c r="F558" s="25">
        <v>210</v>
      </c>
      <c r="G558" s="25">
        <v>2100</v>
      </c>
      <c r="O558" s="25"/>
    </row>
    <row r="559" spans="1:15" ht="12.5" x14ac:dyDescent="0.25">
      <c r="A559" s="8" t="s">
        <v>715</v>
      </c>
      <c r="B559" s="8" t="s">
        <v>128</v>
      </c>
      <c r="C559" s="8" t="s">
        <v>726</v>
      </c>
      <c r="D559" s="8" t="s">
        <v>165</v>
      </c>
      <c r="E559" s="25">
        <v>82.5</v>
      </c>
      <c r="F559" s="25">
        <v>7.5</v>
      </c>
      <c r="G559" s="25">
        <v>75</v>
      </c>
      <c r="O559" s="25"/>
    </row>
    <row r="560" spans="1:15" ht="12.5" x14ac:dyDescent="0.25">
      <c r="A560" s="8" t="s">
        <v>715</v>
      </c>
      <c r="B560" s="8" t="s">
        <v>128</v>
      </c>
      <c r="C560" s="8" t="s">
        <v>791</v>
      </c>
      <c r="D560" s="8" t="s">
        <v>792</v>
      </c>
      <c r="E560" s="25">
        <v>363</v>
      </c>
      <c r="F560" s="25">
        <v>33</v>
      </c>
      <c r="G560" s="25">
        <v>330</v>
      </c>
      <c r="O560" s="25"/>
    </row>
    <row r="561" spans="1:15" ht="12.5" x14ac:dyDescent="0.25">
      <c r="A561" s="8" t="s">
        <v>715</v>
      </c>
      <c r="B561" s="8" t="s">
        <v>128</v>
      </c>
      <c r="C561" s="8" t="s">
        <v>793</v>
      </c>
      <c r="D561" s="8" t="s">
        <v>794</v>
      </c>
      <c r="E561" s="25">
        <v>1593.9</v>
      </c>
      <c r="F561" s="25">
        <v>144.9</v>
      </c>
      <c r="G561" s="25">
        <v>1449</v>
      </c>
      <c r="O561" s="25"/>
    </row>
    <row r="562" spans="1:15" ht="12.5" x14ac:dyDescent="0.25">
      <c r="A562" s="8" t="s">
        <v>715</v>
      </c>
      <c r="B562" s="8" t="s">
        <v>128</v>
      </c>
      <c r="C562" s="8" t="s">
        <v>793</v>
      </c>
      <c r="D562" s="8" t="s">
        <v>795</v>
      </c>
      <c r="E562" s="25">
        <v>660</v>
      </c>
      <c r="F562" s="25">
        <v>60</v>
      </c>
      <c r="G562" s="25">
        <v>600</v>
      </c>
      <c r="O562" s="25"/>
    </row>
    <row r="563" spans="1:15" ht="12.5" x14ac:dyDescent="0.25">
      <c r="A563" s="8" t="s">
        <v>715</v>
      </c>
      <c r="B563" s="8" t="s">
        <v>128</v>
      </c>
      <c r="C563" s="8" t="s">
        <v>793</v>
      </c>
      <c r="D563" s="8" t="s">
        <v>796</v>
      </c>
      <c r="E563" s="25">
        <v>330</v>
      </c>
      <c r="F563" s="25">
        <v>30</v>
      </c>
      <c r="G563" s="25">
        <v>300</v>
      </c>
      <c r="O563" s="25"/>
    </row>
    <row r="564" spans="1:15" ht="12.5" x14ac:dyDescent="0.25">
      <c r="A564" s="8" t="s">
        <v>715</v>
      </c>
      <c r="B564" s="8" t="s">
        <v>128</v>
      </c>
      <c r="C564" s="8" t="s">
        <v>793</v>
      </c>
      <c r="D564" s="8" t="s">
        <v>797</v>
      </c>
      <c r="E564" s="25">
        <v>330</v>
      </c>
      <c r="F564" s="25">
        <v>30</v>
      </c>
      <c r="G564" s="25">
        <v>300</v>
      </c>
      <c r="O564" s="25"/>
    </row>
    <row r="565" spans="1:15" ht="12.5" x14ac:dyDescent="0.25">
      <c r="A565" s="8" t="s">
        <v>715</v>
      </c>
      <c r="B565" s="8" t="s">
        <v>128</v>
      </c>
      <c r="C565" s="8" t="s">
        <v>793</v>
      </c>
      <c r="D565" s="8" t="s">
        <v>798</v>
      </c>
      <c r="E565" s="25">
        <v>148.5</v>
      </c>
      <c r="F565" s="25">
        <v>13.5</v>
      </c>
      <c r="G565" s="25">
        <v>135</v>
      </c>
      <c r="O565" s="25"/>
    </row>
    <row r="566" spans="1:15" ht="12.5" x14ac:dyDescent="0.25">
      <c r="A566" s="8" t="s">
        <v>715</v>
      </c>
      <c r="B566" s="8" t="s">
        <v>128</v>
      </c>
      <c r="C566" s="8" t="s">
        <v>799</v>
      </c>
      <c r="D566" s="8" t="s">
        <v>800</v>
      </c>
      <c r="E566" s="25">
        <v>1580.7</v>
      </c>
      <c r="F566" s="25">
        <v>143.69999999999999</v>
      </c>
      <c r="G566" s="25">
        <v>1437</v>
      </c>
      <c r="O566" s="25"/>
    </row>
    <row r="567" spans="1:15" ht="12.5" x14ac:dyDescent="0.25">
      <c r="A567" s="8" t="s">
        <v>715</v>
      </c>
      <c r="B567" s="8" t="s">
        <v>128</v>
      </c>
      <c r="C567" s="8" t="s">
        <v>799</v>
      </c>
      <c r="D567" s="8" t="s">
        <v>801</v>
      </c>
      <c r="E567" s="25">
        <v>330</v>
      </c>
      <c r="F567" s="25">
        <v>30</v>
      </c>
      <c r="G567" s="25">
        <v>300</v>
      </c>
      <c r="O567" s="25"/>
    </row>
    <row r="568" spans="1:15" ht="12.5" x14ac:dyDescent="0.25">
      <c r="A568" s="8" t="s">
        <v>715</v>
      </c>
      <c r="B568" s="8" t="s">
        <v>128</v>
      </c>
      <c r="C568" s="8" t="s">
        <v>611</v>
      </c>
      <c r="D568" s="8" t="s">
        <v>802</v>
      </c>
      <c r="E568" s="25">
        <v>2640</v>
      </c>
      <c r="F568" s="25">
        <v>240</v>
      </c>
      <c r="G568" s="25">
        <v>2400</v>
      </c>
      <c r="O568" s="25"/>
    </row>
    <row r="569" spans="1:15" ht="12.5" x14ac:dyDescent="0.25">
      <c r="A569" s="8" t="s">
        <v>715</v>
      </c>
      <c r="B569" s="8" t="s">
        <v>128</v>
      </c>
      <c r="C569" s="8" t="s">
        <v>611</v>
      </c>
      <c r="D569" s="8" t="s">
        <v>803</v>
      </c>
      <c r="E569" s="25">
        <v>330</v>
      </c>
      <c r="F569" s="25">
        <v>30</v>
      </c>
      <c r="G569" s="25">
        <v>300</v>
      </c>
      <c r="O569" s="25"/>
    </row>
    <row r="570" spans="1:15" ht="12.5" x14ac:dyDescent="0.25">
      <c r="A570" s="8" t="s">
        <v>715</v>
      </c>
      <c r="B570" s="8" t="s">
        <v>128</v>
      </c>
      <c r="C570" s="8" t="s">
        <v>611</v>
      </c>
      <c r="D570" s="8" t="s">
        <v>804</v>
      </c>
      <c r="E570" s="25">
        <v>297</v>
      </c>
      <c r="F570" s="25">
        <v>27</v>
      </c>
      <c r="G570" s="25">
        <v>270</v>
      </c>
      <c r="O570" s="25"/>
    </row>
    <row r="571" spans="1:15" ht="12.5" x14ac:dyDescent="0.25">
      <c r="A571" s="8" t="s">
        <v>715</v>
      </c>
      <c r="B571" s="8" t="s">
        <v>128</v>
      </c>
      <c r="C571" s="8" t="s">
        <v>611</v>
      </c>
      <c r="D571" s="8" t="s">
        <v>805</v>
      </c>
      <c r="E571" s="25">
        <v>297</v>
      </c>
      <c r="F571" s="25">
        <v>27</v>
      </c>
      <c r="G571" s="25">
        <v>270</v>
      </c>
      <c r="O571" s="25"/>
    </row>
    <row r="572" spans="1:15" ht="12.5" x14ac:dyDescent="0.25">
      <c r="A572" s="8" t="s">
        <v>715</v>
      </c>
      <c r="B572" s="8" t="s">
        <v>128</v>
      </c>
      <c r="C572" s="8" t="s">
        <v>611</v>
      </c>
      <c r="D572" s="8" t="s">
        <v>806</v>
      </c>
      <c r="E572" s="25">
        <v>-445.5</v>
      </c>
      <c r="F572" s="25">
        <v>-40.5</v>
      </c>
      <c r="G572" s="25">
        <v>-405</v>
      </c>
      <c r="O572" s="25"/>
    </row>
    <row r="573" spans="1:15" ht="12.5" x14ac:dyDescent="0.25">
      <c r="A573" s="8" t="s">
        <v>715</v>
      </c>
      <c r="B573" s="8" t="s">
        <v>128</v>
      </c>
      <c r="C573" s="8" t="s">
        <v>611</v>
      </c>
      <c r="D573" s="8" t="s">
        <v>807</v>
      </c>
      <c r="E573" s="25">
        <v>-148.5</v>
      </c>
      <c r="F573" s="25">
        <v>-13.5</v>
      </c>
      <c r="G573" s="25">
        <v>-135</v>
      </c>
      <c r="O573" s="25"/>
    </row>
    <row r="574" spans="1:15" ht="12.5" x14ac:dyDescent="0.25">
      <c r="A574" s="8" t="s">
        <v>715</v>
      </c>
      <c r="B574" s="8" t="s">
        <v>128</v>
      </c>
      <c r="C574" s="8" t="s">
        <v>611</v>
      </c>
      <c r="D574" s="8" t="s">
        <v>808</v>
      </c>
      <c r="E574" s="25">
        <v>330</v>
      </c>
      <c r="F574" s="25">
        <v>30</v>
      </c>
      <c r="G574" s="25">
        <v>300</v>
      </c>
      <c r="O574" s="25"/>
    </row>
    <row r="575" spans="1:15" ht="12.5" x14ac:dyDescent="0.25">
      <c r="A575" s="8" t="s">
        <v>715</v>
      </c>
      <c r="B575" s="8" t="s">
        <v>128</v>
      </c>
      <c r="C575" s="8" t="s">
        <v>809</v>
      </c>
      <c r="D575" s="8" t="s">
        <v>810</v>
      </c>
      <c r="E575" s="25">
        <v>3791.7</v>
      </c>
      <c r="F575" s="25">
        <v>344.7</v>
      </c>
      <c r="G575" s="25">
        <v>3447</v>
      </c>
      <c r="O575" s="25"/>
    </row>
    <row r="576" spans="1:15" ht="12.5" x14ac:dyDescent="0.25">
      <c r="A576" s="8" t="s">
        <v>715</v>
      </c>
      <c r="B576" s="8" t="s">
        <v>128</v>
      </c>
      <c r="C576" s="8" t="s">
        <v>809</v>
      </c>
      <c r="D576" s="8" t="s">
        <v>811</v>
      </c>
      <c r="E576" s="25">
        <v>82.5</v>
      </c>
      <c r="F576" s="25">
        <v>7.5</v>
      </c>
      <c r="G576" s="25">
        <v>75</v>
      </c>
      <c r="O576" s="25"/>
    </row>
    <row r="577" spans="1:15" ht="12.5" x14ac:dyDescent="0.25">
      <c r="A577" s="8" t="s">
        <v>715</v>
      </c>
      <c r="B577" s="8" t="s">
        <v>128</v>
      </c>
      <c r="C577" s="8" t="s">
        <v>809</v>
      </c>
      <c r="D577" s="8" t="s">
        <v>812</v>
      </c>
      <c r="E577" s="25">
        <v>297</v>
      </c>
      <c r="F577" s="25">
        <v>27</v>
      </c>
      <c r="G577" s="25">
        <v>270</v>
      </c>
      <c r="O577" s="25"/>
    </row>
    <row r="578" spans="1:15" ht="12.5" x14ac:dyDescent="0.25">
      <c r="A578" s="8" t="s">
        <v>715</v>
      </c>
      <c r="B578" s="8" t="s">
        <v>128</v>
      </c>
      <c r="C578" s="8" t="s">
        <v>756</v>
      </c>
      <c r="D578" s="8" t="s">
        <v>813</v>
      </c>
      <c r="E578" s="25">
        <v>165</v>
      </c>
      <c r="F578" s="25">
        <v>15</v>
      </c>
      <c r="G578" s="25">
        <v>150</v>
      </c>
      <c r="O578" s="25"/>
    </row>
    <row r="579" spans="1:15" ht="12.5" x14ac:dyDescent="0.25">
      <c r="A579" s="8" t="s">
        <v>715</v>
      </c>
      <c r="B579" s="8" t="s">
        <v>128</v>
      </c>
      <c r="C579" s="8" t="s">
        <v>756</v>
      </c>
      <c r="D579" s="8" t="s">
        <v>243</v>
      </c>
      <c r="E579" s="25">
        <v>16.5</v>
      </c>
      <c r="F579" s="25">
        <v>1.5</v>
      </c>
      <c r="G579" s="25">
        <v>15</v>
      </c>
      <c r="O579" s="25"/>
    </row>
    <row r="580" spans="1:15" ht="12.5" x14ac:dyDescent="0.25">
      <c r="A580" s="8" t="s">
        <v>715</v>
      </c>
      <c r="B580" s="8" t="s">
        <v>128</v>
      </c>
      <c r="C580" s="8" t="s">
        <v>756</v>
      </c>
      <c r="D580" s="8" t="s">
        <v>490</v>
      </c>
      <c r="E580" s="25">
        <v>734.8</v>
      </c>
      <c r="F580" s="25">
        <v>66.8</v>
      </c>
      <c r="G580" s="25">
        <v>668</v>
      </c>
      <c r="O580" s="25"/>
    </row>
    <row r="581" spans="1:15" ht="12.5" x14ac:dyDescent="0.25">
      <c r="A581" s="8" t="s">
        <v>715</v>
      </c>
      <c r="B581" s="8" t="s">
        <v>128</v>
      </c>
      <c r="C581" s="8" t="s">
        <v>756</v>
      </c>
      <c r="D581" s="8" t="s">
        <v>814</v>
      </c>
      <c r="E581" s="25">
        <v>396</v>
      </c>
      <c r="F581" s="25">
        <v>36</v>
      </c>
      <c r="G581" s="25">
        <v>360</v>
      </c>
      <c r="O581" s="25"/>
    </row>
    <row r="582" spans="1:15" ht="12.5" x14ac:dyDescent="0.25">
      <c r="A582" s="8" t="s">
        <v>715</v>
      </c>
      <c r="B582" s="8" t="s">
        <v>128</v>
      </c>
      <c r="C582" s="8" t="s">
        <v>756</v>
      </c>
      <c r="D582" s="8" t="s">
        <v>253</v>
      </c>
      <c r="E582" s="25">
        <v>247.5</v>
      </c>
      <c r="F582" s="25">
        <v>22.5</v>
      </c>
      <c r="G582" s="25">
        <v>225</v>
      </c>
      <c r="O582" s="25"/>
    </row>
    <row r="583" spans="1:15" ht="12.5" x14ac:dyDescent="0.25">
      <c r="A583" s="8" t="s">
        <v>715</v>
      </c>
      <c r="B583" s="8" t="s">
        <v>128</v>
      </c>
      <c r="C583" s="8" t="s">
        <v>756</v>
      </c>
      <c r="D583" s="8" t="s">
        <v>254</v>
      </c>
      <c r="E583" s="25">
        <v>220</v>
      </c>
      <c r="F583" s="25">
        <v>20</v>
      </c>
      <c r="G583" s="25">
        <v>200</v>
      </c>
      <c r="O583" s="25"/>
    </row>
    <row r="584" spans="1:15" ht="12.5" x14ac:dyDescent="0.25">
      <c r="A584" s="8" t="s">
        <v>715</v>
      </c>
      <c r="B584" s="8" t="s">
        <v>128</v>
      </c>
      <c r="C584" s="8" t="s">
        <v>756</v>
      </c>
      <c r="D584" s="8" t="s">
        <v>815</v>
      </c>
      <c r="E584" s="25">
        <v>99</v>
      </c>
      <c r="F584" s="25">
        <v>9</v>
      </c>
      <c r="G584" s="25">
        <v>90</v>
      </c>
      <c r="O584" s="25"/>
    </row>
    <row r="585" spans="1:15" ht="12.5" x14ac:dyDescent="0.25">
      <c r="A585" s="8" t="s">
        <v>715</v>
      </c>
      <c r="B585" s="8" t="s">
        <v>132</v>
      </c>
      <c r="C585" s="8" t="s">
        <v>816</v>
      </c>
      <c r="D585" s="8" t="s">
        <v>148</v>
      </c>
      <c r="E585" s="25">
        <v>297</v>
      </c>
      <c r="F585" s="25">
        <v>27</v>
      </c>
      <c r="G585" s="25">
        <v>270</v>
      </c>
      <c r="O585" s="25"/>
    </row>
    <row r="586" spans="1:15" ht="12.5" x14ac:dyDescent="0.25">
      <c r="A586" s="8" t="s">
        <v>715</v>
      </c>
      <c r="B586" s="8" t="s">
        <v>132</v>
      </c>
      <c r="C586" s="8" t="s">
        <v>816</v>
      </c>
      <c r="D586" s="8" t="s">
        <v>149</v>
      </c>
      <c r="E586" s="25">
        <v>49.5</v>
      </c>
      <c r="F586" s="25">
        <v>4.5</v>
      </c>
      <c r="G586" s="25">
        <v>45</v>
      </c>
      <c r="O586" s="25"/>
    </row>
    <row r="587" spans="1:15" ht="12.5" x14ac:dyDescent="0.25">
      <c r="A587" s="8" t="s">
        <v>715</v>
      </c>
      <c r="B587" s="8" t="s">
        <v>132</v>
      </c>
      <c r="C587" s="8" t="s">
        <v>816</v>
      </c>
      <c r="D587" s="8" t="s">
        <v>150</v>
      </c>
      <c r="E587" s="25">
        <v>304.92</v>
      </c>
      <c r="F587" s="25">
        <v>27.72</v>
      </c>
      <c r="G587" s="25">
        <v>277.2</v>
      </c>
      <c r="O587" s="25"/>
    </row>
    <row r="588" spans="1:15" ht="12.5" x14ac:dyDescent="0.25">
      <c r="A588" s="8" t="s">
        <v>715</v>
      </c>
      <c r="B588" s="8" t="s">
        <v>132</v>
      </c>
      <c r="C588" s="8" t="s">
        <v>816</v>
      </c>
      <c r="D588" s="8" t="s">
        <v>155</v>
      </c>
      <c r="E588" s="25">
        <v>27.5</v>
      </c>
      <c r="F588" s="25">
        <v>2.5</v>
      </c>
      <c r="G588" s="25">
        <v>25</v>
      </c>
      <c r="O588" s="25"/>
    </row>
    <row r="589" spans="1:15" ht="12.5" x14ac:dyDescent="0.25">
      <c r="A589" s="8" t="s">
        <v>715</v>
      </c>
      <c r="B589" s="8" t="s">
        <v>132</v>
      </c>
      <c r="C589" s="8" t="s">
        <v>816</v>
      </c>
      <c r="D589" s="8" t="s">
        <v>156</v>
      </c>
      <c r="E589" s="25">
        <v>27.5</v>
      </c>
      <c r="F589" s="25">
        <v>2.5</v>
      </c>
      <c r="G589" s="25">
        <v>25</v>
      </c>
      <c r="O589" s="25"/>
    </row>
    <row r="590" spans="1:15" ht="12.5" x14ac:dyDescent="0.25">
      <c r="A590" s="8" t="s">
        <v>715</v>
      </c>
      <c r="B590" s="8" t="s">
        <v>132</v>
      </c>
      <c r="C590" s="8" t="s">
        <v>816</v>
      </c>
      <c r="D590" s="8" t="s">
        <v>157</v>
      </c>
      <c r="E590" s="25">
        <v>49.5</v>
      </c>
      <c r="F590" s="25">
        <v>4.5</v>
      </c>
      <c r="G590" s="25">
        <v>45</v>
      </c>
      <c r="O590" s="25"/>
    </row>
    <row r="591" spans="1:15" ht="12.5" x14ac:dyDescent="0.25">
      <c r="A591" s="8" t="s">
        <v>715</v>
      </c>
      <c r="B591" s="8" t="s">
        <v>137</v>
      </c>
      <c r="C591" s="8" t="s">
        <v>816</v>
      </c>
      <c r="D591" s="8" t="s">
        <v>158</v>
      </c>
      <c r="E591" s="25">
        <v>18.899999999999999</v>
      </c>
      <c r="F591" s="25">
        <v>1.72</v>
      </c>
      <c r="G591" s="25">
        <v>17.18</v>
      </c>
      <c r="O591" s="25"/>
    </row>
    <row r="592" spans="1:15" ht="12.5" x14ac:dyDescent="0.25">
      <c r="A592" s="8" t="s">
        <v>715</v>
      </c>
      <c r="B592" s="8" t="s">
        <v>128</v>
      </c>
      <c r="C592" s="8" t="s">
        <v>720</v>
      </c>
      <c r="D592" s="8" t="s">
        <v>817</v>
      </c>
      <c r="E592" s="25">
        <v>330</v>
      </c>
      <c r="F592" s="25">
        <v>30</v>
      </c>
      <c r="G592" s="25">
        <v>300</v>
      </c>
      <c r="O592" s="25"/>
    </row>
    <row r="593" spans="1:15" ht="12.5" x14ac:dyDescent="0.25">
      <c r="A593" s="8" t="s">
        <v>715</v>
      </c>
      <c r="B593" s="8" t="s">
        <v>174</v>
      </c>
      <c r="C593" s="8" t="s">
        <v>818</v>
      </c>
      <c r="D593" s="8" t="s">
        <v>819</v>
      </c>
      <c r="E593" s="25">
        <v>825</v>
      </c>
      <c r="F593" s="25">
        <v>75</v>
      </c>
      <c r="G593" s="25">
        <v>750</v>
      </c>
      <c r="O593" s="25"/>
    </row>
    <row r="594" spans="1:15" ht="12.5" x14ac:dyDescent="0.25">
      <c r="A594" s="8" t="s">
        <v>715</v>
      </c>
      <c r="B594" s="8" t="s">
        <v>174</v>
      </c>
      <c r="C594" s="8" t="s">
        <v>818</v>
      </c>
      <c r="D594" s="8" t="s">
        <v>261</v>
      </c>
      <c r="E594" s="25">
        <v>99</v>
      </c>
      <c r="F594" s="25">
        <v>9</v>
      </c>
      <c r="G594" s="25">
        <v>90</v>
      </c>
      <c r="O594" s="25"/>
    </row>
    <row r="595" spans="1:15" ht="12.5" x14ac:dyDescent="0.25">
      <c r="A595" s="8" t="s">
        <v>715</v>
      </c>
      <c r="B595" s="8" t="s">
        <v>132</v>
      </c>
      <c r="C595" s="8" t="s">
        <v>820</v>
      </c>
      <c r="D595" s="8" t="s">
        <v>263</v>
      </c>
      <c r="E595" s="25">
        <v>173.25</v>
      </c>
      <c r="F595" s="25">
        <v>15.75</v>
      </c>
      <c r="G595" s="25">
        <v>157.5</v>
      </c>
      <c r="O595" s="25"/>
    </row>
    <row r="596" spans="1:15" ht="12.5" x14ac:dyDescent="0.25">
      <c r="A596" s="8" t="s">
        <v>715</v>
      </c>
      <c r="B596" s="8" t="s">
        <v>132</v>
      </c>
      <c r="C596" s="8" t="s">
        <v>820</v>
      </c>
      <c r="D596" s="8" t="s">
        <v>264</v>
      </c>
      <c r="E596" s="25">
        <v>27.5</v>
      </c>
      <c r="F596" s="25">
        <v>2.5</v>
      </c>
      <c r="G596" s="25">
        <v>25</v>
      </c>
      <c r="O596" s="25"/>
    </row>
    <row r="597" spans="1:15" ht="12.5" x14ac:dyDescent="0.25">
      <c r="A597" s="8" t="s">
        <v>715</v>
      </c>
      <c r="B597" s="8" t="s">
        <v>137</v>
      </c>
      <c r="C597" s="8" t="s">
        <v>820</v>
      </c>
      <c r="D597" s="8" t="s">
        <v>182</v>
      </c>
      <c r="E597" s="25">
        <v>5.0199999999999996</v>
      </c>
      <c r="F597" s="25">
        <v>0.46</v>
      </c>
      <c r="G597" s="25">
        <v>4.5599999999999996</v>
      </c>
      <c r="O597" s="25"/>
    </row>
    <row r="598" spans="1:15" ht="12.5" x14ac:dyDescent="0.25">
      <c r="A598" s="8" t="s">
        <v>715</v>
      </c>
      <c r="B598" s="8" t="s">
        <v>128</v>
      </c>
      <c r="C598" s="8" t="s">
        <v>777</v>
      </c>
      <c r="D598" s="8" t="s">
        <v>270</v>
      </c>
      <c r="E598" s="25">
        <v>724.9</v>
      </c>
      <c r="F598" s="25">
        <v>65.900000000000006</v>
      </c>
      <c r="G598" s="25">
        <v>659</v>
      </c>
      <c r="O598" s="25"/>
    </row>
    <row r="599" spans="1:15" ht="12.5" x14ac:dyDescent="0.25">
      <c r="A599" s="8" t="s">
        <v>715</v>
      </c>
      <c r="B599" s="8" t="s">
        <v>128</v>
      </c>
      <c r="C599" s="8" t="s">
        <v>777</v>
      </c>
      <c r="D599" s="8" t="s">
        <v>271</v>
      </c>
      <c r="E599" s="25">
        <v>-247.5</v>
      </c>
      <c r="F599" s="25">
        <v>-22.5</v>
      </c>
      <c r="G599" s="25">
        <v>-225</v>
      </c>
      <c r="O599" s="25"/>
    </row>
    <row r="600" spans="1:15" ht="12.5" x14ac:dyDescent="0.25">
      <c r="A600" s="8" t="s">
        <v>715</v>
      </c>
      <c r="B600" s="8" t="s">
        <v>128</v>
      </c>
      <c r="C600" s="8" t="s">
        <v>777</v>
      </c>
      <c r="D600" s="8" t="s">
        <v>272</v>
      </c>
      <c r="E600" s="25">
        <v>49.5</v>
      </c>
      <c r="F600" s="25">
        <v>4.5</v>
      </c>
      <c r="G600" s="25">
        <v>45</v>
      </c>
      <c r="O600" s="25"/>
    </row>
    <row r="601" spans="1:15" ht="12.5" x14ac:dyDescent="0.25">
      <c r="A601" s="8" t="s">
        <v>715</v>
      </c>
      <c r="B601" s="8" t="s">
        <v>128</v>
      </c>
      <c r="C601" s="8" t="s">
        <v>777</v>
      </c>
      <c r="D601" s="8" t="s">
        <v>273</v>
      </c>
      <c r="E601" s="25">
        <v>99</v>
      </c>
      <c r="F601" s="25">
        <v>9</v>
      </c>
      <c r="G601" s="25">
        <v>90</v>
      </c>
      <c r="O601" s="25"/>
    </row>
    <row r="602" spans="1:15" ht="12.5" x14ac:dyDescent="0.25">
      <c r="A602" s="8" t="s">
        <v>715</v>
      </c>
      <c r="B602" s="8" t="s">
        <v>128</v>
      </c>
      <c r="C602" s="8" t="s">
        <v>777</v>
      </c>
      <c r="D602" s="8" t="s">
        <v>274</v>
      </c>
      <c r="E602" s="25">
        <v>49.5</v>
      </c>
      <c r="F602" s="25">
        <v>4.5</v>
      </c>
      <c r="G602" s="25">
        <v>45</v>
      </c>
      <c r="O602" s="25"/>
    </row>
    <row r="603" spans="1:15" ht="12.5" x14ac:dyDescent="0.25">
      <c r="A603" s="8" t="s">
        <v>715</v>
      </c>
      <c r="B603" s="8" t="s">
        <v>128</v>
      </c>
      <c r="C603" s="8" t="s">
        <v>777</v>
      </c>
      <c r="D603" s="8" t="s">
        <v>275</v>
      </c>
      <c r="E603" s="25">
        <v>-99</v>
      </c>
      <c r="F603" s="25">
        <v>-9</v>
      </c>
      <c r="G603" s="25">
        <v>-90</v>
      </c>
      <c r="O603" s="25"/>
    </row>
    <row r="604" spans="1:15" ht="12.5" x14ac:dyDescent="0.25">
      <c r="A604" s="8" t="s">
        <v>715</v>
      </c>
      <c r="B604" s="8" t="s">
        <v>128</v>
      </c>
      <c r="C604" s="8" t="s">
        <v>777</v>
      </c>
      <c r="D604" s="8" t="s">
        <v>276</v>
      </c>
      <c r="E604" s="25">
        <v>110</v>
      </c>
      <c r="F604" s="25">
        <v>10</v>
      </c>
      <c r="G604" s="25">
        <v>100</v>
      </c>
      <c r="O604" s="25"/>
    </row>
    <row r="605" spans="1:15" ht="12.5" x14ac:dyDescent="0.25">
      <c r="A605" s="8" t="s">
        <v>715</v>
      </c>
      <c r="B605" s="8" t="s">
        <v>128</v>
      </c>
      <c r="C605" s="8" t="s">
        <v>777</v>
      </c>
      <c r="D605" s="8" t="s">
        <v>277</v>
      </c>
      <c r="E605" s="25">
        <v>99</v>
      </c>
      <c r="F605" s="25">
        <v>9</v>
      </c>
      <c r="G605" s="25">
        <v>90</v>
      </c>
      <c r="O605" s="25"/>
    </row>
    <row r="606" spans="1:15" ht="12.5" x14ac:dyDescent="0.25">
      <c r="A606" s="8" t="s">
        <v>715</v>
      </c>
      <c r="B606" s="8" t="s">
        <v>137</v>
      </c>
      <c r="C606" s="8" t="s">
        <v>777</v>
      </c>
      <c r="D606" s="8" t="s">
        <v>278</v>
      </c>
      <c r="E606" s="25">
        <v>50.11</v>
      </c>
      <c r="F606" s="25">
        <v>4.5599999999999996</v>
      </c>
      <c r="G606" s="25">
        <v>45.55</v>
      </c>
      <c r="O606" s="25"/>
    </row>
    <row r="607" spans="1:15" ht="12.5" x14ac:dyDescent="0.25">
      <c r="A607" s="8" t="s">
        <v>715</v>
      </c>
      <c r="B607" s="8" t="s">
        <v>128</v>
      </c>
      <c r="C607" s="8" t="s">
        <v>777</v>
      </c>
      <c r="D607" s="8" t="s">
        <v>279</v>
      </c>
      <c r="E607" s="25">
        <v>49.5</v>
      </c>
      <c r="F607" s="25">
        <v>4.5</v>
      </c>
      <c r="G607" s="25">
        <v>45</v>
      </c>
      <c r="O607" s="25"/>
    </row>
    <row r="608" spans="1:15" ht="12.5" x14ac:dyDescent="0.25">
      <c r="A608" s="8" t="s">
        <v>715</v>
      </c>
      <c r="B608" s="8" t="s">
        <v>128</v>
      </c>
      <c r="C608" s="8" t="s">
        <v>777</v>
      </c>
      <c r="D608" s="8" t="s">
        <v>280</v>
      </c>
      <c r="E608" s="25">
        <v>-99</v>
      </c>
      <c r="F608" s="25">
        <v>-9</v>
      </c>
      <c r="G608" s="25">
        <v>-90</v>
      </c>
      <c r="O608" s="25"/>
    </row>
    <row r="609" spans="1:15" ht="12.5" x14ac:dyDescent="0.25">
      <c r="A609" s="8" t="s">
        <v>715</v>
      </c>
      <c r="B609" s="8" t="s">
        <v>128</v>
      </c>
      <c r="C609" s="8" t="s">
        <v>777</v>
      </c>
      <c r="D609" s="8" t="s">
        <v>503</v>
      </c>
      <c r="E609" s="25">
        <v>110</v>
      </c>
      <c r="F609" s="25">
        <v>10</v>
      </c>
      <c r="G609" s="25">
        <v>100</v>
      </c>
      <c r="O609" s="25"/>
    </row>
    <row r="610" spans="1:15" ht="12.5" x14ac:dyDescent="0.25">
      <c r="A610" s="8" t="s">
        <v>715</v>
      </c>
      <c r="B610" s="8" t="s">
        <v>128</v>
      </c>
      <c r="C610" s="8" t="s">
        <v>777</v>
      </c>
      <c r="D610" s="8" t="s">
        <v>504</v>
      </c>
      <c r="E610" s="25">
        <v>49.5</v>
      </c>
      <c r="F610" s="25">
        <v>4.5</v>
      </c>
      <c r="G610" s="25">
        <v>45</v>
      </c>
      <c r="O610" s="25"/>
    </row>
    <row r="611" spans="1:15" ht="12.5" x14ac:dyDescent="0.25">
      <c r="A611" s="8" t="s">
        <v>715</v>
      </c>
      <c r="B611" s="8" t="s">
        <v>128</v>
      </c>
      <c r="C611" s="8" t="s">
        <v>720</v>
      </c>
      <c r="D611" s="8" t="s">
        <v>821</v>
      </c>
      <c r="E611" s="25">
        <v>273.89999999999998</v>
      </c>
      <c r="F611" s="25">
        <v>24.9</v>
      </c>
      <c r="G611" s="25">
        <v>249</v>
      </c>
      <c r="O611" s="25"/>
    </row>
    <row r="612" spans="1:15" ht="12.5" x14ac:dyDescent="0.25">
      <c r="A612" s="8" t="s">
        <v>715</v>
      </c>
      <c r="B612" s="8" t="s">
        <v>128</v>
      </c>
      <c r="C612" s="8" t="s">
        <v>777</v>
      </c>
      <c r="D612" s="8" t="s">
        <v>290</v>
      </c>
      <c r="E612" s="25">
        <v>675.4</v>
      </c>
      <c r="F612" s="25">
        <v>61.4</v>
      </c>
      <c r="G612" s="25">
        <v>614</v>
      </c>
      <c r="O612" s="25"/>
    </row>
    <row r="613" spans="1:15" ht="12.5" x14ac:dyDescent="0.25">
      <c r="A613" s="8" t="s">
        <v>715</v>
      </c>
      <c r="B613" s="8" t="s">
        <v>128</v>
      </c>
      <c r="C613" s="8" t="s">
        <v>777</v>
      </c>
      <c r="D613" s="8" t="s">
        <v>291</v>
      </c>
      <c r="E613" s="25">
        <v>-345.4</v>
      </c>
      <c r="F613" s="25">
        <v>-31.4</v>
      </c>
      <c r="G613" s="25">
        <v>-314</v>
      </c>
      <c r="O613" s="25"/>
    </row>
    <row r="614" spans="1:15" ht="12.5" x14ac:dyDescent="0.25">
      <c r="A614" s="8" t="s">
        <v>715</v>
      </c>
      <c r="B614" s="8" t="s">
        <v>174</v>
      </c>
      <c r="C614" s="8" t="s">
        <v>822</v>
      </c>
      <c r="D614" s="8" t="s">
        <v>823</v>
      </c>
      <c r="E614" s="25">
        <v>378.4</v>
      </c>
      <c r="F614" s="25">
        <v>34.4</v>
      </c>
      <c r="G614" s="25">
        <v>344</v>
      </c>
      <c r="O614" s="25"/>
    </row>
    <row r="615" spans="1:15" ht="12.5" x14ac:dyDescent="0.25">
      <c r="A615" s="8" t="s">
        <v>715</v>
      </c>
      <c r="B615" s="8" t="s">
        <v>174</v>
      </c>
      <c r="C615" s="8" t="s">
        <v>824</v>
      </c>
      <c r="D615" s="8" t="s">
        <v>825</v>
      </c>
      <c r="E615" s="25">
        <v>242</v>
      </c>
      <c r="F615" s="25">
        <v>22</v>
      </c>
      <c r="G615" s="25">
        <v>220</v>
      </c>
      <c r="O615" s="25"/>
    </row>
    <row r="616" spans="1:15" ht="12.5" x14ac:dyDescent="0.25">
      <c r="A616" s="8" t="s">
        <v>715</v>
      </c>
      <c r="B616" s="8" t="s">
        <v>174</v>
      </c>
      <c r="C616" s="8" t="s">
        <v>824</v>
      </c>
      <c r="D616" s="8" t="s">
        <v>322</v>
      </c>
      <c r="E616" s="25">
        <v>665.5</v>
      </c>
      <c r="F616" s="25">
        <v>60.5</v>
      </c>
      <c r="G616" s="25">
        <v>605</v>
      </c>
      <c r="O616" s="25"/>
    </row>
    <row r="617" spans="1:15" ht="12.5" x14ac:dyDescent="0.25">
      <c r="A617" s="8" t="s">
        <v>715</v>
      </c>
      <c r="B617" s="8" t="s">
        <v>174</v>
      </c>
      <c r="C617" s="8" t="s">
        <v>470</v>
      </c>
      <c r="D617" s="8" t="s">
        <v>225</v>
      </c>
      <c r="E617" s="25">
        <v>1589.5</v>
      </c>
      <c r="F617" s="25">
        <v>144.5</v>
      </c>
      <c r="G617" s="25">
        <v>1445</v>
      </c>
      <c r="O617" s="25"/>
    </row>
    <row r="618" spans="1:15" ht="12.5" x14ac:dyDescent="0.25">
      <c r="A618" s="8" t="s">
        <v>715</v>
      </c>
      <c r="B618" s="8" t="s">
        <v>174</v>
      </c>
      <c r="C618" s="8" t="s">
        <v>470</v>
      </c>
      <c r="D618" s="8" t="s">
        <v>226</v>
      </c>
      <c r="E618" s="25">
        <v>49.5</v>
      </c>
      <c r="F618" s="25">
        <v>4.5</v>
      </c>
      <c r="G618" s="25">
        <v>45</v>
      </c>
      <c r="O618" s="25"/>
    </row>
    <row r="619" spans="1:15" ht="12.5" x14ac:dyDescent="0.25">
      <c r="A619" s="8" t="s">
        <v>715</v>
      </c>
      <c r="B619" s="8" t="s">
        <v>132</v>
      </c>
      <c r="C619" s="8" t="s">
        <v>470</v>
      </c>
      <c r="D619" s="8" t="s">
        <v>227</v>
      </c>
      <c r="E619" s="25">
        <v>110</v>
      </c>
      <c r="F619" s="25">
        <v>10</v>
      </c>
      <c r="G619" s="25">
        <v>100</v>
      </c>
      <c r="O619" s="25"/>
    </row>
    <row r="620" spans="1:15" ht="12.5" x14ac:dyDescent="0.25">
      <c r="A620" s="8" t="s">
        <v>826</v>
      </c>
      <c r="B620" s="8" t="s">
        <v>356</v>
      </c>
      <c r="C620" s="8" t="s">
        <v>827</v>
      </c>
      <c r="D620" s="8" t="s">
        <v>828</v>
      </c>
      <c r="E620" s="25">
        <v>1017.5</v>
      </c>
      <c r="F620" s="25">
        <v>92.5</v>
      </c>
      <c r="G620" s="25">
        <v>925</v>
      </c>
      <c r="O620" s="25"/>
    </row>
    <row r="621" spans="1:15" ht="12.5" x14ac:dyDescent="0.25">
      <c r="A621" s="8" t="s">
        <v>826</v>
      </c>
      <c r="B621" s="8" t="s">
        <v>356</v>
      </c>
      <c r="C621" s="8" t="s">
        <v>829</v>
      </c>
      <c r="D621" s="8" t="s">
        <v>830</v>
      </c>
      <c r="E621" s="25">
        <v>407</v>
      </c>
      <c r="F621" s="25">
        <v>37</v>
      </c>
      <c r="G621" s="25">
        <v>370</v>
      </c>
      <c r="O621" s="25"/>
    </row>
    <row r="622" spans="1:15" ht="12.5" x14ac:dyDescent="0.25">
      <c r="A622" s="8" t="s">
        <v>826</v>
      </c>
      <c r="B622" s="8" t="s">
        <v>356</v>
      </c>
      <c r="C622" s="8" t="s">
        <v>831</v>
      </c>
      <c r="D622" s="8" t="s">
        <v>832</v>
      </c>
      <c r="E622" s="25">
        <v>1017.5</v>
      </c>
      <c r="F622" s="25">
        <v>92.5</v>
      </c>
      <c r="G622" s="25">
        <v>925</v>
      </c>
      <c r="O622" s="25"/>
    </row>
    <row r="623" spans="1:15" ht="12.5" x14ac:dyDescent="0.25">
      <c r="A623" s="8" t="s">
        <v>833</v>
      </c>
      <c r="B623" s="8" t="s">
        <v>132</v>
      </c>
      <c r="C623" s="8" t="s">
        <v>749</v>
      </c>
      <c r="D623" s="8" t="s">
        <v>750</v>
      </c>
      <c r="E623" s="25">
        <v>-103.95</v>
      </c>
      <c r="F623" s="25">
        <v>-9.4499999999999993</v>
      </c>
      <c r="G623" s="25">
        <v>-94.5</v>
      </c>
      <c r="O623" s="25"/>
    </row>
    <row r="624" spans="1:15" ht="12.5" x14ac:dyDescent="0.25">
      <c r="A624" s="8" t="s">
        <v>833</v>
      </c>
      <c r="B624" s="8" t="s">
        <v>128</v>
      </c>
      <c r="C624" s="8" t="s">
        <v>834</v>
      </c>
      <c r="D624" s="8" t="s">
        <v>835</v>
      </c>
      <c r="E624" s="25">
        <v>1633.5</v>
      </c>
      <c r="F624" s="25">
        <v>148.5</v>
      </c>
      <c r="G624" s="25">
        <v>1485</v>
      </c>
      <c r="O624" s="25"/>
    </row>
    <row r="625" spans="1:15" ht="12.5" x14ac:dyDescent="0.25">
      <c r="A625" s="8" t="s">
        <v>833</v>
      </c>
      <c r="B625" s="8" t="s">
        <v>128</v>
      </c>
      <c r="C625" s="8" t="s">
        <v>611</v>
      </c>
      <c r="D625" s="8" t="s">
        <v>741</v>
      </c>
      <c r="E625" s="25">
        <v>-1996.5</v>
      </c>
      <c r="F625" s="25">
        <v>-181.5</v>
      </c>
      <c r="G625" s="25">
        <v>-1815</v>
      </c>
      <c r="O625" s="25"/>
    </row>
    <row r="626" spans="1:15" ht="12.5" x14ac:dyDescent="0.25">
      <c r="A626" s="8" t="s">
        <v>833</v>
      </c>
      <c r="B626" s="8" t="s">
        <v>356</v>
      </c>
      <c r="C626" s="8" t="s">
        <v>836</v>
      </c>
      <c r="D626" s="8" t="s">
        <v>837</v>
      </c>
      <c r="E626" s="25">
        <v>1628</v>
      </c>
      <c r="F626" s="25">
        <v>148</v>
      </c>
      <c r="G626" s="25">
        <v>1480</v>
      </c>
      <c r="O626" s="25"/>
    </row>
    <row r="627" spans="1:15" ht="12.5" x14ac:dyDescent="0.25">
      <c r="A627" s="8" t="s">
        <v>833</v>
      </c>
      <c r="B627" s="8" t="s">
        <v>347</v>
      </c>
      <c r="C627" s="8" t="s">
        <v>838</v>
      </c>
      <c r="D627" s="8" t="s">
        <v>839</v>
      </c>
      <c r="E627" s="25">
        <v>110</v>
      </c>
      <c r="F627" s="25">
        <v>10</v>
      </c>
      <c r="G627" s="25">
        <v>100</v>
      </c>
      <c r="O627" s="25"/>
    </row>
    <row r="628" spans="1:15" ht="12.5" x14ac:dyDescent="0.25">
      <c r="A628" s="8" t="s">
        <v>833</v>
      </c>
      <c r="B628" s="8" t="s">
        <v>128</v>
      </c>
      <c r="C628" s="8" t="s">
        <v>838</v>
      </c>
      <c r="D628" s="8" t="s">
        <v>840</v>
      </c>
      <c r="E628" s="25">
        <v>428.01</v>
      </c>
      <c r="F628" s="25">
        <v>38.909999999999997</v>
      </c>
      <c r="G628" s="25">
        <v>389.1</v>
      </c>
      <c r="O628" s="25"/>
    </row>
    <row r="629" spans="1:15" ht="12.5" x14ac:dyDescent="0.25">
      <c r="A629" s="8" t="s">
        <v>841</v>
      </c>
      <c r="B629" s="8" t="s">
        <v>356</v>
      </c>
      <c r="C629" s="8" t="s">
        <v>357</v>
      </c>
      <c r="D629" s="8" t="s">
        <v>842</v>
      </c>
      <c r="E629" s="25">
        <v>-203.5</v>
      </c>
      <c r="F629" s="25">
        <v>-18.5</v>
      </c>
      <c r="G629" s="25">
        <v>-185</v>
      </c>
      <c r="O629" s="25"/>
    </row>
    <row r="630" spans="1:15" ht="12.5" x14ac:dyDescent="0.25">
      <c r="A630" s="8" t="s">
        <v>841</v>
      </c>
      <c r="B630" s="8" t="s">
        <v>356</v>
      </c>
      <c r="C630" s="8" t="s">
        <v>357</v>
      </c>
      <c r="D630" s="8" t="s">
        <v>843</v>
      </c>
      <c r="E630" s="25">
        <v>4070</v>
      </c>
      <c r="F630" s="25">
        <v>370</v>
      </c>
      <c r="G630" s="25">
        <v>3700</v>
      </c>
      <c r="O630" s="25"/>
    </row>
    <row r="631" spans="1:15" ht="12.5" x14ac:dyDescent="0.25">
      <c r="A631" s="8" t="s">
        <v>841</v>
      </c>
      <c r="B631" s="8" t="s">
        <v>356</v>
      </c>
      <c r="C631" s="8" t="s">
        <v>357</v>
      </c>
      <c r="D631" s="8" t="s">
        <v>844</v>
      </c>
      <c r="E631" s="25">
        <v>4070</v>
      </c>
      <c r="F631" s="25">
        <v>370</v>
      </c>
      <c r="G631" s="25">
        <v>3700</v>
      </c>
      <c r="O631" s="25"/>
    </row>
    <row r="632" spans="1:15" ht="12.5" x14ac:dyDescent="0.25">
      <c r="A632" s="8" t="s">
        <v>841</v>
      </c>
      <c r="B632" s="8" t="s">
        <v>347</v>
      </c>
      <c r="C632" s="8" t="s">
        <v>845</v>
      </c>
      <c r="D632" s="8" t="s">
        <v>846</v>
      </c>
      <c r="E632" s="25">
        <v>330</v>
      </c>
      <c r="F632" s="25">
        <v>30</v>
      </c>
      <c r="G632" s="25">
        <v>300</v>
      </c>
      <c r="O632" s="25"/>
    </row>
    <row r="633" spans="1:15" ht="12.5" x14ac:dyDescent="0.25">
      <c r="A633" s="8" t="s">
        <v>841</v>
      </c>
      <c r="B633" s="8" t="s">
        <v>128</v>
      </c>
      <c r="C633" s="8" t="s">
        <v>845</v>
      </c>
      <c r="D633" s="8" t="s">
        <v>847</v>
      </c>
      <c r="E633" s="25">
        <v>173.25</v>
      </c>
      <c r="F633" s="25">
        <v>15.75</v>
      </c>
      <c r="G633" s="25">
        <v>157.5</v>
      </c>
      <c r="O633" s="25"/>
    </row>
    <row r="634" spans="1:15" ht="12.5" x14ac:dyDescent="0.25">
      <c r="A634" s="8" t="s">
        <v>841</v>
      </c>
      <c r="B634" s="8" t="s">
        <v>356</v>
      </c>
      <c r="C634" s="8" t="s">
        <v>357</v>
      </c>
      <c r="D634" s="8" t="s">
        <v>848</v>
      </c>
      <c r="E634" s="25">
        <v>1221</v>
      </c>
      <c r="F634" s="25">
        <v>111</v>
      </c>
      <c r="G634" s="25">
        <v>1110</v>
      </c>
      <c r="O634" s="25"/>
    </row>
    <row r="635" spans="1:15" ht="12.5" x14ac:dyDescent="0.25">
      <c r="A635" s="8" t="s">
        <v>849</v>
      </c>
      <c r="B635" s="8" t="s">
        <v>356</v>
      </c>
      <c r="C635" s="8" t="s">
        <v>850</v>
      </c>
      <c r="D635" s="8" t="s">
        <v>851</v>
      </c>
      <c r="E635" s="25">
        <v>814</v>
      </c>
      <c r="F635" s="25">
        <v>74</v>
      </c>
      <c r="G635" s="25">
        <v>740</v>
      </c>
      <c r="O635" s="25"/>
    </row>
    <row r="636" spans="1:15" ht="12.5" x14ac:dyDescent="0.25">
      <c r="A636" s="8" t="s">
        <v>849</v>
      </c>
      <c r="B636" s="8" t="s">
        <v>356</v>
      </c>
      <c r="C636" s="8" t="s">
        <v>852</v>
      </c>
      <c r="D636" s="8" t="s">
        <v>853</v>
      </c>
      <c r="E636" s="25">
        <v>508.75</v>
      </c>
      <c r="F636" s="25">
        <v>46.25</v>
      </c>
      <c r="G636" s="25">
        <v>462.5</v>
      </c>
      <c r="O636" s="25"/>
    </row>
    <row r="637" spans="1:15" ht="12.5" x14ac:dyDescent="0.25">
      <c r="A637" s="8" t="s">
        <v>854</v>
      </c>
      <c r="B637" s="8" t="s">
        <v>356</v>
      </c>
      <c r="C637" s="8" t="s">
        <v>357</v>
      </c>
      <c r="D637" s="8" t="s">
        <v>855</v>
      </c>
      <c r="E637" s="25">
        <v>610.5</v>
      </c>
      <c r="F637" s="25">
        <v>55.5</v>
      </c>
      <c r="G637" s="25">
        <v>555</v>
      </c>
      <c r="O637" s="25"/>
    </row>
    <row r="638" spans="1:15" ht="12.5" x14ac:dyDescent="0.25">
      <c r="A638" s="8" t="s">
        <v>856</v>
      </c>
      <c r="B638" s="8" t="s">
        <v>347</v>
      </c>
      <c r="C638" s="8" t="s">
        <v>357</v>
      </c>
      <c r="D638" s="8" t="s">
        <v>857</v>
      </c>
      <c r="E638" s="25">
        <v>874.5</v>
      </c>
      <c r="F638" s="25">
        <v>79.5</v>
      </c>
      <c r="G638" s="25">
        <v>795</v>
      </c>
      <c r="O638" s="25"/>
    </row>
    <row r="639" spans="1:15" ht="12.5" x14ac:dyDescent="0.25">
      <c r="A639" s="8" t="s">
        <v>856</v>
      </c>
      <c r="B639" s="8" t="s">
        <v>132</v>
      </c>
      <c r="C639" s="8" t="s">
        <v>357</v>
      </c>
      <c r="D639" s="8" t="s">
        <v>858</v>
      </c>
      <c r="E639" s="25">
        <v>75.09</v>
      </c>
      <c r="F639" s="25">
        <v>6.83</v>
      </c>
      <c r="G639" s="25">
        <v>68.260000000000005</v>
      </c>
      <c r="O639" s="25"/>
    </row>
    <row r="640" spans="1:15" ht="12.5" x14ac:dyDescent="0.25">
      <c r="A640" s="8" t="s">
        <v>859</v>
      </c>
      <c r="B640" s="8" t="s">
        <v>137</v>
      </c>
      <c r="C640" s="8" t="s">
        <v>860</v>
      </c>
      <c r="D640" s="8" t="s">
        <v>861</v>
      </c>
      <c r="E640" s="25">
        <v>187</v>
      </c>
      <c r="F640" s="25">
        <v>17</v>
      </c>
      <c r="G640" s="25">
        <v>170</v>
      </c>
      <c r="O640" s="25"/>
    </row>
    <row r="641" spans="1:15" ht="12.5" x14ac:dyDescent="0.25">
      <c r="A641" s="8" t="s">
        <v>859</v>
      </c>
      <c r="B641" s="8" t="s">
        <v>137</v>
      </c>
      <c r="C641" s="8" t="s">
        <v>860</v>
      </c>
      <c r="D641" s="8" t="s">
        <v>861</v>
      </c>
      <c r="E641" s="25">
        <v>187</v>
      </c>
      <c r="F641" s="25">
        <v>17</v>
      </c>
      <c r="G641" s="25">
        <v>170</v>
      </c>
      <c r="O641" s="25"/>
    </row>
    <row r="642" spans="1:15" ht="12.5" x14ac:dyDescent="0.25">
      <c r="A642" s="8" t="s">
        <v>862</v>
      </c>
      <c r="B642" s="8" t="s">
        <v>347</v>
      </c>
      <c r="C642" s="8" t="s">
        <v>863</v>
      </c>
      <c r="D642" s="8" t="s">
        <v>864</v>
      </c>
      <c r="E642" s="25">
        <v>110</v>
      </c>
      <c r="F642" s="25">
        <v>10</v>
      </c>
      <c r="G642" s="25">
        <v>100</v>
      </c>
      <c r="O642" s="25"/>
    </row>
    <row r="643" spans="1:15" ht="12.5" x14ac:dyDescent="0.25">
      <c r="A643" s="8" t="s">
        <v>862</v>
      </c>
      <c r="B643" s="8" t="s">
        <v>128</v>
      </c>
      <c r="C643" s="8" t="s">
        <v>863</v>
      </c>
      <c r="D643" s="8" t="s">
        <v>865</v>
      </c>
      <c r="E643" s="25">
        <v>87.45</v>
      </c>
      <c r="F643" s="25">
        <v>7.95</v>
      </c>
      <c r="G643" s="25">
        <v>79.5</v>
      </c>
      <c r="O643" s="25"/>
    </row>
    <row r="644" spans="1:15" ht="12.5" x14ac:dyDescent="0.25">
      <c r="A644" s="8" t="s">
        <v>862</v>
      </c>
      <c r="B644" s="8" t="s">
        <v>347</v>
      </c>
      <c r="C644" s="8" t="s">
        <v>866</v>
      </c>
      <c r="D644" s="8" t="s">
        <v>867</v>
      </c>
      <c r="E644" s="25">
        <v>220</v>
      </c>
      <c r="F644" s="25">
        <v>20</v>
      </c>
      <c r="G644" s="25">
        <v>200</v>
      </c>
      <c r="O644" s="25"/>
    </row>
    <row r="645" spans="1:15" ht="12.5" x14ac:dyDescent="0.25">
      <c r="A645" s="8" t="s">
        <v>862</v>
      </c>
      <c r="B645" s="8" t="s">
        <v>128</v>
      </c>
      <c r="C645" s="8" t="s">
        <v>866</v>
      </c>
      <c r="D645" s="8" t="s">
        <v>868</v>
      </c>
      <c r="E645" s="25">
        <v>263.56</v>
      </c>
      <c r="F645" s="25">
        <v>23.96</v>
      </c>
      <c r="G645" s="25">
        <v>239.6</v>
      </c>
      <c r="O645" s="25"/>
    </row>
    <row r="646" spans="1:15" ht="12.5" x14ac:dyDescent="0.25">
      <c r="A646" s="8" t="s">
        <v>869</v>
      </c>
      <c r="B646" s="8" t="s">
        <v>347</v>
      </c>
      <c r="C646" s="8" t="s">
        <v>870</v>
      </c>
      <c r="D646" s="8" t="s">
        <v>871</v>
      </c>
      <c r="E646" s="25">
        <v>4950</v>
      </c>
      <c r="F646" s="25">
        <v>450</v>
      </c>
      <c r="G646" s="25">
        <v>4500</v>
      </c>
      <c r="O646" s="25"/>
    </row>
    <row r="647" spans="1:15" ht="12.5" x14ac:dyDescent="0.25">
      <c r="A647" s="8" t="s">
        <v>869</v>
      </c>
      <c r="B647" s="8" t="s">
        <v>347</v>
      </c>
      <c r="C647" s="8" t="s">
        <v>870</v>
      </c>
      <c r="D647" s="8" t="s">
        <v>872</v>
      </c>
      <c r="E647" s="25">
        <v>874.5</v>
      </c>
      <c r="F647" s="25">
        <v>79.5</v>
      </c>
      <c r="G647" s="25">
        <v>795</v>
      </c>
      <c r="O647" s="25"/>
    </row>
    <row r="648" spans="1:15" ht="12.5" x14ac:dyDescent="0.25">
      <c r="A648" s="8" t="s">
        <v>869</v>
      </c>
      <c r="B648" s="8" t="s">
        <v>347</v>
      </c>
      <c r="C648" s="8" t="s">
        <v>873</v>
      </c>
      <c r="D648" s="8" t="s">
        <v>874</v>
      </c>
      <c r="E648" s="25">
        <v>220</v>
      </c>
      <c r="F648" s="25">
        <v>20</v>
      </c>
      <c r="G648" s="25">
        <v>200</v>
      </c>
      <c r="O648" s="25"/>
    </row>
    <row r="649" spans="1:15" ht="12.5" x14ac:dyDescent="0.25">
      <c r="A649" s="8" t="s">
        <v>869</v>
      </c>
      <c r="B649" s="8" t="s">
        <v>128</v>
      </c>
      <c r="C649" s="8" t="s">
        <v>873</v>
      </c>
      <c r="D649" s="8" t="s">
        <v>875</v>
      </c>
      <c r="E649" s="25">
        <v>220</v>
      </c>
      <c r="F649" s="25">
        <v>20</v>
      </c>
      <c r="G649" s="25">
        <v>200</v>
      </c>
      <c r="O649" s="25"/>
    </row>
    <row r="650" spans="1:15" ht="12.5" x14ac:dyDescent="0.25">
      <c r="A650" s="8" t="s">
        <v>876</v>
      </c>
      <c r="B650" s="8" t="s">
        <v>356</v>
      </c>
      <c r="C650" s="8" t="s">
        <v>877</v>
      </c>
      <c r="D650" s="8" t="s">
        <v>878</v>
      </c>
      <c r="E650" s="25">
        <v>1221</v>
      </c>
      <c r="F650" s="25">
        <v>111</v>
      </c>
      <c r="G650" s="25">
        <v>1110</v>
      </c>
      <c r="O650" s="25"/>
    </row>
    <row r="651" spans="1:15" ht="12.5" x14ac:dyDescent="0.25">
      <c r="A651" s="8" t="s">
        <v>876</v>
      </c>
      <c r="B651" s="8" t="s">
        <v>128</v>
      </c>
      <c r="C651" s="8" t="s">
        <v>879</v>
      </c>
      <c r="D651" s="8" t="s">
        <v>880</v>
      </c>
      <c r="E651" s="25">
        <v>3531</v>
      </c>
      <c r="F651" s="25">
        <v>321</v>
      </c>
      <c r="G651" s="25">
        <v>3210</v>
      </c>
      <c r="O651" s="25"/>
    </row>
    <row r="652" spans="1:15" ht="12.5" x14ac:dyDescent="0.25">
      <c r="A652" s="8" t="s">
        <v>876</v>
      </c>
      <c r="B652" s="8" t="s">
        <v>128</v>
      </c>
      <c r="C652" s="8" t="s">
        <v>879</v>
      </c>
      <c r="D652" s="8" t="s">
        <v>881</v>
      </c>
      <c r="E652" s="25">
        <v>82.5</v>
      </c>
      <c r="F652" s="25">
        <v>7.5</v>
      </c>
      <c r="G652" s="25">
        <v>75</v>
      </c>
      <c r="O652" s="25"/>
    </row>
    <row r="653" spans="1:15" ht="12.5" x14ac:dyDescent="0.25">
      <c r="A653" s="8" t="s">
        <v>882</v>
      </c>
      <c r="B653" s="8" t="s">
        <v>347</v>
      </c>
      <c r="C653" s="8" t="s">
        <v>883</v>
      </c>
      <c r="D653" s="8" t="s">
        <v>884</v>
      </c>
      <c r="E653" s="25">
        <v>1100</v>
      </c>
      <c r="F653" s="25">
        <v>100</v>
      </c>
      <c r="G653" s="25">
        <v>1000</v>
      </c>
      <c r="O653" s="25"/>
    </row>
    <row r="654" spans="1:15" ht="12.5" x14ac:dyDescent="0.25">
      <c r="A654" s="8" t="s">
        <v>882</v>
      </c>
      <c r="B654" s="8" t="s">
        <v>347</v>
      </c>
      <c r="C654" s="8" t="s">
        <v>883</v>
      </c>
      <c r="D654" s="8" t="s">
        <v>885</v>
      </c>
      <c r="E654" s="25">
        <v>544.5</v>
      </c>
      <c r="F654" s="25">
        <v>49.5</v>
      </c>
      <c r="G654" s="25">
        <v>495</v>
      </c>
      <c r="O654" s="25"/>
    </row>
    <row r="655" spans="1:15" ht="12.5" x14ac:dyDescent="0.25">
      <c r="A655" s="8" t="s">
        <v>882</v>
      </c>
      <c r="B655" s="8" t="s">
        <v>132</v>
      </c>
      <c r="C655" s="8" t="s">
        <v>883</v>
      </c>
      <c r="D655" s="8" t="s">
        <v>886</v>
      </c>
      <c r="E655" s="25">
        <v>387.2</v>
      </c>
      <c r="F655" s="25">
        <v>35.200000000000003</v>
      </c>
      <c r="G655" s="25">
        <v>352</v>
      </c>
      <c r="O655" s="25"/>
    </row>
    <row r="656" spans="1:15" ht="12.5" x14ac:dyDescent="0.25">
      <c r="A656" s="8" t="s">
        <v>882</v>
      </c>
      <c r="B656" s="8" t="s">
        <v>132</v>
      </c>
      <c r="C656" s="8" t="s">
        <v>883</v>
      </c>
      <c r="D656" s="8" t="s">
        <v>887</v>
      </c>
      <c r="E656" s="25">
        <v>330</v>
      </c>
      <c r="F656" s="25">
        <v>30</v>
      </c>
      <c r="G656" s="25">
        <v>300</v>
      </c>
      <c r="O656" s="25"/>
    </row>
    <row r="657" spans="1:15" ht="12.5" x14ac:dyDescent="0.25">
      <c r="A657" s="8" t="s">
        <v>882</v>
      </c>
      <c r="B657" s="8" t="s">
        <v>347</v>
      </c>
      <c r="C657" s="8" t="s">
        <v>888</v>
      </c>
      <c r="D657" s="8" t="s">
        <v>889</v>
      </c>
      <c r="E657" s="25">
        <v>1100</v>
      </c>
      <c r="F657" s="25">
        <v>100</v>
      </c>
      <c r="G657" s="25">
        <v>1000</v>
      </c>
      <c r="O657" s="25"/>
    </row>
    <row r="658" spans="1:15" ht="12.5" x14ac:dyDescent="0.25">
      <c r="A658" s="8" t="s">
        <v>882</v>
      </c>
      <c r="B658" s="8" t="s">
        <v>347</v>
      </c>
      <c r="C658" s="8" t="s">
        <v>888</v>
      </c>
      <c r="D658" s="8" t="s">
        <v>890</v>
      </c>
      <c r="E658" s="25">
        <v>544.5</v>
      </c>
      <c r="F658" s="25">
        <v>49.5</v>
      </c>
      <c r="G658" s="25">
        <v>495</v>
      </c>
      <c r="O658" s="25"/>
    </row>
    <row r="659" spans="1:15" ht="12.5" x14ac:dyDescent="0.25">
      <c r="A659" s="8" t="s">
        <v>882</v>
      </c>
      <c r="B659" s="8" t="s">
        <v>132</v>
      </c>
      <c r="C659" s="8" t="s">
        <v>888</v>
      </c>
      <c r="D659" s="8" t="s">
        <v>891</v>
      </c>
      <c r="E659" s="25">
        <v>483.95</v>
      </c>
      <c r="F659" s="25">
        <v>44</v>
      </c>
      <c r="G659" s="25">
        <v>439.95</v>
      </c>
      <c r="O659" s="25"/>
    </row>
    <row r="660" spans="1:15" ht="12.5" x14ac:dyDescent="0.25">
      <c r="A660" s="8" t="s">
        <v>882</v>
      </c>
      <c r="B660" s="8" t="s">
        <v>132</v>
      </c>
      <c r="C660" s="8" t="s">
        <v>888</v>
      </c>
      <c r="D660" s="8" t="s">
        <v>892</v>
      </c>
      <c r="E660" s="25">
        <v>82.5</v>
      </c>
      <c r="F660" s="25">
        <v>7.5</v>
      </c>
      <c r="G660" s="25">
        <v>75</v>
      </c>
      <c r="O660" s="25"/>
    </row>
    <row r="661" spans="1:15" ht="12.5" x14ac:dyDescent="0.25">
      <c r="A661" s="8" t="s">
        <v>882</v>
      </c>
      <c r="B661" s="8" t="s">
        <v>356</v>
      </c>
      <c r="C661" s="8" t="s">
        <v>357</v>
      </c>
      <c r="D661" s="8" t="s">
        <v>893</v>
      </c>
      <c r="E661" s="25">
        <v>2035</v>
      </c>
      <c r="F661" s="25">
        <v>185</v>
      </c>
      <c r="G661" s="25">
        <v>1850</v>
      </c>
      <c r="O661" s="25"/>
    </row>
    <row r="662" spans="1:15" ht="12.5" x14ac:dyDescent="0.25">
      <c r="A662" s="8" t="s">
        <v>882</v>
      </c>
      <c r="B662" s="8" t="s">
        <v>347</v>
      </c>
      <c r="C662" s="8" t="s">
        <v>894</v>
      </c>
      <c r="D662" s="8" t="s">
        <v>895</v>
      </c>
      <c r="E662" s="25">
        <v>1100</v>
      </c>
      <c r="F662" s="25">
        <v>100</v>
      </c>
      <c r="G662" s="25">
        <v>1000</v>
      </c>
      <c r="O662" s="25"/>
    </row>
    <row r="663" spans="1:15" ht="12.5" x14ac:dyDescent="0.25">
      <c r="A663" s="8" t="s">
        <v>882</v>
      </c>
      <c r="B663" s="8" t="s">
        <v>347</v>
      </c>
      <c r="C663" s="8" t="s">
        <v>894</v>
      </c>
      <c r="D663" s="8" t="s">
        <v>896</v>
      </c>
      <c r="E663" s="25">
        <v>544.5</v>
      </c>
      <c r="F663" s="25">
        <v>49.5</v>
      </c>
      <c r="G663" s="25">
        <v>495</v>
      </c>
      <c r="O663" s="25"/>
    </row>
    <row r="664" spans="1:15" ht="12.5" x14ac:dyDescent="0.25">
      <c r="A664" s="8" t="s">
        <v>882</v>
      </c>
      <c r="B664" s="8" t="s">
        <v>132</v>
      </c>
      <c r="C664" s="8" t="s">
        <v>894</v>
      </c>
      <c r="D664" s="8" t="s">
        <v>897</v>
      </c>
      <c r="E664" s="25">
        <v>387.2</v>
      </c>
      <c r="F664" s="25">
        <v>35.200000000000003</v>
      </c>
      <c r="G664" s="25">
        <v>352</v>
      </c>
      <c r="O664" s="25"/>
    </row>
    <row r="665" spans="1:15" ht="12.5" x14ac:dyDescent="0.25">
      <c r="A665" s="8" t="s">
        <v>882</v>
      </c>
      <c r="B665" s="8" t="s">
        <v>132</v>
      </c>
      <c r="C665" s="8" t="s">
        <v>894</v>
      </c>
      <c r="D665" s="8" t="s">
        <v>898</v>
      </c>
      <c r="E665" s="25">
        <v>330</v>
      </c>
      <c r="F665" s="25">
        <v>30</v>
      </c>
      <c r="G665" s="25">
        <v>300</v>
      </c>
      <c r="O665" s="25"/>
    </row>
    <row r="666" spans="1:15" ht="12.5" x14ac:dyDescent="0.25">
      <c r="A666" s="8" t="s">
        <v>882</v>
      </c>
      <c r="B666" s="8" t="s">
        <v>128</v>
      </c>
      <c r="C666" s="8" t="s">
        <v>899</v>
      </c>
      <c r="D666" s="8" t="s">
        <v>900</v>
      </c>
      <c r="E666" s="25">
        <v>656.7</v>
      </c>
      <c r="F666" s="25">
        <v>59.7</v>
      </c>
      <c r="G666" s="25">
        <v>597</v>
      </c>
      <c r="O666" s="25"/>
    </row>
    <row r="667" spans="1:15" ht="12.5" x14ac:dyDescent="0.25">
      <c r="A667" s="8" t="s">
        <v>882</v>
      </c>
      <c r="B667" s="8" t="s">
        <v>128</v>
      </c>
      <c r="C667" s="8" t="s">
        <v>899</v>
      </c>
      <c r="D667" s="8" t="s">
        <v>901</v>
      </c>
      <c r="E667" s="25">
        <v>656.7</v>
      </c>
      <c r="F667" s="25">
        <v>59.7</v>
      </c>
      <c r="G667" s="25">
        <v>597</v>
      </c>
      <c r="O667" s="25"/>
    </row>
    <row r="668" spans="1:15" ht="12.5" x14ac:dyDescent="0.25">
      <c r="A668" s="8" t="s">
        <v>882</v>
      </c>
      <c r="B668" s="8" t="s">
        <v>128</v>
      </c>
      <c r="C668" s="8" t="s">
        <v>899</v>
      </c>
      <c r="D668" s="8" t="s">
        <v>902</v>
      </c>
      <c r="E668" s="25">
        <v>656.7</v>
      </c>
      <c r="F668" s="25">
        <v>59.7</v>
      </c>
      <c r="G668" s="25">
        <v>597</v>
      </c>
      <c r="O668" s="25"/>
    </row>
    <row r="669" spans="1:15" ht="12.5" x14ac:dyDescent="0.25">
      <c r="A669" s="8" t="s">
        <v>882</v>
      </c>
      <c r="B669" s="8" t="s">
        <v>128</v>
      </c>
      <c r="C669" s="8" t="s">
        <v>899</v>
      </c>
      <c r="D669" s="8" t="s">
        <v>903</v>
      </c>
      <c r="E669" s="25">
        <v>656.7</v>
      </c>
      <c r="F669" s="25">
        <v>59.7</v>
      </c>
      <c r="G669" s="25">
        <v>597</v>
      </c>
      <c r="O669" s="25"/>
    </row>
    <row r="670" spans="1:15" ht="12.5" x14ac:dyDescent="0.25">
      <c r="A670" s="116" t="s">
        <v>125</v>
      </c>
      <c r="B670" s="11"/>
      <c r="C670" s="11"/>
      <c r="D670" s="11"/>
      <c r="E670" s="117">
        <v>445394.91</v>
      </c>
      <c r="F670" s="117">
        <v>40490.51</v>
      </c>
      <c r="G670" s="117">
        <v>404904.4</v>
      </c>
      <c r="O670" s="25"/>
    </row>
    <row r="671" spans="1:15" ht="12.5" x14ac:dyDescent="0.25">
      <c r="O671" s="25"/>
    </row>
    <row r="672" spans="1:15" ht="12.5" x14ac:dyDescent="0.25">
      <c r="A672" s="220" t="s">
        <v>904</v>
      </c>
      <c r="O672" s="25"/>
    </row>
    <row r="673" spans="1:15" ht="12.5" x14ac:dyDescent="0.25">
      <c r="A673" s="8" t="s">
        <v>905</v>
      </c>
      <c r="B673" s="8" t="s">
        <v>174</v>
      </c>
      <c r="C673" s="8" t="s">
        <v>906</v>
      </c>
      <c r="D673" s="8" t="s">
        <v>907</v>
      </c>
      <c r="E673" s="25">
        <v>-330</v>
      </c>
      <c r="F673" s="25">
        <v>-30</v>
      </c>
      <c r="G673" s="25">
        <v>-300</v>
      </c>
      <c r="O673" s="25"/>
    </row>
    <row r="674" spans="1:15" ht="12.5" x14ac:dyDescent="0.25">
      <c r="A674" s="8" t="s">
        <v>905</v>
      </c>
      <c r="B674" s="8" t="s">
        <v>174</v>
      </c>
      <c r="C674" s="8" t="s">
        <v>906</v>
      </c>
      <c r="D674" s="8" t="s">
        <v>489</v>
      </c>
      <c r="E674" s="25">
        <v>330</v>
      </c>
      <c r="F674" s="25">
        <v>30</v>
      </c>
      <c r="G674" s="25">
        <v>300</v>
      </c>
      <c r="O674" s="25"/>
    </row>
    <row r="675" spans="1:15" ht="12.5" x14ac:dyDescent="0.25">
      <c r="A675" s="8" t="s">
        <v>905</v>
      </c>
      <c r="B675" s="8" t="s">
        <v>128</v>
      </c>
      <c r="C675" s="8" t="s">
        <v>906</v>
      </c>
      <c r="D675" s="8" t="s">
        <v>908</v>
      </c>
      <c r="E675" s="25">
        <v>-330</v>
      </c>
      <c r="F675" s="25">
        <v>-30</v>
      </c>
      <c r="G675" s="25">
        <v>-300</v>
      </c>
      <c r="O675" s="25"/>
    </row>
    <row r="676" spans="1:15" ht="12.5" x14ac:dyDescent="0.25">
      <c r="A676" s="8" t="s">
        <v>909</v>
      </c>
      <c r="B676" s="8" t="s">
        <v>128</v>
      </c>
      <c r="C676" s="8" t="s">
        <v>910</v>
      </c>
      <c r="D676" s="8" t="s">
        <v>911</v>
      </c>
      <c r="E676" s="25">
        <v>-3069</v>
      </c>
      <c r="F676" s="25">
        <v>-279</v>
      </c>
      <c r="G676" s="25">
        <v>-2790</v>
      </c>
      <c r="O676" s="25"/>
    </row>
    <row r="677" spans="1:15" ht="12.5" x14ac:dyDescent="0.25">
      <c r="A677" s="8" t="s">
        <v>909</v>
      </c>
      <c r="B677" s="8" t="s">
        <v>128</v>
      </c>
      <c r="C677" s="8" t="s">
        <v>910</v>
      </c>
      <c r="D677" s="8" t="s">
        <v>912</v>
      </c>
      <c r="E677" s="25">
        <v>-330</v>
      </c>
      <c r="F677" s="25">
        <v>-30</v>
      </c>
      <c r="G677" s="25">
        <v>-300</v>
      </c>
      <c r="O677" s="25"/>
    </row>
    <row r="678" spans="1:15" ht="12.5" x14ac:dyDescent="0.25">
      <c r="A678" s="8" t="s">
        <v>909</v>
      </c>
      <c r="B678" s="8" t="s">
        <v>128</v>
      </c>
      <c r="C678" s="8" t="s">
        <v>910</v>
      </c>
      <c r="D678" s="8" t="s">
        <v>913</v>
      </c>
      <c r="E678" s="25">
        <v>3069</v>
      </c>
      <c r="F678" s="25">
        <v>279</v>
      </c>
      <c r="G678" s="25">
        <v>2790</v>
      </c>
      <c r="O678" s="25"/>
    </row>
    <row r="679" spans="1:15" ht="12.5" x14ac:dyDescent="0.25">
      <c r="A679" s="8" t="s">
        <v>909</v>
      </c>
      <c r="B679" s="8" t="s">
        <v>128</v>
      </c>
      <c r="C679" s="8" t="s">
        <v>910</v>
      </c>
      <c r="D679" s="8" t="s">
        <v>914</v>
      </c>
      <c r="E679" s="25">
        <v>82.5</v>
      </c>
      <c r="F679" s="25">
        <v>7.5</v>
      </c>
      <c r="G679" s="25">
        <v>75</v>
      </c>
      <c r="O679" s="25"/>
    </row>
    <row r="680" spans="1:15" ht="12.5" x14ac:dyDescent="0.25">
      <c r="A680" s="8" t="s">
        <v>909</v>
      </c>
      <c r="B680" s="8" t="s">
        <v>128</v>
      </c>
      <c r="C680" s="8" t="s">
        <v>910</v>
      </c>
      <c r="D680" s="8" t="s">
        <v>915</v>
      </c>
      <c r="E680" s="25">
        <v>-1039.5</v>
      </c>
      <c r="F680" s="25">
        <v>-94.5</v>
      </c>
      <c r="G680" s="25">
        <v>-945</v>
      </c>
      <c r="O680" s="25"/>
    </row>
    <row r="681" spans="1:15" ht="12.5" x14ac:dyDescent="0.25">
      <c r="A681" s="116" t="s">
        <v>916</v>
      </c>
      <c r="B681" s="11"/>
      <c r="C681" s="11"/>
      <c r="D681" s="11"/>
      <c r="E681" s="117">
        <v>-1617</v>
      </c>
      <c r="F681" s="117">
        <v>-147</v>
      </c>
      <c r="G681" s="117">
        <v>-1470</v>
      </c>
      <c r="O681" s="25"/>
    </row>
    <row r="682" spans="1:15" ht="12.5" x14ac:dyDescent="0.25">
      <c r="O682" s="25"/>
    </row>
    <row r="683" spans="1:15" ht="12.5" x14ac:dyDescent="0.25">
      <c r="A683" s="220" t="s">
        <v>917</v>
      </c>
      <c r="O683" s="25"/>
    </row>
    <row r="684" spans="1:15" ht="12.5" x14ac:dyDescent="0.25">
      <c r="A684" s="8" t="s">
        <v>127</v>
      </c>
      <c r="B684" s="8" t="s">
        <v>132</v>
      </c>
      <c r="C684" s="8" t="s">
        <v>918</v>
      </c>
      <c r="D684" s="8" t="s">
        <v>919</v>
      </c>
      <c r="E684" s="25">
        <v>292.5</v>
      </c>
      <c r="F684" s="25">
        <v>0</v>
      </c>
      <c r="G684" s="25">
        <v>292.5</v>
      </c>
      <c r="O684" s="25"/>
    </row>
    <row r="685" spans="1:15" ht="12.5" x14ac:dyDescent="0.25">
      <c r="A685" s="8" t="s">
        <v>127</v>
      </c>
      <c r="B685" s="8" t="s">
        <v>132</v>
      </c>
      <c r="C685" s="8" t="s">
        <v>918</v>
      </c>
      <c r="D685" s="8" t="s">
        <v>920</v>
      </c>
      <c r="E685" s="25">
        <v>25</v>
      </c>
      <c r="F685" s="25">
        <v>0</v>
      </c>
      <c r="G685" s="25">
        <v>25</v>
      </c>
      <c r="O685" s="25"/>
    </row>
    <row r="686" spans="1:15" ht="12.5" x14ac:dyDescent="0.25">
      <c r="A686" s="8" t="s">
        <v>127</v>
      </c>
      <c r="B686" s="8" t="s">
        <v>132</v>
      </c>
      <c r="C686" s="8" t="s">
        <v>918</v>
      </c>
      <c r="D686" s="8" t="s">
        <v>921</v>
      </c>
      <c r="E686" s="25">
        <v>25</v>
      </c>
      <c r="F686" s="25">
        <v>0</v>
      </c>
      <c r="G686" s="25">
        <v>25</v>
      </c>
      <c r="O686" s="26"/>
    </row>
    <row r="687" spans="1:15" ht="12.5" x14ac:dyDescent="0.25">
      <c r="A687" s="8" t="s">
        <v>922</v>
      </c>
      <c r="B687" s="8" t="s">
        <v>923</v>
      </c>
      <c r="C687" s="8" t="s">
        <v>70</v>
      </c>
      <c r="D687" s="8" t="s">
        <v>924</v>
      </c>
      <c r="E687" s="25">
        <v>1.59</v>
      </c>
      <c r="F687" s="25">
        <v>0</v>
      </c>
      <c r="G687" s="25">
        <v>1.59</v>
      </c>
    </row>
    <row r="688" spans="1:15" ht="12.5" x14ac:dyDescent="0.25">
      <c r="A688" s="8" t="s">
        <v>402</v>
      </c>
      <c r="B688" s="8" t="s">
        <v>132</v>
      </c>
      <c r="C688" s="8" t="s">
        <v>925</v>
      </c>
      <c r="D688" s="8" t="s">
        <v>919</v>
      </c>
      <c r="E688" s="25">
        <v>292.5</v>
      </c>
      <c r="F688" s="25">
        <v>0</v>
      </c>
      <c r="G688" s="25">
        <v>292.5</v>
      </c>
    </row>
    <row r="689" spans="1:7" ht="12.5" x14ac:dyDescent="0.25">
      <c r="A689" s="8" t="s">
        <v>402</v>
      </c>
      <c r="B689" s="8" t="s">
        <v>132</v>
      </c>
      <c r="C689" s="8" t="s">
        <v>925</v>
      </c>
      <c r="D689" s="8" t="s">
        <v>920</v>
      </c>
      <c r="E689" s="25">
        <v>25</v>
      </c>
      <c r="F689" s="25">
        <v>0</v>
      </c>
      <c r="G689" s="25">
        <v>25</v>
      </c>
    </row>
    <row r="690" spans="1:7" ht="12.5" x14ac:dyDescent="0.25">
      <c r="A690" s="8" t="s">
        <v>402</v>
      </c>
      <c r="B690" s="8" t="s">
        <v>132</v>
      </c>
      <c r="C690" s="8" t="s">
        <v>925</v>
      </c>
      <c r="D690" s="8" t="s">
        <v>921</v>
      </c>
      <c r="E690" s="25">
        <v>25</v>
      </c>
      <c r="F690" s="25">
        <v>0</v>
      </c>
      <c r="G690" s="25">
        <v>25</v>
      </c>
    </row>
    <row r="691" spans="1:7" ht="12.5" x14ac:dyDescent="0.25">
      <c r="A691" s="8" t="s">
        <v>695</v>
      </c>
      <c r="B691" s="8" t="s">
        <v>923</v>
      </c>
      <c r="C691" s="8" t="s">
        <v>70</v>
      </c>
      <c r="D691" s="8" t="s">
        <v>924</v>
      </c>
      <c r="E691" s="25">
        <v>1.93</v>
      </c>
      <c r="F691" s="25">
        <v>0</v>
      </c>
      <c r="G691" s="25">
        <v>1.93</v>
      </c>
    </row>
    <row r="692" spans="1:7" ht="12.5" x14ac:dyDescent="0.25">
      <c r="A692" s="8" t="s">
        <v>715</v>
      </c>
      <c r="B692" s="8" t="s">
        <v>132</v>
      </c>
      <c r="C692" s="8" t="s">
        <v>926</v>
      </c>
      <c r="D692" s="8" t="s">
        <v>919</v>
      </c>
      <c r="E692" s="25">
        <v>292.5</v>
      </c>
      <c r="F692" s="25">
        <v>0</v>
      </c>
      <c r="G692" s="25">
        <v>292.5</v>
      </c>
    </row>
    <row r="693" spans="1:7" ht="12.5" x14ac:dyDescent="0.25">
      <c r="A693" s="8" t="s">
        <v>715</v>
      </c>
      <c r="B693" s="8" t="s">
        <v>132</v>
      </c>
      <c r="C693" s="8" t="s">
        <v>926</v>
      </c>
      <c r="D693" s="8" t="s">
        <v>920</v>
      </c>
      <c r="E693" s="25">
        <v>25</v>
      </c>
      <c r="F693" s="25">
        <v>0</v>
      </c>
      <c r="G693" s="25">
        <v>25</v>
      </c>
    </row>
    <row r="694" spans="1:7" ht="12.5" x14ac:dyDescent="0.25">
      <c r="A694" s="8" t="s">
        <v>715</v>
      </c>
      <c r="B694" s="8" t="s">
        <v>132</v>
      </c>
      <c r="C694" s="8" t="s">
        <v>926</v>
      </c>
      <c r="D694" s="8" t="s">
        <v>921</v>
      </c>
      <c r="E694" s="25">
        <v>25</v>
      </c>
      <c r="F694" s="25">
        <v>0</v>
      </c>
      <c r="G694" s="25">
        <v>25</v>
      </c>
    </row>
    <row r="695" spans="1:7" ht="12.5" x14ac:dyDescent="0.25">
      <c r="A695" s="8" t="s">
        <v>882</v>
      </c>
      <c r="B695" s="8" t="s">
        <v>923</v>
      </c>
      <c r="C695" s="8" t="s">
        <v>70</v>
      </c>
      <c r="D695" s="8" t="s">
        <v>924</v>
      </c>
      <c r="E695" s="25">
        <v>2.71</v>
      </c>
      <c r="F695" s="25">
        <v>0</v>
      </c>
      <c r="G695" s="25">
        <v>2.71</v>
      </c>
    </row>
    <row r="696" spans="1:7" ht="12.5" x14ac:dyDescent="0.25">
      <c r="A696" s="8" t="s">
        <v>882</v>
      </c>
      <c r="B696" s="8" t="s">
        <v>923</v>
      </c>
      <c r="C696" s="8" t="s">
        <v>70</v>
      </c>
      <c r="D696" s="8" t="s">
        <v>927</v>
      </c>
      <c r="E696" s="25">
        <v>2.19</v>
      </c>
      <c r="F696" s="25">
        <v>0</v>
      </c>
      <c r="G696" s="25">
        <v>2.19</v>
      </c>
    </row>
    <row r="697" spans="1:7" ht="12.5" x14ac:dyDescent="0.25">
      <c r="A697" s="116" t="s">
        <v>131</v>
      </c>
      <c r="B697" s="11"/>
      <c r="C697" s="11"/>
      <c r="D697" s="11"/>
      <c r="E697" s="117">
        <v>1035.92</v>
      </c>
      <c r="F697" s="117">
        <v>0</v>
      </c>
      <c r="G697" s="117">
        <v>1035.92</v>
      </c>
    </row>
    <row r="698" spans="1:7" ht="12.5" x14ac:dyDescent="0.25"/>
    <row r="699" spans="1:7" ht="12.5" x14ac:dyDescent="0.25">
      <c r="A699" s="220" t="s">
        <v>928</v>
      </c>
    </row>
    <row r="700" spans="1:7" ht="12.5" x14ac:dyDescent="0.25">
      <c r="A700" s="8" t="s">
        <v>127</v>
      </c>
      <c r="B700" s="8" t="s">
        <v>929</v>
      </c>
      <c r="C700" s="8" t="s">
        <v>930</v>
      </c>
      <c r="D700" s="8" t="s">
        <v>931</v>
      </c>
      <c r="E700" s="25">
        <v>43.55</v>
      </c>
      <c r="F700" s="25">
        <v>3.96</v>
      </c>
      <c r="G700" s="25">
        <v>39.590000000000003</v>
      </c>
    </row>
    <row r="701" spans="1:7" ht="12.5" x14ac:dyDescent="0.25">
      <c r="A701" s="8" t="s">
        <v>127</v>
      </c>
      <c r="B701" s="8" t="s">
        <v>932</v>
      </c>
      <c r="C701" s="8" t="s">
        <v>933</v>
      </c>
      <c r="D701" s="8" t="s">
        <v>934</v>
      </c>
      <c r="E701" s="25">
        <v>1650</v>
      </c>
      <c r="F701" s="25">
        <v>150</v>
      </c>
      <c r="G701" s="25">
        <v>1500</v>
      </c>
    </row>
    <row r="702" spans="1:7" ht="12.5" x14ac:dyDescent="0.25">
      <c r="A702" s="8" t="s">
        <v>935</v>
      </c>
      <c r="B702" s="8" t="s">
        <v>936</v>
      </c>
      <c r="C702" s="8" t="s">
        <v>937</v>
      </c>
      <c r="D702" s="8" t="s">
        <v>938</v>
      </c>
      <c r="E702" s="25">
        <v>674.2</v>
      </c>
      <c r="F702" s="25">
        <v>61.29</v>
      </c>
      <c r="G702" s="25">
        <v>612.91</v>
      </c>
    </row>
    <row r="703" spans="1:7" ht="12.5" x14ac:dyDescent="0.25">
      <c r="A703" s="8" t="s">
        <v>935</v>
      </c>
      <c r="B703" s="8" t="s">
        <v>939</v>
      </c>
      <c r="C703" s="8" t="s">
        <v>940</v>
      </c>
      <c r="D703" s="8" t="s">
        <v>941</v>
      </c>
      <c r="E703" s="25">
        <v>21151.7</v>
      </c>
      <c r="F703" s="25">
        <v>1922.88</v>
      </c>
      <c r="G703" s="25">
        <v>19228.82</v>
      </c>
    </row>
    <row r="704" spans="1:7" ht="12.5" x14ac:dyDescent="0.25">
      <c r="A704" s="8" t="s">
        <v>942</v>
      </c>
      <c r="B704" s="8" t="s">
        <v>943</v>
      </c>
      <c r="C704" s="8" t="s">
        <v>944</v>
      </c>
      <c r="D704" s="8" t="s">
        <v>945</v>
      </c>
      <c r="E704" s="25">
        <v>3300</v>
      </c>
      <c r="F704" s="25">
        <v>300</v>
      </c>
      <c r="G704" s="25">
        <v>3000</v>
      </c>
    </row>
    <row r="705" spans="1:7" ht="12.5" x14ac:dyDescent="0.25">
      <c r="A705" s="8" t="s">
        <v>946</v>
      </c>
      <c r="B705" s="8" t="s">
        <v>947</v>
      </c>
      <c r="C705" s="8" t="s">
        <v>70</v>
      </c>
      <c r="D705" s="8" t="s">
        <v>948</v>
      </c>
      <c r="E705" s="25">
        <v>16.21</v>
      </c>
      <c r="F705" s="25">
        <v>1.47</v>
      </c>
      <c r="G705" s="25">
        <v>14.74</v>
      </c>
    </row>
    <row r="706" spans="1:7" ht="12.5" x14ac:dyDescent="0.25">
      <c r="A706" s="8" t="s">
        <v>949</v>
      </c>
      <c r="B706" s="8" t="s">
        <v>950</v>
      </c>
      <c r="C706" s="8" t="s">
        <v>951</v>
      </c>
      <c r="D706" s="8" t="s">
        <v>952</v>
      </c>
      <c r="E706" s="25">
        <v>8333.33</v>
      </c>
      <c r="F706" s="25">
        <v>757.58</v>
      </c>
      <c r="G706" s="25">
        <v>7575.75</v>
      </c>
    </row>
    <row r="707" spans="1:7" ht="12.5" x14ac:dyDescent="0.25">
      <c r="A707" s="8" t="s">
        <v>344</v>
      </c>
      <c r="B707" s="8" t="s">
        <v>953</v>
      </c>
      <c r="C707" s="8" t="s">
        <v>954</v>
      </c>
      <c r="D707" s="8" t="s">
        <v>955</v>
      </c>
      <c r="E707" s="25">
        <v>778.47</v>
      </c>
      <c r="F707" s="25">
        <v>70.77</v>
      </c>
      <c r="G707" s="25">
        <v>707.7</v>
      </c>
    </row>
    <row r="708" spans="1:7" ht="12.5" x14ac:dyDescent="0.25">
      <c r="A708" s="8" t="s">
        <v>370</v>
      </c>
      <c r="B708" s="8" t="s">
        <v>956</v>
      </c>
      <c r="C708" s="8" t="s">
        <v>957</v>
      </c>
      <c r="D708" s="8" t="s">
        <v>958</v>
      </c>
      <c r="E708" s="25">
        <v>40</v>
      </c>
      <c r="F708" s="25">
        <v>3.64</v>
      </c>
      <c r="G708" s="25">
        <v>36.36</v>
      </c>
    </row>
    <row r="709" spans="1:7" ht="12.5" x14ac:dyDescent="0.25">
      <c r="A709" s="8" t="s">
        <v>959</v>
      </c>
      <c r="B709" s="8" t="s">
        <v>956</v>
      </c>
      <c r="C709" s="8" t="s">
        <v>957</v>
      </c>
      <c r="D709" s="8" t="s">
        <v>960</v>
      </c>
      <c r="E709" s="25">
        <v>38.65</v>
      </c>
      <c r="F709" s="25">
        <v>3.51</v>
      </c>
      <c r="G709" s="25">
        <v>35.14</v>
      </c>
    </row>
    <row r="710" spans="1:7" ht="12.5" x14ac:dyDescent="0.25">
      <c r="A710" s="8" t="s">
        <v>959</v>
      </c>
      <c r="B710" s="8" t="s">
        <v>956</v>
      </c>
      <c r="C710" s="8" t="s">
        <v>961</v>
      </c>
      <c r="D710" s="8" t="s">
        <v>962</v>
      </c>
      <c r="E710" s="25">
        <v>40</v>
      </c>
      <c r="F710" s="25">
        <v>3.64</v>
      </c>
      <c r="G710" s="25">
        <v>36.36</v>
      </c>
    </row>
    <row r="711" spans="1:7" ht="12.5" x14ac:dyDescent="0.25">
      <c r="A711" s="8" t="s">
        <v>963</v>
      </c>
      <c r="B711" s="8" t="s">
        <v>956</v>
      </c>
      <c r="C711" s="8" t="s">
        <v>961</v>
      </c>
      <c r="D711" s="8" t="s">
        <v>964</v>
      </c>
      <c r="E711" s="25">
        <v>40</v>
      </c>
      <c r="F711" s="25">
        <v>3.64</v>
      </c>
      <c r="G711" s="25">
        <v>36.36</v>
      </c>
    </row>
    <row r="712" spans="1:7" ht="12.5" x14ac:dyDescent="0.25">
      <c r="A712" s="8" t="s">
        <v>963</v>
      </c>
      <c r="B712" s="8" t="s">
        <v>947</v>
      </c>
      <c r="C712" s="8" t="s">
        <v>70</v>
      </c>
      <c r="D712" s="8" t="s">
        <v>948</v>
      </c>
      <c r="E712" s="25">
        <v>74.02</v>
      </c>
      <c r="F712" s="25">
        <v>6.73</v>
      </c>
      <c r="G712" s="25">
        <v>67.290000000000006</v>
      </c>
    </row>
    <row r="713" spans="1:7" ht="12.5" x14ac:dyDescent="0.25">
      <c r="A713" s="8" t="s">
        <v>963</v>
      </c>
      <c r="B713" s="8" t="s">
        <v>953</v>
      </c>
      <c r="C713" s="8" t="s">
        <v>965</v>
      </c>
      <c r="D713" s="8" t="s">
        <v>966</v>
      </c>
      <c r="E713" s="25">
        <v>8.06</v>
      </c>
      <c r="F713" s="25">
        <v>0.73</v>
      </c>
      <c r="G713" s="25">
        <v>7.33</v>
      </c>
    </row>
    <row r="714" spans="1:7" ht="12.5" x14ac:dyDescent="0.25">
      <c r="A714" s="8" t="s">
        <v>373</v>
      </c>
      <c r="B714" s="8" t="s">
        <v>953</v>
      </c>
      <c r="C714" s="8" t="s">
        <v>967</v>
      </c>
      <c r="D714" s="8" t="s">
        <v>968</v>
      </c>
      <c r="E714" s="25">
        <v>70.7</v>
      </c>
      <c r="F714" s="25">
        <v>6.43</v>
      </c>
      <c r="G714" s="25">
        <v>64.27</v>
      </c>
    </row>
    <row r="715" spans="1:7" ht="12.5" x14ac:dyDescent="0.25">
      <c r="A715" s="8" t="s">
        <v>376</v>
      </c>
      <c r="B715" s="8" t="s">
        <v>936</v>
      </c>
      <c r="C715" s="8" t="s">
        <v>969</v>
      </c>
      <c r="D715" s="8" t="s">
        <v>970</v>
      </c>
      <c r="E715" s="25">
        <v>1493.94</v>
      </c>
      <c r="F715" s="25">
        <v>135.81</v>
      </c>
      <c r="G715" s="25">
        <v>1358.13</v>
      </c>
    </row>
    <row r="716" spans="1:7" ht="12.5" x14ac:dyDescent="0.25">
      <c r="A716" s="8" t="s">
        <v>383</v>
      </c>
      <c r="B716" s="8" t="s">
        <v>956</v>
      </c>
      <c r="C716" s="8" t="s">
        <v>971</v>
      </c>
      <c r="D716" s="8" t="s">
        <v>972</v>
      </c>
      <c r="E716" s="25">
        <v>37.06</v>
      </c>
      <c r="F716" s="25">
        <v>3.37</v>
      </c>
      <c r="G716" s="25">
        <v>33.69</v>
      </c>
    </row>
    <row r="717" spans="1:7" ht="12.5" x14ac:dyDescent="0.25">
      <c r="A717" s="8" t="s">
        <v>386</v>
      </c>
      <c r="B717" s="8" t="s">
        <v>950</v>
      </c>
      <c r="C717" s="8" t="s">
        <v>973</v>
      </c>
      <c r="D717" s="8" t="s">
        <v>974</v>
      </c>
      <c r="E717" s="25">
        <v>8333.33</v>
      </c>
      <c r="F717" s="25">
        <v>757.58</v>
      </c>
      <c r="G717" s="25">
        <v>7575.75</v>
      </c>
    </row>
    <row r="718" spans="1:7" ht="12.5" x14ac:dyDescent="0.25">
      <c r="A718" s="8" t="s">
        <v>386</v>
      </c>
      <c r="B718" s="8" t="s">
        <v>975</v>
      </c>
      <c r="C718" s="8" t="s">
        <v>976</v>
      </c>
      <c r="D718" s="8" t="s">
        <v>977</v>
      </c>
      <c r="E718" s="25">
        <v>1677.5</v>
      </c>
      <c r="F718" s="25">
        <v>152.5</v>
      </c>
      <c r="G718" s="25">
        <v>1525</v>
      </c>
    </row>
    <row r="719" spans="1:7" ht="12.5" x14ac:dyDescent="0.25">
      <c r="A719" s="8" t="s">
        <v>393</v>
      </c>
      <c r="B719" s="8" t="s">
        <v>953</v>
      </c>
      <c r="C719" s="8" t="s">
        <v>70</v>
      </c>
      <c r="D719" s="8" t="s">
        <v>978</v>
      </c>
      <c r="E719" s="25">
        <v>-320</v>
      </c>
      <c r="F719" s="25">
        <v>-29.09</v>
      </c>
      <c r="G719" s="25">
        <v>-290.91000000000003</v>
      </c>
    </row>
    <row r="720" spans="1:7" ht="12.5" x14ac:dyDescent="0.25">
      <c r="A720" s="8" t="s">
        <v>393</v>
      </c>
      <c r="B720" s="8" t="s">
        <v>947</v>
      </c>
      <c r="C720" s="8" t="s">
        <v>70</v>
      </c>
      <c r="D720" s="8" t="s">
        <v>948</v>
      </c>
      <c r="E720" s="25">
        <v>32.4</v>
      </c>
      <c r="F720" s="25">
        <v>2.95</v>
      </c>
      <c r="G720" s="25">
        <v>29.45</v>
      </c>
    </row>
    <row r="721" spans="1:7" ht="12.5" x14ac:dyDescent="0.25">
      <c r="A721" s="8" t="s">
        <v>979</v>
      </c>
      <c r="B721" s="8" t="s">
        <v>936</v>
      </c>
      <c r="C721" s="8" t="s">
        <v>980</v>
      </c>
      <c r="D721" s="8" t="s">
        <v>981</v>
      </c>
      <c r="E721" s="25">
        <v>2524.5</v>
      </c>
      <c r="F721" s="25">
        <v>229.5</v>
      </c>
      <c r="G721" s="25">
        <v>2295</v>
      </c>
    </row>
    <row r="722" spans="1:7" ht="12.5" x14ac:dyDescent="0.25">
      <c r="A722" s="8" t="s">
        <v>982</v>
      </c>
      <c r="B722" s="8" t="s">
        <v>947</v>
      </c>
      <c r="C722" s="8" t="s">
        <v>70</v>
      </c>
      <c r="D722" s="8" t="s">
        <v>948</v>
      </c>
      <c r="E722" s="25">
        <v>68.86</v>
      </c>
      <c r="F722" s="25">
        <v>6.26</v>
      </c>
      <c r="G722" s="25">
        <v>62.6</v>
      </c>
    </row>
    <row r="723" spans="1:7" ht="12.5" x14ac:dyDescent="0.25">
      <c r="A723" s="8" t="s">
        <v>922</v>
      </c>
      <c r="B723" s="8" t="s">
        <v>950</v>
      </c>
      <c r="C723" s="8" t="s">
        <v>983</v>
      </c>
      <c r="D723" s="8" t="s">
        <v>984</v>
      </c>
      <c r="E723" s="25">
        <v>632.5</v>
      </c>
      <c r="F723" s="25">
        <v>57.5</v>
      </c>
      <c r="G723" s="25">
        <v>575</v>
      </c>
    </row>
    <row r="724" spans="1:7" ht="12.5" x14ac:dyDescent="0.25">
      <c r="A724" s="8" t="s">
        <v>922</v>
      </c>
      <c r="B724" s="8" t="s">
        <v>985</v>
      </c>
      <c r="C724" s="8" t="s">
        <v>986</v>
      </c>
      <c r="D724" s="8" t="s">
        <v>987</v>
      </c>
      <c r="E724" s="25">
        <v>165</v>
      </c>
      <c r="F724" s="25">
        <v>15</v>
      </c>
      <c r="G724" s="25">
        <v>150</v>
      </c>
    </row>
    <row r="725" spans="1:7" ht="12.5" x14ac:dyDescent="0.25">
      <c r="A725" s="8" t="s">
        <v>922</v>
      </c>
      <c r="B725" s="8" t="s">
        <v>985</v>
      </c>
      <c r="C725" s="8" t="s">
        <v>986</v>
      </c>
      <c r="D725" s="8" t="s">
        <v>988</v>
      </c>
      <c r="E725" s="25">
        <v>605</v>
      </c>
      <c r="F725" s="25">
        <v>55</v>
      </c>
      <c r="G725" s="25">
        <v>550</v>
      </c>
    </row>
    <row r="726" spans="1:7" ht="12.5" x14ac:dyDescent="0.25">
      <c r="A726" s="8" t="s">
        <v>922</v>
      </c>
      <c r="B726" s="8" t="s">
        <v>953</v>
      </c>
      <c r="C726" s="8" t="s">
        <v>989</v>
      </c>
      <c r="D726" s="8" t="s">
        <v>990</v>
      </c>
      <c r="E726" s="25">
        <v>77.2</v>
      </c>
      <c r="F726" s="25">
        <v>7.02</v>
      </c>
      <c r="G726" s="25">
        <v>70.180000000000007</v>
      </c>
    </row>
    <row r="727" spans="1:7" ht="12.5" x14ac:dyDescent="0.25">
      <c r="A727" s="8" t="s">
        <v>402</v>
      </c>
      <c r="B727" s="8" t="s">
        <v>929</v>
      </c>
      <c r="C727" s="8" t="s">
        <v>991</v>
      </c>
      <c r="D727" s="8" t="s">
        <v>931</v>
      </c>
      <c r="E727" s="25">
        <v>23.14</v>
      </c>
      <c r="F727" s="25">
        <v>2.1</v>
      </c>
      <c r="G727" s="25">
        <v>21.04</v>
      </c>
    </row>
    <row r="728" spans="1:7" ht="12.5" x14ac:dyDescent="0.25">
      <c r="A728" s="8" t="s">
        <v>402</v>
      </c>
      <c r="B728" s="8" t="s">
        <v>932</v>
      </c>
      <c r="C728" s="8" t="s">
        <v>992</v>
      </c>
      <c r="D728" s="8" t="s">
        <v>993</v>
      </c>
      <c r="E728" s="25">
        <v>2310</v>
      </c>
      <c r="F728" s="25">
        <v>210</v>
      </c>
      <c r="G728" s="25">
        <v>2100</v>
      </c>
    </row>
    <row r="729" spans="1:7" ht="12.5" x14ac:dyDescent="0.25">
      <c r="A729" s="8" t="s">
        <v>402</v>
      </c>
      <c r="B729" s="8" t="s">
        <v>936</v>
      </c>
      <c r="C729" s="8" t="s">
        <v>994</v>
      </c>
      <c r="D729" s="8" t="s">
        <v>938</v>
      </c>
      <c r="E729" s="25">
        <v>311.91000000000003</v>
      </c>
      <c r="F729" s="25">
        <v>28.36</v>
      </c>
      <c r="G729" s="25">
        <v>283.55</v>
      </c>
    </row>
    <row r="730" spans="1:7" ht="12.5" x14ac:dyDescent="0.25">
      <c r="A730" s="8" t="s">
        <v>562</v>
      </c>
      <c r="B730" s="8" t="s">
        <v>939</v>
      </c>
      <c r="C730" s="8" t="s">
        <v>995</v>
      </c>
      <c r="D730" s="8" t="s">
        <v>996</v>
      </c>
      <c r="E730" s="25">
        <v>21425.05</v>
      </c>
      <c r="F730" s="25">
        <v>1947.73</v>
      </c>
      <c r="G730" s="25">
        <v>19477.32</v>
      </c>
    </row>
    <row r="731" spans="1:7" ht="12.5" x14ac:dyDescent="0.25">
      <c r="A731" s="8" t="s">
        <v>574</v>
      </c>
      <c r="B731" s="8" t="s">
        <v>936</v>
      </c>
      <c r="C731" s="8" t="s">
        <v>997</v>
      </c>
      <c r="D731" s="8" t="s">
        <v>998</v>
      </c>
      <c r="E731" s="25">
        <v>2524.5</v>
      </c>
      <c r="F731" s="25">
        <v>229.5</v>
      </c>
      <c r="G731" s="25">
        <v>2295</v>
      </c>
    </row>
    <row r="732" spans="1:7" ht="12.5" x14ac:dyDescent="0.25">
      <c r="A732" s="8" t="s">
        <v>574</v>
      </c>
      <c r="B732" s="8" t="s">
        <v>936</v>
      </c>
      <c r="C732" s="8" t="s">
        <v>997</v>
      </c>
      <c r="D732" s="8" t="s">
        <v>999</v>
      </c>
      <c r="E732" s="25">
        <v>-1206.93</v>
      </c>
      <c r="F732" s="25">
        <v>-109.72</v>
      </c>
      <c r="G732" s="25">
        <v>-1097.21</v>
      </c>
    </row>
    <row r="733" spans="1:7" ht="12.5" x14ac:dyDescent="0.25">
      <c r="A733" s="8" t="s">
        <v>574</v>
      </c>
      <c r="B733" s="8" t="s">
        <v>936</v>
      </c>
      <c r="C733" s="8" t="s">
        <v>1000</v>
      </c>
      <c r="D733" s="8" t="s">
        <v>1001</v>
      </c>
      <c r="E733" s="25">
        <v>2613.6</v>
      </c>
      <c r="F733" s="25">
        <v>237.6</v>
      </c>
      <c r="G733" s="25">
        <v>2376</v>
      </c>
    </row>
    <row r="734" spans="1:7" ht="12.5" x14ac:dyDescent="0.25">
      <c r="A734" s="8" t="s">
        <v>574</v>
      </c>
      <c r="B734" s="8" t="s">
        <v>936</v>
      </c>
      <c r="C734" s="8" t="s">
        <v>1000</v>
      </c>
      <c r="D734" s="8" t="s">
        <v>1002</v>
      </c>
      <c r="E734" s="25">
        <v>2613.6</v>
      </c>
      <c r="F734" s="25">
        <v>237.6</v>
      </c>
      <c r="G734" s="25">
        <v>2376</v>
      </c>
    </row>
    <row r="735" spans="1:7" ht="12.5" x14ac:dyDescent="0.25">
      <c r="A735" s="8" t="s">
        <v>574</v>
      </c>
      <c r="B735" s="8" t="s">
        <v>936</v>
      </c>
      <c r="C735" s="8" t="s">
        <v>1000</v>
      </c>
      <c r="D735" s="8" t="s">
        <v>1003</v>
      </c>
      <c r="E735" s="25">
        <v>-374.86</v>
      </c>
      <c r="F735" s="25">
        <v>-34.08</v>
      </c>
      <c r="G735" s="25">
        <v>-340.78</v>
      </c>
    </row>
    <row r="736" spans="1:7" ht="12.5" x14ac:dyDescent="0.25">
      <c r="A736" s="8" t="s">
        <v>583</v>
      </c>
      <c r="B736" s="8" t="s">
        <v>956</v>
      </c>
      <c r="C736" s="8" t="s">
        <v>961</v>
      </c>
      <c r="D736" s="8" t="s">
        <v>1004</v>
      </c>
      <c r="E736" s="25">
        <v>28.8</v>
      </c>
      <c r="F736" s="25">
        <v>2.62</v>
      </c>
      <c r="G736" s="25">
        <v>26.18</v>
      </c>
    </row>
    <row r="737" spans="1:7" ht="12.5" x14ac:dyDescent="0.25">
      <c r="A737" s="8" t="s">
        <v>1005</v>
      </c>
      <c r="B737" s="8" t="s">
        <v>950</v>
      </c>
      <c r="C737" s="8" t="s">
        <v>1006</v>
      </c>
      <c r="D737" s="8" t="s">
        <v>952</v>
      </c>
      <c r="E737" s="25">
        <v>8333.33</v>
      </c>
      <c r="F737" s="25">
        <v>757.58</v>
      </c>
      <c r="G737" s="25">
        <v>7575.75</v>
      </c>
    </row>
    <row r="738" spans="1:7" ht="12.5" x14ac:dyDescent="0.25">
      <c r="A738" s="8" t="s">
        <v>587</v>
      </c>
      <c r="B738" s="8" t="s">
        <v>956</v>
      </c>
      <c r="C738" s="8" t="s">
        <v>957</v>
      </c>
      <c r="D738" s="8" t="s">
        <v>1007</v>
      </c>
      <c r="E738" s="25">
        <v>41.85</v>
      </c>
      <c r="F738" s="25">
        <v>3.8</v>
      </c>
      <c r="G738" s="25">
        <v>38.049999999999997</v>
      </c>
    </row>
    <row r="739" spans="1:7" ht="12.5" x14ac:dyDescent="0.25">
      <c r="A739" s="8" t="s">
        <v>587</v>
      </c>
      <c r="B739" s="8" t="s">
        <v>975</v>
      </c>
      <c r="C739" s="8" t="s">
        <v>1008</v>
      </c>
      <c r="D739" s="8" t="s">
        <v>1009</v>
      </c>
      <c r="E739" s="25">
        <v>65</v>
      </c>
      <c r="F739" s="25">
        <v>5.91</v>
      </c>
      <c r="G739" s="25">
        <v>59.09</v>
      </c>
    </row>
    <row r="740" spans="1:7" ht="12.5" x14ac:dyDescent="0.25">
      <c r="A740" s="8" t="s">
        <v>587</v>
      </c>
      <c r="B740" s="8" t="s">
        <v>137</v>
      </c>
      <c r="C740" s="8" t="s">
        <v>1010</v>
      </c>
      <c r="D740" s="8" t="s">
        <v>1011</v>
      </c>
      <c r="E740" s="25">
        <v>-187</v>
      </c>
      <c r="F740" s="25">
        <v>-17</v>
      </c>
      <c r="G740" s="25">
        <v>-170</v>
      </c>
    </row>
    <row r="741" spans="1:7" ht="12.5" x14ac:dyDescent="0.25">
      <c r="A741" s="8" t="s">
        <v>1012</v>
      </c>
      <c r="B741" s="8" t="s">
        <v>956</v>
      </c>
      <c r="C741" s="8" t="s">
        <v>957</v>
      </c>
      <c r="D741" s="8" t="s">
        <v>958</v>
      </c>
      <c r="E741" s="25">
        <v>40</v>
      </c>
      <c r="F741" s="25">
        <v>3.64</v>
      </c>
      <c r="G741" s="25">
        <v>36.36</v>
      </c>
    </row>
    <row r="742" spans="1:7" ht="12.5" x14ac:dyDescent="0.25">
      <c r="A742" s="8" t="s">
        <v>1012</v>
      </c>
      <c r="B742" s="8" t="s">
        <v>1013</v>
      </c>
      <c r="C742" s="8" t="s">
        <v>1014</v>
      </c>
      <c r="D742" s="8" t="s">
        <v>1015</v>
      </c>
      <c r="E742" s="25">
        <v>2434.15</v>
      </c>
      <c r="F742" s="25">
        <v>221.29</v>
      </c>
      <c r="G742" s="25">
        <v>2212.86</v>
      </c>
    </row>
    <row r="743" spans="1:7" ht="12.5" x14ac:dyDescent="0.25">
      <c r="A743" s="8" t="s">
        <v>1012</v>
      </c>
      <c r="B743" s="8" t="s">
        <v>932</v>
      </c>
      <c r="C743" s="8" t="s">
        <v>1014</v>
      </c>
      <c r="D743" s="8" t="s">
        <v>1016</v>
      </c>
      <c r="E743" s="25">
        <v>628.76</v>
      </c>
      <c r="F743" s="25">
        <v>57.16</v>
      </c>
      <c r="G743" s="25">
        <v>571.6</v>
      </c>
    </row>
    <row r="744" spans="1:7" ht="12.5" x14ac:dyDescent="0.25">
      <c r="A744" s="8" t="s">
        <v>1012</v>
      </c>
      <c r="B744" s="8" t="s">
        <v>929</v>
      </c>
      <c r="C744" s="8" t="s">
        <v>1014</v>
      </c>
      <c r="D744" s="8" t="s">
        <v>1017</v>
      </c>
      <c r="E744" s="25">
        <v>72.03</v>
      </c>
      <c r="F744" s="25">
        <v>6.55</v>
      </c>
      <c r="G744" s="25">
        <v>65.48</v>
      </c>
    </row>
    <row r="745" spans="1:7" ht="12.5" x14ac:dyDescent="0.25">
      <c r="A745" s="8" t="s">
        <v>1012</v>
      </c>
      <c r="B745" s="8" t="s">
        <v>1018</v>
      </c>
      <c r="C745" s="8" t="s">
        <v>1014</v>
      </c>
      <c r="D745" s="8" t="s">
        <v>1019</v>
      </c>
      <c r="E745" s="25">
        <v>117.72</v>
      </c>
      <c r="F745" s="25">
        <v>10.7</v>
      </c>
      <c r="G745" s="25">
        <v>107.02</v>
      </c>
    </row>
    <row r="746" spans="1:7" ht="12.5" x14ac:dyDescent="0.25">
      <c r="A746" s="8" t="s">
        <v>594</v>
      </c>
      <c r="B746" s="8" t="s">
        <v>956</v>
      </c>
      <c r="C746" s="8" t="s">
        <v>957</v>
      </c>
      <c r="D746" s="8" t="s">
        <v>1020</v>
      </c>
      <c r="E746" s="25">
        <v>40</v>
      </c>
      <c r="F746" s="25">
        <v>3.64</v>
      </c>
      <c r="G746" s="25">
        <v>36.36</v>
      </c>
    </row>
    <row r="747" spans="1:7" ht="12.5" x14ac:dyDescent="0.25">
      <c r="A747" s="8" t="s">
        <v>594</v>
      </c>
      <c r="B747" s="8" t="s">
        <v>975</v>
      </c>
      <c r="C747" s="8" t="s">
        <v>1021</v>
      </c>
      <c r="D747" s="8" t="s">
        <v>1022</v>
      </c>
      <c r="E747" s="25">
        <v>6.5</v>
      </c>
      <c r="F747" s="25">
        <v>0.59</v>
      </c>
      <c r="G747" s="25">
        <v>5.91</v>
      </c>
    </row>
    <row r="748" spans="1:7" ht="12.5" x14ac:dyDescent="0.25">
      <c r="A748" s="8" t="s">
        <v>594</v>
      </c>
      <c r="B748" s="8" t="s">
        <v>956</v>
      </c>
      <c r="C748" s="8" t="s">
        <v>957</v>
      </c>
      <c r="D748" s="8" t="s">
        <v>960</v>
      </c>
      <c r="E748" s="25">
        <v>38.39</v>
      </c>
      <c r="F748" s="25">
        <v>3.49</v>
      </c>
      <c r="G748" s="25">
        <v>34.9</v>
      </c>
    </row>
    <row r="749" spans="1:7" ht="12.5" x14ac:dyDescent="0.25">
      <c r="A749" s="8" t="s">
        <v>594</v>
      </c>
      <c r="B749" s="8" t="s">
        <v>956</v>
      </c>
      <c r="C749" s="8" t="s">
        <v>957</v>
      </c>
      <c r="D749" s="8" t="s">
        <v>1023</v>
      </c>
      <c r="E749" s="25">
        <v>44.76</v>
      </c>
      <c r="F749" s="25">
        <v>4.07</v>
      </c>
      <c r="G749" s="25">
        <v>40.69</v>
      </c>
    </row>
    <row r="750" spans="1:7" ht="12.5" x14ac:dyDescent="0.25">
      <c r="A750" s="8" t="s">
        <v>594</v>
      </c>
      <c r="B750" s="8" t="s">
        <v>947</v>
      </c>
      <c r="C750" s="8" t="s">
        <v>70</v>
      </c>
      <c r="D750" s="8" t="s">
        <v>948</v>
      </c>
      <c r="E750" s="25">
        <v>54.52</v>
      </c>
      <c r="F750" s="25">
        <v>4.96</v>
      </c>
      <c r="G750" s="25">
        <v>49.56</v>
      </c>
    </row>
    <row r="751" spans="1:7" ht="12.5" x14ac:dyDescent="0.25">
      <c r="A751" s="8" t="s">
        <v>594</v>
      </c>
      <c r="B751" s="8" t="s">
        <v>956</v>
      </c>
      <c r="C751" s="8" t="s">
        <v>957</v>
      </c>
      <c r="D751" s="8" t="s">
        <v>1024</v>
      </c>
      <c r="E751" s="25">
        <v>26.7</v>
      </c>
      <c r="F751" s="25">
        <v>2.4300000000000002</v>
      </c>
      <c r="G751" s="25">
        <v>24.27</v>
      </c>
    </row>
    <row r="752" spans="1:7" ht="12.5" x14ac:dyDescent="0.25">
      <c r="A752" s="8" t="s">
        <v>599</v>
      </c>
      <c r="B752" s="8" t="s">
        <v>956</v>
      </c>
      <c r="C752" s="8" t="s">
        <v>1025</v>
      </c>
      <c r="D752" s="8" t="s">
        <v>1026</v>
      </c>
      <c r="E752" s="25">
        <v>36.04</v>
      </c>
      <c r="F752" s="25">
        <v>3.28</v>
      </c>
      <c r="G752" s="25">
        <v>32.76</v>
      </c>
    </row>
    <row r="753" spans="1:7" ht="12.5" x14ac:dyDescent="0.25">
      <c r="A753" s="8" t="s">
        <v>605</v>
      </c>
      <c r="B753" s="8" t="s">
        <v>953</v>
      </c>
      <c r="C753" s="8" t="s">
        <v>1027</v>
      </c>
      <c r="D753" s="8" t="s">
        <v>1028</v>
      </c>
      <c r="E753" s="25">
        <v>35</v>
      </c>
      <c r="F753" s="25">
        <v>3.18</v>
      </c>
      <c r="G753" s="25">
        <v>31.82</v>
      </c>
    </row>
    <row r="754" spans="1:7" ht="12.5" x14ac:dyDescent="0.25">
      <c r="A754" s="8" t="s">
        <v>605</v>
      </c>
      <c r="B754" s="8" t="s">
        <v>953</v>
      </c>
      <c r="C754" s="8" t="s">
        <v>70</v>
      </c>
      <c r="D754" s="8" t="s">
        <v>1029</v>
      </c>
      <c r="E754" s="25">
        <v>-2737.8</v>
      </c>
      <c r="F754" s="25">
        <v>-248.89</v>
      </c>
      <c r="G754" s="25">
        <v>-2488.91</v>
      </c>
    </row>
    <row r="755" spans="1:7" ht="12.5" x14ac:dyDescent="0.25">
      <c r="A755" s="8" t="s">
        <v>605</v>
      </c>
      <c r="B755" s="8" t="s">
        <v>936</v>
      </c>
      <c r="C755" s="8" t="s">
        <v>1030</v>
      </c>
      <c r="D755" s="8" t="s">
        <v>970</v>
      </c>
      <c r="E755" s="25">
        <v>1402.86</v>
      </c>
      <c r="F755" s="25">
        <v>127.53</v>
      </c>
      <c r="G755" s="25">
        <v>1275.33</v>
      </c>
    </row>
    <row r="756" spans="1:7" ht="12.5" x14ac:dyDescent="0.25">
      <c r="A756" s="8" t="s">
        <v>614</v>
      </c>
      <c r="B756" s="8" t="s">
        <v>943</v>
      </c>
      <c r="C756" s="8" t="s">
        <v>1031</v>
      </c>
      <c r="D756" s="8" t="s">
        <v>1032</v>
      </c>
      <c r="E756" s="25">
        <v>1644.5</v>
      </c>
      <c r="F756" s="25">
        <v>149.5</v>
      </c>
      <c r="G756" s="25">
        <v>1495</v>
      </c>
    </row>
    <row r="757" spans="1:7" ht="12.5" x14ac:dyDescent="0.25">
      <c r="A757" s="8" t="s">
        <v>614</v>
      </c>
      <c r="B757" s="8" t="s">
        <v>956</v>
      </c>
      <c r="C757" s="8" t="s">
        <v>1031</v>
      </c>
      <c r="D757" s="8" t="s">
        <v>1033</v>
      </c>
      <c r="E757" s="25">
        <v>18</v>
      </c>
      <c r="F757" s="25">
        <v>1.64</v>
      </c>
      <c r="G757" s="25">
        <v>16.36</v>
      </c>
    </row>
    <row r="758" spans="1:7" ht="12.5" x14ac:dyDescent="0.25">
      <c r="A758" s="8" t="s">
        <v>614</v>
      </c>
      <c r="B758" s="8" t="s">
        <v>1018</v>
      </c>
      <c r="C758" s="8" t="s">
        <v>1031</v>
      </c>
      <c r="D758" s="8" t="s">
        <v>1034</v>
      </c>
      <c r="E758" s="25">
        <v>29.99</v>
      </c>
      <c r="F758" s="25">
        <v>2.73</v>
      </c>
      <c r="G758" s="25">
        <v>27.26</v>
      </c>
    </row>
    <row r="759" spans="1:7" ht="12.5" x14ac:dyDescent="0.25">
      <c r="A759" s="8" t="s">
        <v>614</v>
      </c>
      <c r="B759" s="8" t="s">
        <v>1018</v>
      </c>
      <c r="C759" s="8" t="s">
        <v>1031</v>
      </c>
      <c r="D759" s="8" t="s">
        <v>1035</v>
      </c>
      <c r="E759" s="25">
        <v>14.95</v>
      </c>
      <c r="F759" s="25">
        <v>1.36</v>
      </c>
      <c r="G759" s="25">
        <v>13.59</v>
      </c>
    </row>
    <row r="760" spans="1:7" ht="12.5" x14ac:dyDescent="0.25">
      <c r="A760" s="8" t="s">
        <v>614</v>
      </c>
      <c r="B760" s="8" t="s">
        <v>1036</v>
      </c>
      <c r="C760" s="8" t="s">
        <v>1031</v>
      </c>
      <c r="D760" s="8" t="s">
        <v>1037</v>
      </c>
      <c r="E760" s="25">
        <v>22.43</v>
      </c>
      <c r="F760" s="25">
        <v>2.04</v>
      </c>
      <c r="G760" s="25">
        <v>20.39</v>
      </c>
    </row>
    <row r="761" spans="1:7" ht="12.5" x14ac:dyDescent="0.25">
      <c r="A761" s="8" t="s">
        <v>614</v>
      </c>
      <c r="B761" s="8" t="s">
        <v>956</v>
      </c>
      <c r="C761" s="8" t="s">
        <v>1031</v>
      </c>
      <c r="D761" s="8" t="s">
        <v>1038</v>
      </c>
      <c r="E761" s="25">
        <v>79.98</v>
      </c>
      <c r="F761" s="25">
        <v>7.27</v>
      </c>
      <c r="G761" s="25">
        <v>72.709999999999994</v>
      </c>
    </row>
    <row r="762" spans="1:7" ht="12.5" x14ac:dyDescent="0.25">
      <c r="A762" s="8" t="s">
        <v>614</v>
      </c>
      <c r="B762" s="8" t="s">
        <v>953</v>
      </c>
      <c r="C762" s="8" t="s">
        <v>1031</v>
      </c>
      <c r="D762" s="8" t="s">
        <v>1039</v>
      </c>
      <c r="E762" s="25">
        <v>30.24</v>
      </c>
      <c r="F762" s="25">
        <v>2.75</v>
      </c>
      <c r="G762" s="25">
        <v>27.49</v>
      </c>
    </row>
    <row r="763" spans="1:7" ht="12.5" x14ac:dyDescent="0.25">
      <c r="A763" s="8" t="s">
        <v>649</v>
      </c>
      <c r="B763" s="8" t="s">
        <v>947</v>
      </c>
      <c r="C763" s="8" t="s">
        <v>70</v>
      </c>
      <c r="D763" s="8" t="s">
        <v>948</v>
      </c>
      <c r="E763" s="25">
        <v>26.45</v>
      </c>
      <c r="F763" s="25">
        <v>2.4</v>
      </c>
      <c r="G763" s="25">
        <v>24.05</v>
      </c>
    </row>
    <row r="764" spans="1:7" ht="12.5" x14ac:dyDescent="0.25">
      <c r="A764" s="8" t="s">
        <v>655</v>
      </c>
      <c r="B764" s="8" t="s">
        <v>953</v>
      </c>
      <c r="C764" s="8" t="s">
        <v>1040</v>
      </c>
      <c r="D764" s="8" t="s">
        <v>1041</v>
      </c>
      <c r="E764" s="25">
        <v>162.9</v>
      </c>
      <c r="F764" s="25">
        <v>14.81</v>
      </c>
      <c r="G764" s="25">
        <v>148.09</v>
      </c>
    </row>
    <row r="765" spans="1:7" ht="12.5" x14ac:dyDescent="0.25">
      <c r="A765" s="8" t="s">
        <v>655</v>
      </c>
      <c r="B765" s="8" t="s">
        <v>950</v>
      </c>
      <c r="C765" s="8" t="s">
        <v>1042</v>
      </c>
      <c r="D765" s="8" t="s">
        <v>974</v>
      </c>
      <c r="E765" s="25">
        <v>8333.33</v>
      </c>
      <c r="F765" s="25">
        <v>757.58</v>
      </c>
      <c r="G765" s="25">
        <v>7575.75</v>
      </c>
    </row>
    <row r="766" spans="1:7" ht="12.5" x14ac:dyDescent="0.25">
      <c r="A766" s="8" t="s">
        <v>664</v>
      </c>
      <c r="B766" s="8" t="s">
        <v>1043</v>
      </c>
      <c r="C766" s="8" t="s">
        <v>1044</v>
      </c>
      <c r="D766" s="8" t="s">
        <v>1045</v>
      </c>
      <c r="E766" s="25">
        <v>2373.34</v>
      </c>
      <c r="F766" s="25">
        <v>215.76</v>
      </c>
      <c r="G766" s="25">
        <v>2157.58</v>
      </c>
    </row>
    <row r="767" spans="1:7" ht="12.5" x14ac:dyDescent="0.25">
      <c r="A767" s="8" t="s">
        <v>672</v>
      </c>
      <c r="B767" s="8" t="s">
        <v>947</v>
      </c>
      <c r="C767" s="8" t="s">
        <v>70</v>
      </c>
      <c r="D767" s="8" t="s">
        <v>948</v>
      </c>
      <c r="E767" s="25">
        <v>24.51</v>
      </c>
      <c r="F767" s="25">
        <v>2.23</v>
      </c>
      <c r="G767" s="25">
        <v>22.28</v>
      </c>
    </row>
    <row r="768" spans="1:7" ht="12.5" x14ac:dyDescent="0.25">
      <c r="A768" s="8" t="s">
        <v>695</v>
      </c>
      <c r="B768" s="8" t="s">
        <v>950</v>
      </c>
      <c r="C768" s="8" t="s">
        <v>1046</v>
      </c>
      <c r="D768" s="8" t="s">
        <v>1047</v>
      </c>
      <c r="E768" s="25">
        <v>660</v>
      </c>
      <c r="F768" s="25">
        <v>60</v>
      </c>
      <c r="G768" s="25">
        <v>600</v>
      </c>
    </row>
    <row r="769" spans="1:7" ht="12.5" x14ac:dyDescent="0.25">
      <c r="A769" s="8" t="s">
        <v>695</v>
      </c>
      <c r="B769" s="8" t="s">
        <v>1018</v>
      </c>
      <c r="C769" s="8" t="s">
        <v>1048</v>
      </c>
      <c r="D769" s="8" t="s">
        <v>1049</v>
      </c>
      <c r="E769" s="25">
        <v>177.27</v>
      </c>
      <c r="F769" s="25">
        <v>16.12</v>
      </c>
      <c r="G769" s="25">
        <v>161.15</v>
      </c>
    </row>
    <row r="770" spans="1:7" ht="12.5" x14ac:dyDescent="0.25">
      <c r="A770" s="8" t="s">
        <v>695</v>
      </c>
      <c r="B770" s="8" t="s">
        <v>953</v>
      </c>
      <c r="C770" s="8" t="s">
        <v>1050</v>
      </c>
      <c r="D770" s="8" t="s">
        <v>1051</v>
      </c>
      <c r="E770" s="25">
        <v>664</v>
      </c>
      <c r="F770" s="25">
        <v>60.36</v>
      </c>
      <c r="G770" s="25">
        <v>603.64</v>
      </c>
    </row>
    <row r="771" spans="1:7" ht="12.5" x14ac:dyDescent="0.25">
      <c r="A771" s="8" t="s">
        <v>715</v>
      </c>
      <c r="B771" s="8" t="s">
        <v>956</v>
      </c>
      <c r="C771" s="8" t="s">
        <v>1052</v>
      </c>
      <c r="D771" s="8" t="s">
        <v>1053</v>
      </c>
      <c r="E771" s="25">
        <v>40</v>
      </c>
      <c r="F771" s="25">
        <v>3.64</v>
      </c>
      <c r="G771" s="25">
        <v>36.36</v>
      </c>
    </row>
    <row r="772" spans="1:7" ht="12.5" x14ac:dyDescent="0.25">
      <c r="A772" s="8" t="s">
        <v>715</v>
      </c>
      <c r="B772" s="8" t="s">
        <v>943</v>
      </c>
      <c r="C772" s="8" t="s">
        <v>1054</v>
      </c>
      <c r="D772" s="8" t="s">
        <v>1055</v>
      </c>
      <c r="E772" s="25">
        <v>1193.99</v>
      </c>
      <c r="F772" s="25">
        <v>108.54</v>
      </c>
      <c r="G772" s="25">
        <v>1085.45</v>
      </c>
    </row>
    <row r="773" spans="1:7" ht="12.5" x14ac:dyDescent="0.25">
      <c r="A773" s="8" t="s">
        <v>715</v>
      </c>
      <c r="B773" s="8" t="s">
        <v>932</v>
      </c>
      <c r="C773" s="8" t="s">
        <v>1056</v>
      </c>
      <c r="D773" s="8" t="s">
        <v>993</v>
      </c>
      <c r="E773" s="25">
        <v>2310</v>
      </c>
      <c r="F773" s="25">
        <v>210</v>
      </c>
      <c r="G773" s="25">
        <v>2100</v>
      </c>
    </row>
    <row r="774" spans="1:7" ht="12.5" x14ac:dyDescent="0.25">
      <c r="A774" s="8" t="s">
        <v>826</v>
      </c>
      <c r="B774" s="8" t="s">
        <v>956</v>
      </c>
      <c r="C774" s="8" t="s">
        <v>1057</v>
      </c>
      <c r="D774" s="8" t="s">
        <v>1058</v>
      </c>
      <c r="E774" s="25">
        <v>40</v>
      </c>
      <c r="F774" s="25">
        <v>3.64</v>
      </c>
      <c r="G774" s="25">
        <v>36.36</v>
      </c>
    </row>
    <row r="775" spans="1:7" ht="12.5" x14ac:dyDescent="0.25">
      <c r="A775" s="8" t="s">
        <v>826</v>
      </c>
      <c r="B775" s="8" t="s">
        <v>1013</v>
      </c>
      <c r="C775" s="8" t="s">
        <v>1059</v>
      </c>
      <c r="D775" s="8" t="s">
        <v>1060</v>
      </c>
      <c r="E775" s="25">
        <v>241.03</v>
      </c>
      <c r="F775" s="25">
        <v>21.91</v>
      </c>
      <c r="G775" s="25">
        <v>219.12</v>
      </c>
    </row>
    <row r="776" spans="1:7" ht="12.5" x14ac:dyDescent="0.25">
      <c r="A776" s="8" t="s">
        <v>826</v>
      </c>
      <c r="B776" s="8" t="s">
        <v>1013</v>
      </c>
      <c r="C776" s="8" t="s">
        <v>1059</v>
      </c>
      <c r="D776" s="8" t="s">
        <v>1061</v>
      </c>
      <c r="E776" s="25">
        <v>899.87</v>
      </c>
      <c r="F776" s="25">
        <v>81.81</v>
      </c>
      <c r="G776" s="25">
        <v>818.06</v>
      </c>
    </row>
    <row r="777" spans="1:7" ht="12.5" x14ac:dyDescent="0.25">
      <c r="A777" s="8" t="s">
        <v>826</v>
      </c>
      <c r="B777" s="8" t="s">
        <v>1013</v>
      </c>
      <c r="C777" s="8" t="s">
        <v>1059</v>
      </c>
      <c r="D777" s="8" t="s">
        <v>1062</v>
      </c>
      <c r="E777" s="25">
        <v>1735.46</v>
      </c>
      <c r="F777" s="25">
        <v>157.77000000000001</v>
      </c>
      <c r="G777" s="25">
        <v>1577.69</v>
      </c>
    </row>
    <row r="778" spans="1:7" ht="12.5" x14ac:dyDescent="0.25">
      <c r="A778" s="8" t="s">
        <v>826</v>
      </c>
      <c r="B778" s="8" t="s">
        <v>1013</v>
      </c>
      <c r="C778" s="8" t="s">
        <v>1059</v>
      </c>
      <c r="D778" s="8" t="s">
        <v>1063</v>
      </c>
      <c r="E778" s="25">
        <v>1847.93</v>
      </c>
      <c r="F778" s="25">
        <v>167.99</v>
      </c>
      <c r="G778" s="25">
        <v>1679.94</v>
      </c>
    </row>
    <row r="779" spans="1:7" ht="12.5" x14ac:dyDescent="0.25">
      <c r="A779" s="8" t="s">
        <v>826</v>
      </c>
      <c r="B779" s="8" t="s">
        <v>956</v>
      </c>
      <c r="C779" s="8" t="s">
        <v>1064</v>
      </c>
      <c r="D779" s="8" t="s">
        <v>1065</v>
      </c>
      <c r="E779" s="25">
        <v>37.799999999999997</v>
      </c>
      <c r="F779" s="25">
        <v>3.44</v>
      </c>
      <c r="G779" s="25">
        <v>34.36</v>
      </c>
    </row>
    <row r="780" spans="1:7" ht="12.5" x14ac:dyDescent="0.25">
      <c r="A780" s="8" t="s">
        <v>826</v>
      </c>
      <c r="B780" s="8" t="s">
        <v>956</v>
      </c>
      <c r="C780" s="8" t="s">
        <v>1066</v>
      </c>
      <c r="D780" s="8" t="s">
        <v>1067</v>
      </c>
      <c r="E780" s="25">
        <v>39.950000000000003</v>
      </c>
      <c r="F780" s="25">
        <v>3.63</v>
      </c>
      <c r="G780" s="25">
        <v>36.32</v>
      </c>
    </row>
    <row r="781" spans="1:7" ht="12.5" x14ac:dyDescent="0.25">
      <c r="A781" s="8" t="s">
        <v>826</v>
      </c>
      <c r="B781" s="8" t="s">
        <v>936</v>
      </c>
      <c r="C781" s="8" t="s">
        <v>1068</v>
      </c>
      <c r="D781" s="8" t="s">
        <v>938</v>
      </c>
      <c r="E781" s="25">
        <v>573.79999999999995</v>
      </c>
      <c r="F781" s="25">
        <v>52.16</v>
      </c>
      <c r="G781" s="25">
        <v>521.64</v>
      </c>
    </row>
    <row r="782" spans="1:7" ht="12.5" x14ac:dyDescent="0.25">
      <c r="A782" s="8" t="s">
        <v>826</v>
      </c>
      <c r="B782" s="8" t="s">
        <v>956</v>
      </c>
      <c r="C782" s="8" t="s">
        <v>1066</v>
      </c>
      <c r="D782" s="8" t="s">
        <v>1069</v>
      </c>
      <c r="E782" s="25">
        <v>39.799999999999997</v>
      </c>
      <c r="F782" s="25">
        <v>3.62</v>
      </c>
      <c r="G782" s="25">
        <v>36.18</v>
      </c>
    </row>
    <row r="783" spans="1:7" ht="12.5" x14ac:dyDescent="0.25">
      <c r="A783" s="8" t="s">
        <v>826</v>
      </c>
      <c r="B783" s="8" t="s">
        <v>956</v>
      </c>
      <c r="C783" s="8" t="s">
        <v>1070</v>
      </c>
      <c r="D783" s="8" t="s">
        <v>1071</v>
      </c>
      <c r="E783" s="25">
        <v>36.28</v>
      </c>
      <c r="F783" s="25">
        <v>3.3</v>
      </c>
      <c r="G783" s="25">
        <v>32.979999999999997</v>
      </c>
    </row>
    <row r="784" spans="1:7" ht="12.5" x14ac:dyDescent="0.25">
      <c r="A784" s="8" t="s">
        <v>826</v>
      </c>
      <c r="B784" s="8" t="s">
        <v>956</v>
      </c>
      <c r="C784" s="8" t="s">
        <v>1072</v>
      </c>
      <c r="D784" s="8" t="s">
        <v>1073</v>
      </c>
      <c r="E784" s="25">
        <v>37.24</v>
      </c>
      <c r="F784" s="25">
        <v>3.39</v>
      </c>
      <c r="G784" s="25">
        <v>33.85</v>
      </c>
    </row>
    <row r="785" spans="1:7" ht="12.5" x14ac:dyDescent="0.25">
      <c r="A785" s="8" t="s">
        <v>826</v>
      </c>
      <c r="B785" s="8" t="s">
        <v>1074</v>
      </c>
      <c r="C785" s="8" t="s">
        <v>1075</v>
      </c>
      <c r="D785" s="8" t="s">
        <v>1076</v>
      </c>
      <c r="E785" s="25">
        <v>26878.98</v>
      </c>
      <c r="F785" s="25">
        <v>2443.5500000000002</v>
      </c>
      <c r="G785" s="25">
        <v>24435.43</v>
      </c>
    </row>
    <row r="786" spans="1:7" ht="12.5" x14ac:dyDescent="0.25">
      <c r="A786" s="8" t="s">
        <v>826</v>
      </c>
      <c r="B786" s="8" t="s">
        <v>929</v>
      </c>
      <c r="C786" s="8" t="s">
        <v>1077</v>
      </c>
      <c r="D786" s="8" t="s">
        <v>931</v>
      </c>
      <c r="E786" s="25">
        <v>51.39</v>
      </c>
      <c r="F786" s="25">
        <v>4.67</v>
      </c>
      <c r="G786" s="25">
        <v>46.72</v>
      </c>
    </row>
    <row r="787" spans="1:7" ht="12.5" x14ac:dyDescent="0.25">
      <c r="A787" s="8" t="s">
        <v>826</v>
      </c>
      <c r="B787" s="8" t="s">
        <v>956</v>
      </c>
      <c r="C787" s="8" t="s">
        <v>1014</v>
      </c>
      <c r="D787" s="8" t="s">
        <v>1078</v>
      </c>
      <c r="E787" s="25">
        <v>56.39</v>
      </c>
      <c r="F787" s="25">
        <v>5.13</v>
      </c>
      <c r="G787" s="25">
        <v>51.26</v>
      </c>
    </row>
    <row r="788" spans="1:7" ht="12.5" x14ac:dyDescent="0.25">
      <c r="A788" s="8" t="s">
        <v>826</v>
      </c>
      <c r="B788" s="8" t="s">
        <v>943</v>
      </c>
      <c r="C788" s="8" t="s">
        <v>1014</v>
      </c>
      <c r="D788" s="8" t="s">
        <v>1079</v>
      </c>
      <c r="E788" s="25">
        <v>372.4</v>
      </c>
      <c r="F788" s="25">
        <v>33.85</v>
      </c>
      <c r="G788" s="25">
        <v>338.55</v>
      </c>
    </row>
    <row r="789" spans="1:7" ht="12.5" x14ac:dyDescent="0.25">
      <c r="A789" s="8" t="s">
        <v>826</v>
      </c>
      <c r="B789" s="8" t="s">
        <v>929</v>
      </c>
      <c r="C789" s="8" t="s">
        <v>1014</v>
      </c>
      <c r="D789" s="8" t="s">
        <v>1017</v>
      </c>
      <c r="E789" s="25">
        <v>72.03</v>
      </c>
      <c r="F789" s="25">
        <v>6.55</v>
      </c>
      <c r="G789" s="25">
        <v>65.48</v>
      </c>
    </row>
    <row r="790" spans="1:7" ht="12.5" x14ac:dyDescent="0.25">
      <c r="A790" s="8" t="s">
        <v>826</v>
      </c>
      <c r="B790" s="8" t="s">
        <v>1080</v>
      </c>
      <c r="C790" s="8" t="s">
        <v>1014</v>
      </c>
      <c r="D790" s="8" t="s">
        <v>1081</v>
      </c>
      <c r="E790" s="25">
        <v>984.5</v>
      </c>
      <c r="F790" s="25">
        <v>89.5</v>
      </c>
      <c r="G790" s="25">
        <v>895</v>
      </c>
    </row>
    <row r="791" spans="1:7" ht="12.5" x14ac:dyDescent="0.25">
      <c r="A791" s="8" t="s">
        <v>826</v>
      </c>
      <c r="B791" s="8" t="s">
        <v>932</v>
      </c>
      <c r="C791" s="8" t="s">
        <v>1014</v>
      </c>
      <c r="D791" s="8" t="s">
        <v>1082</v>
      </c>
      <c r="E791" s="25">
        <v>2329.09</v>
      </c>
      <c r="F791" s="25">
        <v>211.74</v>
      </c>
      <c r="G791" s="25">
        <v>2117.35</v>
      </c>
    </row>
    <row r="792" spans="1:7" ht="12.5" x14ac:dyDescent="0.25">
      <c r="A792" s="8" t="s">
        <v>826</v>
      </c>
      <c r="B792" s="8" t="s">
        <v>1013</v>
      </c>
      <c r="C792" s="8" t="s">
        <v>1014</v>
      </c>
      <c r="D792" s="8" t="s">
        <v>1083</v>
      </c>
      <c r="E792" s="25">
        <v>313.61</v>
      </c>
      <c r="F792" s="25">
        <v>28.51</v>
      </c>
      <c r="G792" s="25">
        <v>285.10000000000002</v>
      </c>
    </row>
    <row r="793" spans="1:7" ht="12.5" x14ac:dyDescent="0.25">
      <c r="A793" s="8" t="s">
        <v>826</v>
      </c>
      <c r="B793" s="8" t="s">
        <v>1074</v>
      </c>
      <c r="C793" s="8" t="s">
        <v>1014</v>
      </c>
      <c r="D793" s="8" t="s">
        <v>1084</v>
      </c>
      <c r="E793" s="25">
        <v>319.89</v>
      </c>
      <c r="F793" s="25">
        <v>29.08</v>
      </c>
      <c r="G793" s="25">
        <v>290.81</v>
      </c>
    </row>
    <row r="794" spans="1:7" ht="12.5" x14ac:dyDescent="0.25">
      <c r="A794" s="8" t="s">
        <v>833</v>
      </c>
      <c r="B794" s="8" t="s">
        <v>939</v>
      </c>
      <c r="C794" s="8" t="s">
        <v>1085</v>
      </c>
      <c r="D794" s="8" t="s">
        <v>1086</v>
      </c>
      <c r="E794" s="25">
        <v>16383.37</v>
      </c>
      <c r="F794" s="25">
        <v>1489.4</v>
      </c>
      <c r="G794" s="25">
        <v>14893.97</v>
      </c>
    </row>
    <row r="795" spans="1:7" ht="12.5" x14ac:dyDescent="0.25">
      <c r="A795" s="8" t="s">
        <v>1087</v>
      </c>
      <c r="B795" s="8" t="s">
        <v>947</v>
      </c>
      <c r="C795" s="8" t="s">
        <v>70</v>
      </c>
      <c r="D795" s="8" t="s">
        <v>948</v>
      </c>
      <c r="E795" s="25">
        <v>136.41999999999999</v>
      </c>
      <c r="F795" s="25">
        <v>12.4</v>
      </c>
      <c r="G795" s="25">
        <v>124.02</v>
      </c>
    </row>
    <row r="796" spans="1:7" ht="12.5" x14ac:dyDescent="0.25">
      <c r="A796" s="8" t="s">
        <v>1087</v>
      </c>
      <c r="B796" s="8" t="s">
        <v>936</v>
      </c>
      <c r="C796" s="8" t="s">
        <v>1088</v>
      </c>
      <c r="D796" s="8" t="s">
        <v>1089</v>
      </c>
      <c r="E796" s="25">
        <v>2524.5</v>
      </c>
      <c r="F796" s="25">
        <v>229.5</v>
      </c>
      <c r="G796" s="25">
        <v>2295</v>
      </c>
    </row>
    <row r="797" spans="1:7" ht="12.5" x14ac:dyDescent="0.25">
      <c r="A797" s="8" t="s">
        <v>1090</v>
      </c>
      <c r="B797" s="8" t="s">
        <v>985</v>
      </c>
      <c r="C797" s="8" t="s">
        <v>1091</v>
      </c>
      <c r="D797" s="8" t="s">
        <v>1092</v>
      </c>
      <c r="E797" s="25">
        <v>165</v>
      </c>
      <c r="F797" s="25">
        <v>15</v>
      </c>
      <c r="G797" s="25">
        <v>150</v>
      </c>
    </row>
    <row r="798" spans="1:7" ht="12.5" x14ac:dyDescent="0.25">
      <c r="A798" s="8" t="s">
        <v>1090</v>
      </c>
      <c r="B798" s="8" t="s">
        <v>985</v>
      </c>
      <c r="C798" s="8" t="s">
        <v>1091</v>
      </c>
      <c r="D798" s="8" t="s">
        <v>1093</v>
      </c>
      <c r="E798" s="25">
        <v>605</v>
      </c>
      <c r="F798" s="25">
        <v>55</v>
      </c>
      <c r="G798" s="25">
        <v>550</v>
      </c>
    </row>
    <row r="799" spans="1:7" ht="12.5" x14ac:dyDescent="0.25">
      <c r="A799" s="8" t="s">
        <v>1090</v>
      </c>
      <c r="B799" s="8" t="s">
        <v>1018</v>
      </c>
      <c r="C799" s="8" t="s">
        <v>70</v>
      </c>
      <c r="D799" s="8" t="s">
        <v>1094</v>
      </c>
      <c r="E799" s="25">
        <v>15.95</v>
      </c>
      <c r="F799" s="25">
        <v>1.45</v>
      </c>
      <c r="G799" s="25">
        <v>14.5</v>
      </c>
    </row>
    <row r="800" spans="1:7" ht="12.5" x14ac:dyDescent="0.25">
      <c r="A800" s="8" t="s">
        <v>1095</v>
      </c>
      <c r="B800" s="8" t="s">
        <v>950</v>
      </c>
      <c r="C800" s="8" t="s">
        <v>1096</v>
      </c>
      <c r="D800" s="8" t="s">
        <v>952</v>
      </c>
      <c r="E800" s="25">
        <v>8333.33</v>
      </c>
      <c r="F800" s="25">
        <v>757.58</v>
      </c>
      <c r="G800" s="25">
        <v>7575.75</v>
      </c>
    </row>
    <row r="801" spans="1:7" ht="12.5" x14ac:dyDescent="0.25">
      <c r="A801" s="8" t="s">
        <v>1095</v>
      </c>
      <c r="B801" s="8" t="s">
        <v>956</v>
      </c>
      <c r="C801" s="8" t="s">
        <v>1025</v>
      </c>
      <c r="D801" s="8" t="s">
        <v>1004</v>
      </c>
      <c r="E801" s="25">
        <v>40</v>
      </c>
      <c r="F801" s="25">
        <v>3.64</v>
      </c>
      <c r="G801" s="25">
        <v>36.36</v>
      </c>
    </row>
    <row r="802" spans="1:7" ht="12.5" x14ac:dyDescent="0.25">
      <c r="A802" s="8" t="s">
        <v>1097</v>
      </c>
      <c r="B802" s="8" t="s">
        <v>956</v>
      </c>
      <c r="C802" s="8" t="s">
        <v>957</v>
      </c>
      <c r="D802" s="8" t="s">
        <v>1020</v>
      </c>
      <c r="E802" s="25">
        <v>39</v>
      </c>
      <c r="F802" s="25">
        <v>3.55</v>
      </c>
      <c r="G802" s="25">
        <v>35.450000000000003</v>
      </c>
    </row>
    <row r="803" spans="1:7" ht="12.5" x14ac:dyDescent="0.25">
      <c r="A803" s="8" t="s">
        <v>1097</v>
      </c>
      <c r="B803" s="8" t="s">
        <v>956</v>
      </c>
      <c r="C803" s="8" t="s">
        <v>957</v>
      </c>
      <c r="D803" s="8" t="s">
        <v>1023</v>
      </c>
      <c r="E803" s="25">
        <v>38.92</v>
      </c>
      <c r="F803" s="25">
        <v>3.54</v>
      </c>
      <c r="G803" s="25">
        <v>35.380000000000003</v>
      </c>
    </row>
    <row r="804" spans="1:7" ht="12.5" x14ac:dyDescent="0.25">
      <c r="A804" s="8" t="s">
        <v>1097</v>
      </c>
      <c r="B804" s="8" t="s">
        <v>956</v>
      </c>
      <c r="C804" s="8" t="s">
        <v>957</v>
      </c>
      <c r="D804" s="8" t="s">
        <v>960</v>
      </c>
      <c r="E804" s="25">
        <v>39.950000000000003</v>
      </c>
      <c r="F804" s="25">
        <v>3.63</v>
      </c>
      <c r="G804" s="25">
        <v>36.32</v>
      </c>
    </row>
    <row r="805" spans="1:7" ht="12.5" x14ac:dyDescent="0.25">
      <c r="A805" s="8" t="s">
        <v>1097</v>
      </c>
      <c r="B805" s="8" t="s">
        <v>956</v>
      </c>
      <c r="C805" s="8" t="s">
        <v>957</v>
      </c>
      <c r="D805" s="8" t="s">
        <v>1007</v>
      </c>
      <c r="E805" s="25">
        <v>40</v>
      </c>
      <c r="F805" s="25">
        <v>3.64</v>
      </c>
      <c r="G805" s="25">
        <v>36.36</v>
      </c>
    </row>
    <row r="806" spans="1:7" ht="12.5" x14ac:dyDescent="0.25">
      <c r="A806" s="8" t="s">
        <v>1097</v>
      </c>
      <c r="B806" s="8" t="s">
        <v>936</v>
      </c>
      <c r="C806" s="8" t="s">
        <v>1098</v>
      </c>
      <c r="D806" s="8" t="s">
        <v>970</v>
      </c>
      <c r="E806" s="25">
        <v>2431.5700000000002</v>
      </c>
      <c r="F806" s="25">
        <v>221.05</v>
      </c>
      <c r="G806" s="25">
        <v>2210.52</v>
      </c>
    </row>
    <row r="807" spans="1:7" ht="12.5" x14ac:dyDescent="0.25">
      <c r="A807" s="8" t="s">
        <v>1099</v>
      </c>
      <c r="B807" s="8" t="s">
        <v>953</v>
      </c>
      <c r="C807" s="8" t="s">
        <v>1100</v>
      </c>
      <c r="D807" s="8" t="s">
        <v>1101</v>
      </c>
      <c r="E807" s="25">
        <v>32.4</v>
      </c>
      <c r="F807" s="25">
        <v>2.95</v>
      </c>
      <c r="G807" s="25">
        <v>29.45</v>
      </c>
    </row>
    <row r="808" spans="1:7" ht="12.5" x14ac:dyDescent="0.25">
      <c r="A808" s="8" t="s">
        <v>1099</v>
      </c>
      <c r="B808" s="8" t="s">
        <v>936</v>
      </c>
      <c r="C808" s="8" t="s">
        <v>1102</v>
      </c>
      <c r="D808" s="8" t="s">
        <v>1103</v>
      </c>
      <c r="E808" s="25">
        <v>2613.6</v>
      </c>
      <c r="F808" s="25">
        <v>237.6</v>
      </c>
      <c r="G808" s="25">
        <v>2376</v>
      </c>
    </row>
    <row r="809" spans="1:7" ht="12.5" x14ac:dyDescent="0.25">
      <c r="A809" s="8" t="s">
        <v>1099</v>
      </c>
      <c r="B809" s="8" t="s">
        <v>953</v>
      </c>
      <c r="C809" s="8" t="s">
        <v>1104</v>
      </c>
      <c r="D809" s="8" t="s">
        <v>1105</v>
      </c>
      <c r="E809" s="25">
        <v>249.08</v>
      </c>
      <c r="F809" s="25">
        <v>22.64</v>
      </c>
      <c r="G809" s="25">
        <v>226.44</v>
      </c>
    </row>
    <row r="810" spans="1:7" ht="12.5" x14ac:dyDescent="0.25">
      <c r="A810" s="8" t="s">
        <v>1099</v>
      </c>
      <c r="B810" s="8" t="s">
        <v>953</v>
      </c>
      <c r="C810" s="8" t="s">
        <v>1104</v>
      </c>
      <c r="D810" s="8" t="s">
        <v>1106</v>
      </c>
      <c r="E810" s="25">
        <v>80</v>
      </c>
      <c r="F810" s="25">
        <v>7.27</v>
      </c>
      <c r="G810" s="25">
        <v>72.73</v>
      </c>
    </row>
    <row r="811" spans="1:7" ht="12.5" x14ac:dyDescent="0.25">
      <c r="A811" s="8" t="s">
        <v>1099</v>
      </c>
      <c r="B811" s="8" t="s">
        <v>953</v>
      </c>
      <c r="C811" s="8" t="s">
        <v>1104</v>
      </c>
      <c r="D811" s="8" t="s">
        <v>1107</v>
      </c>
      <c r="E811" s="25">
        <v>306.92</v>
      </c>
      <c r="F811" s="25">
        <v>27.9</v>
      </c>
      <c r="G811" s="25">
        <v>279.02</v>
      </c>
    </row>
    <row r="812" spans="1:7" ht="12.5" x14ac:dyDescent="0.25">
      <c r="A812" s="8" t="s">
        <v>1099</v>
      </c>
      <c r="B812" s="8" t="s">
        <v>947</v>
      </c>
      <c r="C812" s="8" t="s">
        <v>70</v>
      </c>
      <c r="D812" s="8" t="s">
        <v>948</v>
      </c>
      <c r="E812" s="25">
        <v>12.74</v>
      </c>
      <c r="F812" s="25">
        <v>1.1599999999999999</v>
      </c>
      <c r="G812" s="25">
        <v>11.58</v>
      </c>
    </row>
    <row r="813" spans="1:7" ht="12.5" x14ac:dyDescent="0.25">
      <c r="A813" s="8" t="s">
        <v>1099</v>
      </c>
      <c r="B813" s="8" t="s">
        <v>1074</v>
      </c>
      <c r="C813" s="8" t="s">
        <v>1108</v>
      </c>
      <c r="D813" s="8" t="s">
        <v>1109</v>
      </c>
      <c r="E813" s="25">
        <v>50.94</v>
      </c>
      <c r="F813" s="25">
        <v>4.63</v>
      </c>
      <c r="G813" s="25">
        <v>46.31</v>
      </c>
    </row>
    <row r="814" spans="1:7" ht="12.5" x14ac:dyDescent="0.25">
      <c r="A814" s="8" t="s">
        <v>1099</v>
      </c>
      <c r="B814" s="8" t="s">
        <v>1013</v>
      </c>
      <c r="C814" s="8" t="s">
        <v>1108</v>
      </c>
      <c r="D814" s="8" t="s">
        <v>1110</v>
      </c>
      <c r="E814" s="25">
        <v>622.76</v>
      </c>
      <c r="F814" s="25">
        <v>56.61</v>
      </c>
      <c r="G814" s="25">
        <v>566.15</v>
      </c>
    </row>
    <row r="815" spans="1:7" ht="12.5" x14ac:dyDescent="0.25">
      <c r="A815" s="8" t="s">
        <v>1099</v>
      </c>
      <c r="B815" s="8" t="s">
        <v>943</v>
      </c>
      <c r="C815" s="8" t="s">
        <v>1108</v>
      </c>
      <c r="D815" s="8" t="s">
        <v>1111</v>
      </c>
      <c r="E815" s="25">
        <v>185.68</v>
      </c>
      <c r="F815" s="25">
        <v>16.88</v>
      </c>
      <c r="G815" s="25">
        <v>168.8</v>
      </c>
    </row>
    <row r="816" spans="1:7" ht="12.5" x14ac:dyDescent="0.25">
      <c r="A816" s="8" t="s">
        <v>1099</v>
      </c>
      <c r="B816" s="8" t="s">
        <v>953</v>
      </c>
      <c r="C816" s="8" t="s">
        <v>1108</v>
      </c>
      <c r="D816" s="8" t="s">
        <v>1112</v>
      </c>
      <c r="E816" s="25">
        <v>143.22999999999999</v>
      </c>
      <c r="F816" s="25">
        <v>13.02</v>
      </c>
      <c r="G816" s="25">
        <v>130.21</v>
      </c>
    </row>
    <row r="817" spans="1:7" ht="12.5" x14ac:dyDescent="0.25">
      <c r="A817" s="8" t="s">
        <v>1099</v>
      </c>
      <c r="B817" s="8" t="s">
        <v>953</v>
      </c>
      <c r="C817" s="8" t="s">
        <v>1108</v>
      </c>
      <c r="D817" s="8" t="s">
        <v>1113</v>
      </c>
      <c r="E817" s="25">
        <v>329.51</v>
      </c>
      <c r="F817" s="25">
        <v>29.96</v>
      </c>
      <c r="G817" s="25">
        <v>299.55</v>
      </c>
    </row>
    <row r="818" spans="1:7" ht="12.5" x14ac:dyDescent="0.25">
      <c r="A818" s="8" t="s">
        <v>841</v>
      </c>
      <c r="B818" s="8" t="s">
        <v>956</v>
      </c>
      <c r="C818" s="8" t="s">
        <v>957</v>
      </c>
      <c r="D818" s="8" t="s">
        <v>1114</v>
      </c>
      <c r="E818" s="25">
        <v>40</v>
      </c>
      <c r="F818" s="25">
        <v>3.64</v>
      </c>
      <c r="G818" s="25">
        <v>36.36</v>
      </c>
    </row>
    <row r="819" spans="1:7" ht="12.5" x14ac:dyDescent="0.25">
      <c r="A819" s="8" t="s">
        <v>841</v>
      </c>
      <c r="B819" s="8" t="s">
        <v>956</v>
      </c>
      <c r="C819" s="8" t="s">
        <v>967</v>
      </c>
      <c r="D819" s="8" t="s">
        <v>1115</v>
      </c>
      <c r="E819" s="25">
        <v>24.3</v>
      </c>
      <c r="F819" s="25">
        <v>2.21</v>
      </c>
      <c r="G819" s="25">
        <v>22.09</v>
      </c>
    </row>
    <row r="820" spans="1:7" ht="12.5" x14ac:dyDescent="0.25">
      <c r="A820" s="8" t="s">
        <v>841</v>
      </c>
      <c r="B820" s="8" t="s">
        <v>953</v>
      </c>
      <c r="C820" s="8" t="s">
        <v>967</v>
      </c>
      <c r="D820" s="8" t="s">
        <v>1116</v>
      </c>
      <c r="E820" s="25">
        <v>68.09</v>
      </c>
      <c r="F820" s="25">
        <v>6.19</v>
      </c>
      <c r="G820" s="25">
        <v>61.9</v>
      </c>
    </row>
    <row r="821" spans="1:7" ht="12.5" x14ac:dyDescent="0.25">
      <c r="A821" s="8" t="s">
        <v>849</v>
      </c>
      <c r="B821" s="8" t="s">
        <v>975</v>
      </c>
      <c r="C821" s="8" t="s">
        <v>1117</v>
      </c>
      <c r="D821" s="8" t="s">
        <v>1118</v>
      </c>
      <c r="E821" s="25">
        <v>71.5</v>
      </c>
      <c r="F821" s="25">
        <v>6.5</v>
      </c>
      <c r="G821" s="25">
        <v>65</v>
      </c>
    </row>
    <row r="822" spans="1:7" ht="12.5" x14ac:dyDescent="0.25">
      <c r="A822" s="8" t="s">
        <v>854</v>
      </c>
      <c r="B822" s="8" t="s">
        <v>137</v>
      </c>
      <c r="C822" s="8" t="s">
        <v>1119</v>
      </c>
      <c r="D822" s="8" t="s">
        <v>1120</v>
      </c>
      <c r="E822" s="25">
        <v>-187</v>
      </c>
      <c r="F822" s="25">
        <v>-17</v>
      </c>
      <c r="G822" s="25">
        <v>-170</v>
      </c>
    </row>
    <row r="823" spans="1:7" ht="12.5" x14ac:dyDescent="0.25">
      <c r="A823" s="8" t="s">
        <v>856</v>
      </c>
      <c r="B823" s="8" t="s">
        <v>947</v>
      </c>
      <c r="C823" s="8" t="s">
        <v>70</v>
      </c>
      <c r="D823" s="8" t="s">
        <v>948</v>
      </c>
      <c r="E823" s="25">
        <v>27.12</v>
      </c>
      <c r="F823" s="25">
        <v>2.4700000000000002</v>
      </c>
      <c r="G823" s="25">
        <v>24.65</v>
      </c>
    </row>
    <row r="824" spans="1:7" ht="12.5" x14ac:dyDescent="0.25">
      <c r="A824" s="8" t="s">
        <v>1121</v>
      </c>
      <c r="B824" s="8" t="s">
        <v>950</v>
      </c>
      <c r="C824" s="8" t="s">
        <v>1122</v>
      </c>
      <c r="D824" s="8" t="s">
        <v>974</v>
      </c>
      <c r="E824" s="25">
        <v>8333.33</v>
      </c>
      <c r="F824" s="25">
        <v>757.58</v>
      </c>
      <c r="G824" s="25">
        <v>7575.75</v>
      </c>
    </row>
    <row r="825" spans="1:7" ht="12.5" x14ac:dyDescent="0.25">
      <c r="A825" s="8" t="s">
        <v>1123</v>
      </c>
      <c r="B825" s="8" t="s">
        <v>956</v>
      </c>
      <c r="C825" s="8" t="s">
        <v>957</v>
      </c>
      <c r="D825" s="8" t="s">
        <v>1020</v>
      </c>
      <c r="E825" s="25">
        <v>40</v>
      </c>
      <c r="F825" s="25">
        <v>3.64</v>
      </c>
      <c r="G825" s="25">
        <v>36.36</v>
      </c>
    </row>
    <row r="826" spans="1:7" ht="12.5" x14ac:dyDescent="0.25">
      <c r="A826" s="8" t="s">
        <v>1123</v>
      </c>
      <c r="B826" s="8" t="s">
        <v>956</v>
      </c>
      <c r="C826" s="8" t="s">
        <v>957</v>
      </c>
      <c r="D826" s="8" t="s">
        <v>1124</v>
      </c>
      <c r="E826" s="25">
        <v>40</v>
      </c>
      <c r="F826" s="25">
        <v>3.64</v>
      </c>
      <c r="G826" s="25">
        <v>36.36</v>
      </c>
    </row>
    <row r="827" spans="1:7" ht="12.5" x14ac:dyDescent="0.25">
      <c r="A827" s="8" t="s">
        <v>862</v>
      </c>
      <c r="B827" s="8" t="s">
        <v>953</v>
      </c>
      <c r="C827" s="8" t="s">
        <v>1125</v>
      </c>
      <c r="D827" s="8" t="s">
        <v>1126</v>
      </c>
      <c r="E827" s="25">
        <v>105.7</v>
      </c>
      <c r="F827" s="25">
        <v>9.61</v>
      </c>
      <c r="G827" s="25">
        <v>96.09</v>
      </c>
    </row>
    <row r="828" spans="1:7" ht="12.5" x14ac:dyDescent="0.25">
      <c r="A828" s="8" t="s">
        <v>862</v>
      </c>
      <c r="B828" s="8" t="s">
        <v>1074</v>
      </c>
      <c r="C828" s="8" t="s">
        <v>70</v>
      </c>
      <c r="D828" s="8" t="s">
        <v>1127</v>
      </c>
      <c r="E828" s="25">
        <v>310.75</v>
      </c>
      <c r="F828" s="25">
        <v>28.25</v>
      </c>
      <c r="G828" s="25">
        <v>282.5</v>
      </c>
    </row>
    <row r="829" spans="1:7" ht="12.5" x14ac:dyDescent="0.25">
      <c r="A829" s="8" t="s">
        <v>862</v>
      </c>
      <c r="B829" s="8" t="s">
        <v>956</v>
      </c>
      <c r="C829" s="8" t="s">
        <v>957</v>
      </c>
      <c r="D829" s="8" t="s">
        <v>1128</v>
      </c>
      <c r="E829" s="25">
        <v>38.950000000000003</v>
      </c>
      <c r="F829" s="25">
        <v>3.54</v>
      </c>
      <c r="G829" s="25">
        <v>35.409999999999997</v>
      </c>
    </row>
    <row r="830" spans="1:7" ht="12.5" x14ac:dyDescent="0.25">
      <c r="A830" s="8" t="s">
        <v>1129</v>
      </c>
      <c r="B830" s="8" t="s">
        <v>956</v>
      </c>
      <c r="C830" s="8" t="s">
        <v>957</v>
      </c>
      <c r="D830" s="8" t="s">
        <v>1007</v>
      </c>
      <c r="E830" s="25">
        <v>40</v>
      </c>
      <c r="F830" s="25">
        <v>3.64</v>
      </c>
      <c r="G830" s="25">
        <v>36.36</v>
      </c>
    </row>
    <row r="831" spans="1:7" ht="12.5" x14ac:dyDescent="0.25">
      <c r="A831" s="8" t="s">
        <v>1129</v>
      </c>
      <c r="B831" s="8" t="s">
        <v>956</v>
      </c>
      <c r="C831" s="8" t="s">
        <v>957</v>
      </c>
      <c r="D831" s="8" t="s">
        <v>1130</v>
      </c>
      <c r="E831" s="25">
        <v>15.9</v>
      </c>
      <c r="F831" s="25">
        <v>1.45</v>
      </c>
      <c r="G831" s="25">
        <v>14.45</v>
      </c>
    </row>
    <row r="832" spans="1:7" ht="12.5" x14ac:dyDescent="0.25">
      <c r="A832" s="8" t="s">
        <v>1129</v>
      </c>
      <c r="B832" s="8" t="s">
        <v>956</v>
      </c>
      <c r="C832" s="8" t="s">
        <v>957</v>
      </c>
      <c r="D832" s="8" t="s">
        <v>1023</v>
      </c>
      <c r="E832" s="25">
        <v>42.28</v>
      </c>
      <c r="F832" s="25">
        <v>3.84</v>
      </c>
      <c r="G832" s="25">
        <v>38.44</v>
      </c>
    </row>
    <row r="833" spans="1:7" ht="12.5" x14ac:dyDescent="0.25">
      <c r="A833" s="8" t="s">
        <v>1129</v>
      </c>
      <c r="B833" s="8" t="s">
        <v>956</v>
      </c>
      <c r="C833" s="8" t="s">
        <v>957</v>
      </c>
      <c r="D833" s="8" t="s">
        <v>1131</v>
      </c>
      <c r="E833" s="25">
        <v>36.64</v>
      </c>
      <c r="F833" s="25">
        <v>3.33</v>
      </c>
      <c r="G833" s="25">
        <v>33.31</v>
      </c>
    </row>
    <row r="834" spans="1:7" ht="12.5" x14ac:dyDescent="0.25">
      <c r="A834" s="8" t="s">
        <v>1129</v>
      </c>
      <c r="B834" s="8" t="s">
        <v>932</v>
      </c>
      <c r="C834" s="8" t="s">
        <v>1014</v>
      </c>
      <c r="D834" s="8" t="s">
        <v>1132</v>
      </c>
      <c r="E834" s="25">
        <v>19.37</v>
      </c>
      <c r="F834" s="25">
        <v>1.76</v>
      </c>
      <c r="G834" s="25">
        <v>17.61</v>
      </c>
    </row>
    <row r="835" spans="1:7" ht="12.5" x14ac:dyDescent="0.25">
      <c r="A835" s="8" t="s">
        <v>1129</v>
      </c>
      <c r="B835" s="8" t="s">
        <v>1013</v>
      </c>
      <c r="C835" s="8" t="s">
        <v>1014</v>
      </c>
      <c r="D835" s="8" t="s">
        <v>1133</v>
      </c>
      <c r="E835" s="25">
        <v>225.92</v>
      </c>
      <c r="F835" s="25">
        <v>20.54</v>
      </c>
      <c r="G835" s="25">
        <v>205.38</v>
      </c>
    </row>
    <row r="836" spans="1:7" ht="12.5" x14ac:dyDescent="0.25">
      <c r="A836" s="8" t="s">
        <v>1129</v>
      </c>
      <c r="B836" s="8" t="s">
        <v>953</v>
      </c>
      <c r="C836" s="8" t="s">
        <v>1014</v>
      </c>
      <c r="D836" s="8" t="s">
        <v>1134</v>
      </c>
      <c r="E836" s="25">
        <v>88.05</v>
      </c>
      <c r="F836" s="25">
        <v>8</v>
      </c>
      <c r="G836" s="25">
        <v>80.05</v>
      </c>
    </row>
    <row r="837" spans="1:7" ht="12.5" x14ac:dyDescent="0.25">
      <c r="A837" s="8" t="s">
        <v>1129</v>
      </c>
      <c r="B837" s="8" t="s">
        <v>1080</v>
      </c>
      <c r="C837" s="8" t="s">
        <v>1014</v>
      </c>
      <c r="D837" s="8" t="s">
        <v>1135</v>
      </c>
      <c r="E837" s="25">
        <v>1589.5</v>
      </c>
      <c r="F837" s="25">
        <v>144.5</v>
      </c>
      <c r="G837" s="25">
        <v>1445</v>
      </c>
    </row>
    <row r="838" spans="1:7" ht="12.5" x14ac:dyDescent="0.25">
      <c r="A838" s="8" t="s">
        <v>876</v>
      </c>
      <c r="B838" s="8" t="s">
        <v>985</v>
      </c>
      <c r="C838" s="8" t="s">
        <v>1136</v>
      </c>
      <c r="D838" s="8" t="s">
        <v>987</v>
      </c>
      <c r="E838" s="25">
        <v>165</v>
      </c>
      <c r="F838" s="25">
        <v>15</v>
      </c>
      <c r="G838" s="25">
        <v>150</v>
      </c>
    </row>
    <row r="839" spans="1:7" ht="12.5" x14ac:dyDescent="0.25">
      <c r="A839" s="8" t="s">
        <v>876</v>
      </c>
      <c r="B839" s="8" t="s">
        <v>985</v>
      </c>
      <c r="C839" s="8" t="s">
        <v>1136</v>
      </c>
      <c r="D839" s="8" t="s">
        <v>988</v>
      </c>
      <c r="E839" s="25">
        <v>605</v>
      </c>
      <c r="F839" s="25">
        <v>55</v>
      </c>
      <c r="G839" s="25">
        <v>550</v>
      </c>
    </row>
    <row r="840" spans="1:7" ht="12.5" x14ac:dyDescent="0.25">
      <c r="A840" s="8" t="s">
        <v>876</v>
      </c>
      <c r="B840" s="8" t="s">
        <v>956</v>
      </c>
      <c r="C840" s="8" t="s">
        <v>957</v>
      </c>
      <c r="D840" s="8" t="s">
        <v>958</v>
      </c>
      <c r="E840" s="25">
        <v>27.83</v>
      </c>
      <c r="F840" s="25">
        <v>2.5299999999999998</v>
      </c>
      <c r="G840" s="25">
        <v>25.3</v>
      </c>
    </row>
    <row r="841" spans="1:7" ht="12.5" x14ac:dyDescent="0.25">
      <c r="A841" s="8" t="s">
        <v>876</v>
      </c>
      <c r="B841" s="8" t="s">
        <v>1018</v>
      </c>
      <c r="C841" s="8" t="s">
        <v>70</v>
      </c>
      <c r="D841" s="8" t="s">
        <v>1137</v>
      </c>
      <c r="E841" s="25">
        <v>362.34</v>
      </c>
      <c r="F841" s="25">
        <v>32.94</v>
      </c>
      <c r="G841" s="25">
        <v>329.4</v>
      </c>
    </row>
    <row r="842" spans="1:7" ht="12.5" x14ac:dyDescent="0.25">
      <c r="A842" s="8" t="s">
        <v>882</v>
      </c>
      <c r="B842" s="8" t="s">
        <v>932</v>
      </c>
      <c r="C842" s="8" t="s">
        <v>1138</v>
      </c>
      <c r="D842" s="8" t="s">
        <v>1139</v>
      </c>
      <c r="E842" s="25">
        <v>1886.5</v>
      </c>
      <c r="F842" s="25">
        <v>171.5</v>
      </c>
      <c r="G842" s="25">
        <v>1715</v>
      </c>
    </row>
    <row r="843" spans="1:7" ht="12.5" x14ac:dyDescent="0.25">
      <c r="A843" s="8" t="s">
        <v>882</v>
      </c>
      <c r="B843" s="8" t="s">
        <v>1018</v>
      </c>
      <c r="C843" s="8" t="s">
        <v>70</v>
      </c>
      <c r="D843" s="8" t="s">
        <v>1137</v>
      </c>
      <c r="E843" s="25">
        <v>154.44</v>
      </c>
      <c r="F843" s="25">
        <v>14.04</v>
      </c>
      <c r="G843" s="25">
        <v>140.4</v>
      </c>
    </row>
    <row r="844" spans="1:7" ht="12.5" x14ac:dyDescent="0.25">
      <c r="A844" s="8" t="s">
        <v>882</v>
      </c>
      <c r="B844" s="8" t="s">
        <v>932</v>
      </c>
      <c r="C844" s="8" t="s">
        <v>1140</v>
      </c>
      <c r="D844" s="8" t="s">
        <v>1139</v>
      </c>
      <c r="E844" s="25">
        <v>808.5</v>
      </c>
      <c r="F844" s="25">
        <v>73.5</v>
      </c>
      <c r="G844" s="25">
        <v>735</v>
      </c>
    </row>
    <row r="845" spans="1:7" ht="12.5" x14ac:dyDescent="0.25">
      <c r="A845" s="8" t="s">
        <v>882</v>
      </c>
      <c r="B845" s="8" t="s">
        <v>1141</v>
      </c>
      <c r="C845" s="8" t="s">
        <v>1142</v>
      </c>
      <c r="D845" s="8" t="s">
        <v>1143</v>
      </c>
      <c r="E845" s="25">
        <v>5797</v>
      </c>
      <c r="F845" s="25">
        <v>527</v>
      </c>
      <c r="G845" s="25">
        <v>5270</v>
      </c>
    </row>
    <row r="846" spans="1:7" ht="12.5" x14ac:dyDescent="0.25">
      <c r="A846" s="116" t="s">
        <v>146</v>
      </c>
      <c r="B846" s="11"/>
      <c r="C846" s="11"/>
      <c r="D846" s="11"/>
      <c r="E846" s="117">
        <v>203258</v>
      </c>
      <c r="F846" s="117">
        <v>18478.099999999999</v>
      </c>
      <c r="G846" s="117">
        <v>184779.9</v>
      </c>
    </row>
    <row r="847" spans="1:7" ht="12.5" x14ac:dyDescent="0.25"/>
    <row r="848" spans="1:7" ht="12.5" x14ac:dyDescent="0.25">
      <c r="A848" s="220" t="s">
        <v>1144</v>
      </c>
    </row>
    <row r="849" spans="1:7" ht="12.5" x14ac:dyDescent="0.25">
      <c r="A849" s="8" t="s">
        <v>1145</v>
      </c>
      <c r="B849" s="8" t="s">
        <v>953</v>
      </c>
      <c r="C849" s="8" t="s">
        <v>70</v>
      </c>
      <c r="D849" s="8" t="s">
        <v>1146</v>
      </c>
      <c r="E849" s="25">
        <v>1944.9</v>
      </c>
      <c r="F849" s="25">
        <v>176.81</v>
      </c>
      <c r="G849" s="25">
        <v>1768.09</v>
      </c>
    </row>
    <row r="850" spans="1:7" ht="12.5" x14ac:dyDescent="0.25">
      <c r="A850" s="8" t="s">
        <v>1145</v>
      </c>
      <c r="B850" s="8" t="s">
        <v>929</v>
      </c>
      <c r="C850" s="8" t="s">
        <v>70</v>
      </c>
      <c r="D850" s="8" t="s">
        <v>1147</v>
      </c>
      <c r="E850" s="25">
        <v>144.06</v>
      </c>
      <c r="F850" s="25">
        <v>13.1</v>
      </c>
      <c r="G850" s="25">
        <v>130.96</v>
      </c>
    </row>
    <row r="851" spans="1:7" ht="12.5" x14ac:dyDescent="0.25">
      <c r="A851" s="8" t="s">
        <v>1145</v>
      </c>
      <c r="B851" s="8" t="s">
        <v>1013</v>
      </c>
      <c r="C851" s="8" t="s">
        <v>70</v>
      </c>
      <c r="D851" s="8" t="s">
        <v>1148</v>
      </c>
      <c r="E851" s="25">
        <v>849.12</v>
      </c>
      <c r="F851" s="25">
        <v>77.19</v>
      </c>
      <c r="G851" s="25">
        <v>771.93</v>
      </c>
    </row>
    <row r="852" spans="1:7" ht="12.5" x14ac:dyDescent="0.25">
      <c r="A852" s="8" t="s">
        <v>1145</v>
      </c>
      <c r="B852" s="8" t="s">
        <v>953</v>
      </c>
      <c r="C852" s="8" t="s">
        <v>70</v>
      </c>
      <c r="D852" s="8" t="s">
        <v>1149</v>
      </c>
      <c r="E852" s="25">
        <v>22.16</v>
      </c>
      <c r="F852" s="25">
        <v>2.0099999999999998</v>
      </c>
      <c r="G852" s="25">
        <v>20.149999999999999</v>
      </c>
    </row>
    <row r="853" spans="1:7" ht="12.5" x14ac:dyDescent="0.25">
      <c r="A853" s="8" t="s">
        <v>1145</v>
      </c>
      <c r="B853" s="8" t="s">
        <v>1018</v>
      </c>
      <c r="C853" s="8" t="s">
        <v>70</v>
      </c>
      <c r="D853" s="8" t="s">
        <v>1150</v>
      </c>
      <c r="E853" s="25">
        <v>100.32</v>
      </c>
      <c r="F853" s="25">
        <v>9.1199999999999992</v>
      </c>
      <c r="G853" s="25">
        <v>91.2</v>
      </c>
    </row>
    <row r="854" spans="1:7" ht="12.5" x14ac:dyDescent="0.25">
      <c r="A854" s="8" t="s">
        <v>1145</v>
      </c>
      <c r="B854" s="8" t="s">
        <v>1013</v>
      </c>
      <c r="C854" s="8" t="s">
        <v>70</v>
      </c>
      <c r="D854" s="8" t="s">
        <v>1151</v>
      </c>
      <c r="E854" s="25">
        <v>1837.46</v>
      </c>
      <c r="F854" s="25">
        <v>167.04</v>
      </c>
      <c r="G854" s="25">
        <v>1670.42</v>
      </c>
    </row>
    <row r="855" spans="1:7" ht="12.5" x14ac:dyDescent="0.25">
      <c r="A855" s="8" t="s">
        <v>1145</v>
      </c>
      <c r="B855" s="8" t="s">
        <v>1074</v>
      </c>
      <c r="C855" s="8" t="s">
        <v>70</v>
      </c>
      <c r="D855" s="8" t="s">
        <v>1152</v>
      </c>
      <c r="E855" s="25">
        <v>319.08999999999997</v>
      </c>
      <c r="F855" s="25">
        <v>29.01</v>
      </c>
      <c r="G855" s="25">
        <v>290.08</v>
      </c>
    </row>
    <row r="856" spans="1:7" ht="12.5" x14ac:dyDescent="0.25">
      <c r="A856" s="8" t="s">
        <v>1145</v>
      </c>
      <c r="B856" s="8" t="s">
        <v>932</v>
      </c>
      <c r="C856" s="8" t="s">
        <v>70</v>
      </c>
      <c r="D856" s="8" t="s">
        <v>1153</v>
      </c>
      <c r="E856" s="25">
        <v>352.89</v>
      </c>
      <c r="F856" s="25">
        <v>32.08</v>
      </c>
      <c r="G856" s="25">
        <v>320.81</v>
      </c>
    </row>
    <row r="857" spans="1:7" ht="12.5" x14ac:dyDescent="0.25">
      <c r="A857" s="8" t="s">
        <v>1145</v>
      </c>
      <c r="B857" s="8" t="s">
        <v>932</v>
      </c>
      <c r="C857" s="8" t="s">
        <v>70</v>
      </c>
      <c r="D857" s="8" t="s">
        <v>1154</v>
      </c>
      <c r="E857" s="25">
        <v>44.88</v>
      </c>
      <c r="F857" s="25">
        <v>4.08</v>
      </c>
      <c r="G857" s="25">
        <v>40.799999999999997</v>
      </c>
    </row>
    <row r="858" spans="1:7" ht="12.5" x14ac:dyDescent="0.25">
      <c r="A858" s="8" t="s">
        <v>1145</v>
      </c>
      <c r="B858" s="8" t="s">
        <v>956</v>
      </c>
      <c r="C858" s="8" t="s">
        <v>70</v>
      </c>
      <c r="D858" s="8" t="s">
        <v>1155</v>
      </c>
      <c r="E858" s="25">
        <v>-1944.9</v>
      </c>
      <c r="F858" s="25">
        <v>-176.81</v>
      </c>
      <c r="G858" s="25">
        <v>-1768.09</v>
      </c>
    </row>
    <row r="859" spans="1:7" ht="12.5" x14ac:dyDescent="0.25">
      <c r="A859" s="8" t="s">
        <v>1145</v>
      </c>
      <c r="B859" s="8" t="s">
        <v>929</v>
      </c>
      <c r="C859" s="8" t="s">
        <v>70</v>
      </c>
      <c r="D859" s="8" t="s">
        <v>1156</v>
      </c>
      <c r="E859" s="25">
        <v>-144.06</v>
      </c>
      <c r="F859" s="25">
        <v>-13.1</v>
      </c>
      <c r="G859" s="25">
        <v>-130.96</v>
      </c>
    </row>
    <row r="860" spans="1:7" ht="12.5" x14ac:dyDescent="0.25">
      <c r="A860" s="8" t="s">
        <v>1145</v>
      </c>
      <c r="B860" s="8" t="s">
        <v>1013</v>
      </c>
      <c r="C860" s="8" t="s">
        <v>70</v>
      </c>
      <c r="D860" s="8" t="s">
        <v>1157</v>
      </c>
      <c r="E860" s="25">
        <v>-1168.21</v>
      </c>
      <c r="F860" s="25">
        <v>-106.2</v>
      </c>
      <c r="G860" s="25">
        <v>-1062.01</v>
      </c>
    </row>
    <row r="861" spans="1:7" ht="12.5" x14ac:dyDescent="0.25">
      <c r="A861" s="8" t="s">
        <v>1145</v>
      </c>
      <c r="B861" s="8" t="s">
        <v>953</v>
      </c>
      <c r="C861" s="8" t="s">
        <v>70</v>
      </c>
      <c r="D861" s="8" t="s">
        <v>1158</v>
      </c>
      <c r="E861" s="25">
        <v>-22.16</v>
      </c>
      <c r="F861" s="25">
        <v>-2.0099999999999998</v>
      </c>
      <c r="G861" s="25">
        <v>-20.149999999999999</v>
      </c>
    </row>
    <row r="862" spans="1:7" ht="12.5" x14ac:dyDescent="0.25">
      <c r="A862" s="8" t="s">
        <v>1145</v>
      </c>
      <c r="B862" s="8" t="s">
        <v>1018</v>
      </c>
      <c r="C862" s="8" t="s">
        <v>70</v>
      </c>
      <c r="D862" s="8" t="s">
        <v>1159</v>
      </c>
      <c r="E862" s="25">
        <v>-100.32</v>
      </c>
      <c r="F862" s="25">
        <v>-9.1199999999999992</v>
      </c>
      <c r="G862" s="25">
        <v>-91.2</v>
      </c>
    </row>
    <row r="863" spans="1:7" ht="12.5" x14ac:dyDescent="0.25">
      <c r="A863" s="8" t="s">
        <v>1145</v>
      </c>
      <c r="B863" s="8" t="s">
        <v>1013</v>
      </c>
      <c r="C863" s="8" t="s">
        <v>70</v>
      </c>
      <c r="D863" s="8" t="s">
        <v>1160</v>
      </c>
      <c r="E863" s="25">
        <v>-2235.23</v>
      </c>
      <c r="F863" s="25">
        <v>-203.2</v>
      </c>
      <c r="G863" s="25">
        <v>-2032.03</v>
      </c>
    </row>
    <row r="864" spans="1:7" ht="12.5" x14ac:dyDescent="0.25">
      <c r="A864" s="116" t="s">
        <v>1161</v>
      </c>
      <c r="B864" s="11"/>
      <c r="C864" s="11"/>
      <c r="D864" s="11"/>
      <c r="E864" s="117">
        <v>0</v>
      </c>
      <c r="F864" s="117">
        <v>0</v>
      </c>
      <c r="G864" s="117">
        <v>0</v>
      </c>
    </row>
    <row r="865" spans="1:7" ht="12.5" x14ac:dyDescent="0.25"/>
    <row r="866" spans="1:7" ht="12.5" x14ac:dyDescent="0.25">
      <c r="A866" s="220" t="s">
        <v>1162</v>
      </c>
    </row>
    <row r="867" spans="1:7" ht="12.5" x14ac:dyDescent="0.25">
      <c r="A867" s="8" t="s">
        <v>1163</v>
      </c>
      <c r="B867" s="8" t="s">
        <v>1164</v>
      </c>
      <c r="C867" s="8" t="s">
        <v>70</v>
      </c>
      <c r="D867" s="8" t="s">
        <v>1165</v>
      </c>
      <c r="E867" s="25">
        <v>64</v>
      </c>
      <c r="F867" s="25">
        <v>0</v>
      </c>
      <c r="G867" s="25">
        <v>64</v>
      </c>
    </row>
    <row r="868" spans="1:7" ht="12.5" x14ac:dyDescent="0.25">
      <c r="A868" s="8" t="s">
        <v>922</v>
      </c>
      <c r="B868" s="8" t="s">
        <v>1164</v>
      </c>
      <c r="C868" s="8" t="s">
        <v>70</v>
      </c>
      <c r="D868" s="8" t="s">
        <v>1166</v>
      </c>
      <c r="E868" s="25">
        <v>10</v>
      </c>
      <c r="F868" s="25">
        <v>0</v>
      </c>
      <c r="G868" s="25">
        <v>10</v>
      </c>
    </row>
    <row r="869" spans="1:7" ht="12.5" x14ac:dyDescent="0.25">
      <c r="A869" s="8" t="s">
        <v>552</v>
      </c>
      <c r="B869" s="8" t="s">
        <v>1164</v>
      </c>
      <c r="C869" s="8" t="s">
        <v>70</v>
      </c>
      <c r="D869" s="8" t="s">
        <v>1167</v>
      </c>
      <c r="E869" s="25">
        <v>39</v>
      </c>
      <c r="F869" s="25">
        <v>0</v>
      </c>
      <c r="G869" s="25">
        <v>39</v>
      </c>
    </row>
    <row r="870" spans="1:7" ht="12.5" x14ac:dyDescent="0.25">
      <c r="A870" s="8" t="s">
        <v>574</v>
      </c>
      <c r="B870" s="8" t="s">
        <v>1168</v>
      </c>
      <c r="C870" s="8" t="s">
        <v>1169</v>
      </c>
      <c r="D870" s="8" t="s">
        <v>1170</v>
      </c>
      <c r="E870" s="25">
        <v>83</v>
      </c>
      <c r="F870" s="25">
        <v>0</v>
      </c>
      <c r="G870" s="25">
        <v>83</v>
      </c>
    </row>
    <row r="871" spans="1:7" ht="12.5" x14ac:dyDescent="0.25">
      <c r="A871" s="8" t="s">
        <v>1012</v>
      </c>
      <c r="B871" s="8" t="s">
        <v>1164</v>
      </c>
      <c r="C871" s="8" t="s">
        <v>1014</v>
      </c>
      <c r="D871" s="8" t="s">
        <v>1171</v>
      </c>
      <c r="E871" s="25">
        <v>64.7</v>
      </c>
      <c r="F871" s="25">
        <v>0</v>
      </c>
      <c r="G871" s="25">
        <v>64.7</v>
      </c>
    </row>
    <row r="872" spans="1:7" ht="12.5" x14ac:dyDescent="0.25">
      <c r="A872" s="8" t="s">
        <v>664</v>
      </c>
      <c r="B872" s="8" t="s">
        <v>1164</v>
      </c>
      <c r="C872" s="8" t="s">
        <v>70</v>
      </c>
      <c r="D872" s="8" t="s">
        <v>1172</v>
      </c>
      <c r="E872" s="25">
        <v>115</v>
      </c>
      <c r="F872" s="25">
        <v>0</v>
      </c>
      <c r="G872" s="25">
        <v>115</v>
      </c>
    </row>
    <row r="873" spans="1:7" ht="12.5" x14ac:dyDescent="0.25">
      <c r="A873" s="8" t="s">
        <v>664</v>
      </c>
      <c r="B873" s="8" t="s">
        <v>1164</v>
      </c>
      <c r="C873" s="8" t="s">
        <v>70</v>
      </c>
      <c r="D873" s="8" t="s">
        <v>1165</v>
      </c>
      <c r="E873" s="25">
        <v>49.75</v>
      </c>
      <c r="F873" s="25">
        <v>0</v>
      </c>
      <c r="G873" s="25">
        <v>49.75</v>
      </c>
    </row>
    <row r="874" spans="1:7" ht="12.5" x14ac:dyDescent="0.25">
      <c r="A874" s="8" t="s">
        <v>695</v>
      </c>
      <c r="B874" s="8" t="s">
        <v>1164</v>
      </c>
      <c r="C874" s="8" t="s">
        <v>70</v>
      </c>
      <c r="D874" s="8" t="s">
        <v>1173</v>
      </c>
      <c r="E874" s="25">
        <v>10</v>
      </c>
      <c r="F874" s="25">
        <v>0</v>
      </c>
      <c r="G874" s="25">
        <v>10</v>
      </c>
    </row>
    <row r="875" spans="1:7" ht="12.5" x14ac:dyDescent="0.25">
      <c r="A875" s="8" t="s">
        <v>826</v>
      </c>
      <c r="B875" s="8" t="s">
        <v>1164</v>
      </c>
      <c r="C875" s="8" t="s">
        <v>1014</v>
      </c>
      <c r="D875" s="8" t="s">
        <v>1171</v>
      </c>
      <c r="E875" s="25">
        <v>28.81</v>
      </c>
      <c r="F875" s="25">
        <v>0</v>
      </c>
      <c r="G875" s="25">
        <v>28.81</v>
      </c>
    </row>
    <row r="876" spans="1:7" ht="12.5" x14ac:dyDescent="0.25">
      <c r="A876" s="8" t="s">
        <v>1097</v>
      </c>
      <c r="B876" s="8" t="s">
        <v>956</v>
      </c>
      <c r="C876" s="8" t="s">
        <v>957</v>
      </c>
      <c r="D876" s="8" t="s">
        <v>1131</v>
      </c>
      <c r="E876" s="25">
        <v>39.75</v>
      </c>
      <c r="F876" s="25">
        <v>0</v>
      </c>
      <c r="G876" s="25">
        <v>39.75</v>
      </c>
    </row>
    <row r="877" spans="1:7" ht="12.5" x14ac:dyDescent="0.25">
      <c r="A877" s="8" t="s">
        <v>1099</v>
      </c>
      <c r="B877" s="8" t="s">
        <v>1164</v>
      </c>
      <c r="C877" s="8" t="s">
        <v>1108</v>
      </c>
      <c r="D877" s="8" t="s">
        <v>1174</v>
      </c>
      <c r="E877" s="25">
        <v>1.53</v>
      </c>
      <c r="F877" s="25">
        <v>0</v>
      </c>
      <c r="G877" s="25">
        <v>1.53</v>
      </c>
    </row>
    <row r="878" spans="1:7" ht="12.5" x14ac:dyDescent="0.25">
      <c r="A878" s="8" t="s">
        <v>1129</v>
      </c>
      <c r="B878" s="8" t="s">
        <v>1164</v>
      </c>
      <c r="C878" s="8" t="s">
        <v>70</v>
      </c>
      <c r="D878" s="8" t="s">
        <v>1165</v>
      </c>
      <c r="E878" s="25">
        <v>9.32</v>
      </c>
      <c r="F878" s="25">
        <v>0</v>
      </c>
      <c r="G878" s="25">
        <v>9.32</v>
      </c>
    </row>
    <row r="879" spans="1:7" ht="12.5" x14ac:dyDescent="0.25">
      <c r="A879" s="8" t="s">
        <v>1129</v>
      </c>
      <c r="B879" s="8" t="s">
        <v>1164</v>
      </c>
      <c r="C879" s="8" t="s">
        <v>1014</v>
      </c>
      <c r="D879" s="8" t="s">
        <v>1175</v>
      </c>
      <c r="E879" s="25">
        <v>1.48</v>
      </c>
      <c r="F879" s="25">
        <v>0</v>
      </c>
      <c r="G879" s="25">
        <v>1.48</v>
      </c>
    </row>
    <row r="880" spans="1:7" ht="12.5" x14ac:dyDescent="0.25">
      <c r="A880" s="8" t="s">
        <v>1129</v>
      </c>
      <c r="B880" s="8" t="s">
        <v>1176</v>
      </c>
      <c r="C880" s="8" t="s">
        <v>1014</v>
      </c>
      <c r="D880" s="8" t="s">
        <v>1177</v>
      </c>
      <c r="E880" s="25">
        <v>104.4</v>
      </c>
      <c r="F880" s="25">
        <v>0</v>
      </c>
      <c r="G880" s="25">
        <v>104.4</v>
      </c>
    </row>
    <row r="881" spans="1:7" ht="12.5" x14ac:dyDescent="0.25">
      <c r="A881" s="8" t="s">
        <v>882</v>
      </c>
      <c r="B881" s="8" t="s">
        <v>1164</v>
      </c>
      <c r="C881" s="8" t="s">
        <v>70</v>
      </c>
      <c r="D881" s="8" t="s">
        <v>1173</v>
      </c>
      <c r="E881" s="25">
        <v>50.5</v>
      </c>
      <c r="F881" s="25">
        <v>0</v>
      </c>
      <c r="G881" s="25">
        <v>50.5</v>
      </c>
    </row>
    <row r="882" spans="1:7" ht="12.5" x14ac:dyDescent="0.25">
      <c r="A882" s="8" t="s">
        <v>882</v>
      </c>
      <c r="B882" s="8" t="s">
        <v>1178</v>
      </c>
      <c r="C882" s="8" t="s">
        <v>1179</v>
      </c>
      <c r="D882" s="8" t="s">
        <v>1180</v>
      </c>
      <c r="E882" s="25">
        <v>258.89999999999998</v>
      </c>
      <c r="F882" s="25">
        <v>0</v>
      </c>
      <c r="G882" s="25">
        <v>258.89999999999998</v>
      </c>
    </row>
    <row r="883" spans="1:7" ht="12.5" x14ac:dyDescent="0.25">
      <c r="A883" s="8" t="s">
        <v>882</v>
      </c>
      <c r="B883" s="8" t="s">
        <v>1178</v>
      </c>
      <c r="C883" s="8" t="s">
        <v>1181</v>
      </c>
      <c r="D883" s="8" t="s">
        <v>1180</v>
      </c>
      <c r="E883" s="25">
        <v>1848.35</v>
      </c>
      <c r="F883" s="25">
        <v>0</v>
      </c>
      <c r="G883" s="25">
        <v>1848.35</v>
      </c>
    </row>
    <row r="884" spans="1:7" ht="12.5" x14ac:dyDescent="0.25">
      <c r="A884" s="8" t="s">
        <v>882</v>
      </c>
      <c r="B884" s="8" t="s">
        <v>1164</v>
      </c>
      <c r="C884" s="8" t="s">
        <v>1182</v>
      </c>
      <c r="D884" s="8" t="s">
        <v>1183</v>
      </c>
      <c r="E884" s="25">
        <v>-0.96</v>
      </c>
      <c r="F884" s="25">
        <v>0</v>
      </c>
      <c r="G884" s="25">
        <v>-0.96</v>
      </c>
    </row>
    <row r="885" spans="1:7" ht="12.5" x14ac:dyDescent="0.25">
      <c r="A885" s="8" t="s">
        <v>882</v>
      </c>
      <c r="B885" s="8" t="s">
        <v>1164</v>
      </c>
      <c r="C885" s="8" t="s">
        <v>70</v>
      </c>
      <c r="D885" s="8" t="s">
        <v>1173</v>
      </c>
      <c r="E885" s="25">
        <v>10</v>
      </c>
      <c r="F885" s="25">
        <v>0</v>
      </c>
      <c r="G885" s="25">
        <v>10</v>
      </c>
    </row>
    <row r="886" spans="1:7" ht="12.5" x14ac:dyDescent="0.25">
      <c r="A886" s="116" t="s">
        <v>1184</v>
      </c>
      <c r="B886" s="11"/>
      <c r="C886" s="11"/>
      <c r="D886" s="11"/>
      <c r="E886" s="117">
        <v>2787.53</v>
      </c>
      <c r="F886" s="117">
        <v>0</v>
      </c>
      <c r="G886" s="117">
        <v>2787.53</v>
      </c>
    </row>
    <row r="887" spans="1:7" ht="12.5" x14ac:dyDescent="0.25"/>
    <row r="888" spans="1:7" ht="12.5" x14ac:dyDescent="0.25">
      <c r="A888" s="220" t="s">
        <v>1185</v>
      </c>
    </row>
    <row r="889" spans="1:7" ht="12.5" x14ac:dyDescent="0.25">
      <c r="A889" s="8" t="s">
        <v>1145</v>
      </c>
      <c r="B889" s="8" t="s">
        <v>1074</v>
      </c>
      <c r="C889" s="8" t="s">
        <v>70</v>
      </c>
      <c r="D889" s="8" t="s">
        <v>1186</v>
      </c>
      <c r="E889" s="25">
        <v>4195.66</v>
      </c>
      <c r="F889" s="25">
        <v>0</v>
      </c>
      <c r="G889" s="25">
        <v>4195.66</v>
      </c>
    </row>
    <row r="890" spans="1:7" ht="12.5" x14ac:dyDescent="0.25">
      <c r="A890" s="8" t="s">
        <v>1145</v>
      </c>
      <c r="B890" s="8" t="s">
        <v>1164</v>
      </c>
      <c r="C890" s="8" t="s">
        <v>70</v>
      </c>
      <c r="D890" s="8" t="s">
        <v>1187</v>
      </c>
      <c r="E890" s="25">
        <v>189.46</v>
      </c>
      <c r="F890" s="25">
        <v>0</v>
      </c>
      <c r="G890" s="25">
        <v>189.46</v>
      </c>
    </row>
    <row r="891" spans="1:7" ht="12.5" x14ac:dyDescent="0.25">
      <c r="A891" s="8" t="s">
        <v>1145</v>
      </c>
      <c r="B891" s="8" t="s">
        <v>1074</v>
      </c>
      <c r="C891" s="8" t="s">
        <v>70</v>
      </c>
      <c r="D891" s="8" t="s">
        <v>1188</v>
      </c>
      <c r="E891" s="25">
        <v>-4195.66</v>
      </c>
      <c r="F891" s="25">
        <v>0</v>
      </c>
      <c r="G891" s="25">
        <v>-4195.66</v>
      </c>
    </row>
    <row r="892" spans="1:7" ht="12.5" x14ac:dyDescent="0.25">
      <c r="A892" s="8" t="s">
        <v>1145</v>
      </c>
      <c r="B892" s="8" t="s">
        <v>1164</v>
      </c>
      <c r="C892" s="8" t="s">
        <v>70</v>
      </c>
      <c r="D892" s="8" t="s">
        <v>1189</v>
      </c>
      <c r="E892" s="25">
        <v>-189.46</v>
      </c>
      <c r="F892" s="25">
        <v>0</v>
      </c>
      <c r="G892" s="25">
        <v>-189.46</v>
      </c>
    </row>
    <row r="893" spans="1:7" ht="12.5" x14ac:dyDescent="0.25">
      <c r="A893" s="116" t="s">
        <v>1190</v>
      </c>
      <c r="B893" s="11"/>
      <c r="C893" s="11"/>
      <c r="D893" s="11"/>
      <c r="E893" s="117">
        <v>0</v>
      </c>
      <c r="F893" s="117">
        <v>0</v>
      </c>
      <c r="G893" s="117">
        <v>0</v>
      </c>
    </row>
    <row r="894" spans="1:7" ht="12.5" x14ac:dyDescent="0.25"/>
    <row r="895" spans="1:7" ht="12.5" x14ac:dyDescent="0.25">
      <c r="A895" s="220" t="s">
        <v>1191</v>
      </c>
    </row>
    <row r="896" spans="1:7" ht="12.5" x14ac:dyDescent="0.25">
      <c r="A896" s="8" t="s">
        <v>127</v>
      </c>
      <c r="B896" s="8" t="s">
        <v>1192</v>
      </c>
      <c r="C896" s="8" t="s">
        <v>1193</v>
      </c>
      <c r="D896" s="8" t="s">
        <v>1194</v>
      </c>
      <c r="E896" s="25">
        <v>10000</v>
      </c>
      <c r="F896" s="25">
        <v>0</v>
      </c>
      <c r="G896" s="25">
        <v>10000</v>
      </c>
    </row>
    <row r="897" spans="1:7" ht="12.5" x14ac:dyDescent="0.25">
      <c r="A897" s="8" t="s">
        <v>127</v>
      </c>
      <c r="B897" s="8" t="s">
        <v>1195</v>
      </c>
      <c r="C897" s="8" t="s">
        <v>1193</v>
      </c>
      <c r="D897" s="8" t="s">
        <v>1194</v>
      </c>
      <c r="E897" s="25">
        <v>-10000</v>
      </c>
      <c r="F897" s="25">
        <v>0</v>
      </c>
      <c r="G897" s="25">
        <v>-10000</v>
      </c>
    </row>
    <row r="898" spans="1:7" ht="12.5" x14ac:dyDescent="0.25">
      <c r="A898" s="8" t="s">
        <v>127</v>
      </c>
      <c r="B898" s="8" t="s">
        <v>939</v>
      </c>
      <c r="C898" s="8" t="s">
        <v>1196</v>
      </c>
      <c r="D898" s="8" t="s">
        <v>1197</v>
      </c>
      <c r="E898" s="25">
        <v>-19229</v>
      </c>
      <c r="F898" s="25">
        <v>0</v>
      </c>
      <c r="G898" s="25">
        <v>-19229</v>
      </c>
    </row>
    <row r="899" spans="1:7" ht="12.5" x14ac:dyDescent="0.25">
      <c r="A899" s="8" t="s">
        <v>127</v>
      </c>
      <c r="B899" s="8" t="s">
        <v>950</v>
      </c>
      <c r="C899" s="8" t="s">
        <v>1196</v>
      </c>
      <c r="D899" s="8" t="s">
        <v>1198</v>
      </c>
      <c r="E899" s="25">
        <v>7575.75</v>
      </c>
      <c r="F899" s="25">
        <v>0</v>
      </c>
      <c r="G899" s="25">
        <v>7575.75</v>
      </c>
    </row>
    <row r="900" spans="1:7" ht="12.5" x14ac:dyDescent="0.25">
      <c r="A900" s="8" t="s">
        <v>127</v>
      </c>
      <c r="B900" s="8" t="s">
        <v>950</v>
      </c>
      <c r="C900" s="8" t="s">
        <v>1196</v>
      </c>
      <c r="D900" s="8" t="s">
        <v>1199</v>
      </c>
      <c r="E900" s="25">
        <v>-10</v>
      </c>
      <c r="F900" s="25">
        <v>0</v>
      </c>
      <c r="G900" s="25">
        <v>-10</v>
      </c>
    </row>
    <row r="901" spans="1:7" ht="12.5" x14ac:dyDescent="0.25">
      <c r="A901" s="8" t="s">
        <v>127</v>
      </c>
      <c r="B901" s="8" t="s">
        <v>1074</v>
      </c>
      <c r="C901" s="8" t="s">
        <v>1196</v>
      </c>
      <c r="D901" s="8" t="s">
        <v>1200</v>
      </c>
      <c r="E901" s="25">
        <v>-17000</v>
      </c>
      <c r="F901" s="25">
        <v>0</v>
      </c>
      <c r="G901" s="25">
        <v>-17000</v>
      </c>
    </row>
    <row r="902" spans="1:7" ht="12.5" x14ac:dyDescent="0.25">
      <c r="A902" s="8" t="s">
        <v>127</v>
      </c>
      <c r="B902" s="8" t="s">
        <v>1074</v>
      </c>
      <c r="C902" s="8" t="s">
        <v>1196</v>
      </c>
      <c r="D902" s="8" t="s">
        <v>1201</v>
      </c>
      <c r="E902" s="25">
        <v>-10</v>
      </c>
      <c r="F902" s="25">
        <v>0</v>
      </c>
      <c r="G902" s="25">
        <v>-10</v>
      </c>
    </row>
    <row r="903" spans="1:7" ht="12.5" x14ac:dyDescent="0.25">
      <c r="A903" s="8" t="s">
        <v>127</v>
      </c>
      <c r="B903" s="8" t="s">
        <v>932</v>
      </c>
      <c r="C903" s="8" t="s">
        <v>1196</v>
      </c>
      <c r="D903" s="8" t="s">
        <v>1202</v>
      </c>
      <c r="E903" s="25">
        <v>-10000</v>
      </c>
      <c r="F903" s="25">
        <v>0</v>
      </c>
      <c r="G903" s="25">
        <v>-10000</v>
      </c>
    </row>
    <row r="904" spans="1:7" ht="12.5" x14ac:dyDescent="0.25">
      <c r="A904" s="8" t="s">
        <v>127</v>
      </c>
      <c r="B904" s="8" t="s">
        <v>936</v>
      </c>
      <c r="C904" s="8" t="s">
        <v>1196</v>
      </c>
      <c r="D904" s="8" t="s">
        <v>1203</v>
      </c>
      <c r="E904" s="25">
        <v>-2000</v>
      </c>
      <c r="F904" s="25">
        <v>0</v>
      </c>
      <c r="G904" s="25">
        <v>-2000</v>
      </c>
    </row>
    <row r="905" spans="1:7" ht="12.5" x14ac:dyDescent="0.25">
      <c r="A905" s="8" t="s">
        <v>127</v>
      </c>
      <c r="B905" s="8" t="s">
        <v>1204</v>
      </c>
      <c r="C905" s="8" t="s">
        <v>1196</v>
      </c>
      <c r="D905" s="8" t="s">
        <v>1205</v>
      </c>
      <c r="E905" s="25">
        <v>-5500</v>
      </c>
      <c r="F905" s="25">
        <v>0</v>
      </c>
      <c r="G905" s="25">
        <v>-5500</v>
      </c>
    </row>
    <row r="906" spans="1:7" ht="12.5" x14ac:dyDescent="0.25">
      <c r="A906" s="8" t="s">
        <v>127</v>
      </c>
      <c r="B906" s="8" t="s">
        <v>953</v>
      </c>
      <c r="C906" s="8" t="s">
        <v>1196</v>
      </c>
      <c r="D906" s="8" t="s">
        <v>1206</v>
      </c>
      <c r="E906" s="25">
        <v>-1000</v>
      </c>
      <c r="F906" s="25">
        <v>0</v>
      </c>
      <c r="G906" s="25">
        <v>-1000</v>
      </c>
    </row>
    <row r="907" spans="1:7" ht="12.5" x14ac:dyDescent="0.25">
      <c r="A907" s="8" t="s">
        <v>127</v>
      </c>
      <c r="B907" s="8" t="s">
        <v>1207</v>
      </c>
      <c r="C907" s="8" t="s">
        <v>1196</v>
      </c>
      <c r="D907" s="8" t="s">
        <v>1208</v>
      </c>
      <c r="E907" s="25">
        <v>-10000</v>
      </c>
      <c r="F907" s="25">
        <v>0</v>
      </c>
      <c r="G907" s="25">
        <v>-10000</v>
      </c>
    </row>
    <row r="908" spans="1:7" ht="12.5" x14ac:dyDescent="0.25">
      <c r="A908" s="8" t="s">
        <v>127</v>
      </c>
      <c r="B908" s="8" t="s">
        <v>1209</v>
      </c>
      <c r="C908" s="8" t="s">
        <v>1196</v>
      </c>
      <c r="D908" s="8" t="s">
        <v>1210</v>
      </c>
      <c r="E908" s="25">
        <v>-15000</v>
      </c>
      <c r="F908" s="25">
        <v>0</v>
      </c>
      <c r="G908" s="25">
        <v>-15000</v>
      </c>
    </row>
    <row r="909" spans="1:7" ht="12.5" x14ac:dyDescent="0.25">
      <c r="A909" s="8" t="s">
        <v>127</v>
      </c>
      <c r="B909" s="8" t="s">
        <v>985</v>
      </c>
      <c r="C909" s="8" t="s">
        <v>1196</v>
      </c>
      <c r="D909" s="8" t="s">
        <v>1211</v>
      </c>
      <c r="E909" s="25">
        <v>-2000</v>
      </c>
      <c r="F909" s="25">
        <v>0</v>
      </c>
      <c r="G909" s="25">
        <v>-2000</v>
      </c>
    </row>
    <row r="910" spans="1:7" ht="12.5" x14ac:dyDescent="0.25">
      <c r="A910" s="8" t="s">
        <v>127</v>
      </c>
      <c r="B910" s="8" t="s">
        <v>1141</v>
      </c>
      <c r="C910" s="8" t="s">
        <v>1196</v>
      </c>
      <c r="D910" s="8" t="s">
        <v>1212</v>
      </c>
      <c r="E910" s="25">
        <v>-1000</v>
      </c>
      <c r="F910" s="25">
        <v>0</v>
      </c>
      <c r="G910" s="25">
        <v>-1000</v>
      </c>
    </row>
    <row r="911" spans="1:7" ht="12.5" x14ac:dyDescent="0.25">
      <c r="A911" s="8" t="s">
        <v>127</v>
      </c>
      <c r="B911" s="8" t="s">
        <v>1213</v>
      </c>
      <c r="C911" s="8" t="s">
        <v>1196</v>
      </c>
      <c r="D911" s="8" t="s">
        <v>1214</v>
      </c>
      <c r="E911" s="25">
        <v>-1248</v>
      </c>
      <c r="F911" s="25">
        <v>0</v>
      </c>
      <c r="G911" s="25">
        <v>-1248</v>
      </c>
    </row>
    <row r="912" spans="1:7" ht="12.5" x14ac:dyDescent="0.25">
      <c r="A912" s="8" t="s">
        <v>127</v>
      </c>
      <c r="B912" s="8" t="s">
        <v>1013</v>
      </c>
      <c r="C912" s="8" t="s">
        <v>1196</v>
      </c>
      <c r="D912" s="8" t="s">
        <v>1215</v>
      </c>
      <c r="E912" s="25">
        <v>-5</v>
      </c>
      <c r="F912" s="25">
        <v>0</v>
      </c>
      <c r="G912" s="25">
        <v>-5</v>
      </c>
    </row>
    <row r="913" spans="1:7" ht="12.5" x14ac:dyDescent="0.25">
      <c r="A913" s="8" t="s">
        <v>127</v>
      </c>
      <c r="B913" s="8" t="s">
        <v>1013</v>
      </c>
      <c r="C913" s="8" t="s">
        <v>1196</v>
      </c>
      <c r="D913" s="8" t="s">
        <v>1216</v>
      </c>
      <c r="E913" s="25">
        <v>2864</v>
      </c>
      <c r="F913" s="25">
        <v>0</v>
      </c>
      <c r="G913" s="25">
        <v>2864</v>
      </c>
    </row>
    <row r="914" spans="1:7" ht="12.5" x14ac:dyDescent="0.25">
      <c r="A914" s="8" t="s">
        <v>127</v>
      </c>
      <c r="B914" s="8" t="s">
        <v>1195</v>
      </c>
      <c r="C914" s="8" t="s">
        <v>1196</v>
      </c>
      <c r="D914" s="8" t="s">
        <v>1217</v>
      </c>
      <c r="E914" s="25">
        <v>74462.25</v>
      </c>
      <c r="F914" s="25">
        <v>0</v>
      </c>
      <c r="G914" s="25">
        <v>74462.25</v>
      </c>
    </row>
    <row r="915" spans="1:7" ht="12.5" x14ac:dyDescent="0.25">
      <c r="A915" s="8" t="s">
        <v>127</v>
      </c>
      <c r="B915" s="8" t="s">
        <v>1043</v>
      </c>
      <c r="C915" s="8" t="s">
        <v>1196</v>
      </c>
      <c r="D915" s="8" t="s">
        <v>1218</v>
      </c>
      <c r="E915" s="25">
        <v>-900</v>
      </c>
      <c r="F915" s="25">
        <v>0</v>
      </c>
      <c r="G915" s="25">
        <v>-900</v>
      </c>
    </row>
    <row r="916" spans="1:7" ht="12.5" x14ac:dyDescent="0.25">
      <c r="A916" s="8" t="s">
        <v>127</v>
      </c>
      <c r="B916" s="8" t="s">
        <v>1192</v>
      </c>
      <c r="C916" s="8" t="s">
        <v>1219</v>
      </c>
      <c r="D916" s="8" t="s">
        <v>1220</v>
      </c>
      <c r="E916" s="25">
        <v>-106879</v>
      </c>
      <c r="F916" s="25">
        <v>0</v>
      </c>
      <c r="G916" s="25">
        <v>-106879</v>
      </c>
    </row>
    <row r="917" spans="1:7" ht="12.5" x14ac:dyDescent="0.25">
      <c r="A917" s="8" t="s">
        <v>127</v>
      </c>
      <c r="B917" s="8" t="s">
        <v>1221</v>
      </c>
      <c r="C917" s="8" t="s">
        <v>1219</v>
      </c>
      <c r="D917" s="8" t="s">
        <v>1220</v>
      </c>
      <c r="E917" s="25">
        <v>106879</v>
      </c>
      <c r="F917" s="25">
        <v>0</v>
      </c>
      <c r="G917" s="25">
        <v>106879</v>
      </c>
    </row>
    <row r="918" spans="1:7" ht="12.5" x14ac:dyDescent="0.25">
      <c r="A918" s="8" t="s">
        <v>942</v>
      </c>
      <c r="B918" s="8" t="s">
        <v>1222</v>
      </c>
      <c r="C918" s="8" t="s">
        <v>1223</v>
      </c>
      <c r="D918" s="8" t="s">
        <v>1224</v>
      </c>
      <c r="E918" s="25">
        <v>-412.5</v>
      </c>
      <c r="F918" s="25">
        <v>0</v>
      </c>
      <c r="G918" s="25">
        <v>-412.5</v>
      </c>
    </row>
    <row r="919" spans="1:7" ht="12.5" x14ac:dyDescent="0.25">
      <c r="A919" s="8" t="s">
        <v>344</v>
      </c>
      <c r="B919" s="8" t="s">
        <v>1225</v>
      </c>
      <c r="C919" s="8" t="s">
        <v>70</v>
      </c>
      <c r="D919" s="8" t="s">
        <v>1226</v>
      </c>
      <c r="E919" s="25">
        <v>28659.15</v>
      </c>
      <c r="F919" s="25">
        <v>0</v>
      </c>
      <c r="G919" s="25">
        <v>28659.15</v>
      </c>
    </row>
    <row r="920" spans="1:7" ht="12.5" x14ac:dyDescent="0.25">
      <c r="A920" s="8" t="s">
        <v>344</v>
      </c>
      <c r="B920" s="8" t="s">
        <v>1227</v>
      </c>
      <c r="C920" s="8" t="s">
        <v>1228</v>
      </c>
      <c r="D920" s="8" t="s">
        <v>1229</v>
      </c>
      <c r="E920" s="25">
        <v>10</v>
      </c>
      <c r="F920" s="25">
        <v>0</v>
      </c>
      <c r="G920" s="25">
        <v>10</v>
      </c>
    </row>
    <row r="921" spans="1:7" ht="12.5" x14ac:dyDescent="0.25">
      <c r="A921" s="8" t="s">
        <v>362</v>
      </c>
      <c r="B921" s="8" t="s">
        <v>1207</v>
      </c>
      <c r="C921" s="8" t="s">
        <v>1230</v>
      </c>
      <c r="D921" s="8" t="s">
        <v>1231</v>
      </c>
      <c r="E921" s="25">
        <v>6730.78</v>
      </c>
      <c r="F921" s="25">
        <v>0</v>
      </c>
      <c r="G921" s="25">
        <v>6730.78</v>
      </c>
    </row>
    <row r="922" spans="1:7" ht="12.5" x14ac:dyDescent="0.25">
      <c r="A922" s="8" t="s">
        <v>362</v>
      </c>
      <c r="B922" s="8" t="s">
        <v>1207</v>
      </c>
      <c r="C922" s="8" t="s">
        <v>1230</v>
      </c>
      <c r="D922" s="8" t="s">
        <v>1231</v>
      </c>
      <c r="E922" s="25">
        <v>7692.31</v>
      </c>
      <c r="F922" s="25">
        <v>0</v>
      </c>
      <c r="G922" s="25">
        <v>7692.31</v>
      </c>
    </row>
    <row r="923" spans="1:7" ht="12.5" x14ac:dyDescent="0.25">
      <c r="A923" s="8" t="s">
        <v>362</v>
      </c>
      <c r="B923" s="8" t="s">
        <v>1207</v>
      </c>
      <c r="C923" s="8" t="s">
        <v>1230</v>
      </c>
      <c r="D923" s="8" t="s">
        <v>1231</v>
      </c>
      <c r="E923" s="25">
        <v>3269.22</v>
      </c>
      <c r="F923" s="25">
        <v>0</v>
      </c>
      <c r="G923" s="25">
        <v>3269.22</v>
      </c>
    </row>
    <row r="924" spans="1:7" ht="12.5" x14ac:dyDescent="0.25">
      <c r="A924" s="8" t="s">
        <v>362</v>
      </c>
      <c r="B924" s="8" t="s">
        <v>1207</v>
      </c>
      <c r="C924" s="8" t="s">
        <v>1230</v>
      </c>
      <c r="D924" s="8" t="s">
        <v>1231</v>
      </c>
      <c r="E924" s="25">
        <v>5716.92</v>
      </c>
      <c r="F924" s="25">
        <v>0</v>
      </c>
      <c r="G924" s="25">
        <v>5716.92</v>
      </c>
    </row>
    <row r="925" spans="1:7" ht="12.5" x14ac:dyDescent="0.25">
      <c r="A925" s="8" t="s">
        <v>362</v>
      </c>
      <c r="B925" s="8" t="s">
        <v>1207</v>
      </c>
      <c r="C925" s="8" t="s">
        <v>1230</v>
      </c>
      <c r="D925" s="8" t="s">
        <v>1231</v>
      </c>
      <c r="E925" s="25">
        <v>10576.92</v>
      </c>
      <c r="F925" s="25">
        <v>0</v>
      </c>
      <c r="G925" s="25">
        <v>10576.92</v>
      </c>
    </row>
    <row r="926" spans="1:7" ht="12.5" x14ac:dyDescent="0.25">
      <c r="A926" s="8" t="s">
        <v>362</v>
      </c>
      <c r="B926" s="8" t="s">
        <v>1209</v>
      </c>
      <c r="C926" s="8" t="s">
        <v>1230</v>
      </c>
      <c r="D926" s="8" t="s">
        <v>1231</v>
      </c>
      <c r="E926" s="25">
        <v>6428</v>
      </c>
      <c r="F926" s="25">
        <v>0</v>
      </c>
      <c r="G926" s="25">
        <v>6428</v>
      </c>
    </row>
    <row r="927" spans="1:7" ht="12.5" x14ac:dyDescent="0.25">
      <c r="A927" s="8" t="s">
        <v>362</v>
      </c>
      <c r="B927" s="8" t="s">
        <v>1232</v>
      </c>
      <c r="C927" s="8" t="s">
        <v>1230</v>
      </c>
      <c r="D927" s="8" t="s">
        <v>1233</v>
      </c>
      <c r="E927" s="25">
        <v>-2052</v>
      </c>
      <c r="F927" s="25">
        <v>0</v>
      </c>
      <c r="G927" s="25">
        <v>-2052</v>
      </c>
    </row>
    <row r="928" spans="1:7" ht="12.5" x14ac:dyDescent="0.25">
      <c r="A928" s="8" t="s">
        <v>362</v>
      </c>
      <c r="B928" s="8" t="s">
        <v>1232</v>
      </c>
      <c r="C928" s="8" t="s">
        <v>1230</v>
      </c>
      <c r="D928" s="8" t="s">
        <v>1233</v>
      </c>
      <c r="E928" s="25">
        <v>-1942</v>
      </c>
      <c r="F928" s="25">
        <v>0</v>
      </c>
      <c r="G928" s="25">
        <v>-1942</v>
      </c>
    </row>
    <row r="929" spans="1:7" ht="12.5" x14ac:dyDescent="0.25">
      <c r="A929" s="8" t="s">
        <v>362</v>
      </c>
      <c r="B929" s="8" t="s">
        <v>1232</v>
      </c>
      <c r="C929" s="8" t="s">
        <v>1230</v>
      </c>
      <c r="D929" s="8" t="s">
        <v>1233</v>
      </c>
      <c r="E929" s="25">
        <v>-762</v>
      </c>
      <c r="F929" s="25">
        <v>0</v>
      </c>
      <c r="G929" s="25">
        <v>-762</v>
      </c>
    </row>
    <row r="930" spans="1:7" ht="12.5" x14ac:dyDescent="0.25">
      <c r="A930" s="8" t="s">
        <v>362</v>
      </c>
      <c r="B930" s="8" t="s">
        <v>1232</v>
      </c>
      <c r="C930" s="8" t="s">
        <v>1230</v>
      </c>
      <c r="D930" s="8" t="s">
        <v>1233</v>
      </c>
      <c r="E930" s="25">
        <v>-3460</v>
      </c>
      <c r="F930" s="25">
        <v>0</v>
      </c>
      <c r="G930" s="25">
        <v>-3460</v>
      </c>
    </row>
    <row r="931" spans="1:7" ht="12.5" x14ac:dyDescent="0.25">
      <c r="A931" s="8" t="s">
        <v>362</v>
      </c>
      <c r="B931" s="8" t="s">
        <v>1232</v>
      </c>
      <c r="C931" s="8" t="s">
        <v>1230</v>
      </c>
      <c r="D931" s="8" t="s">
        <v>1233</v>
      </c>
      <c r="E931" s="25">
        <v>-2822</v>
      </c>
      <c r="F931" s="25">
        <v>0</v>
      </c>
      <c r="G931" s="25">
        <v>-2822</v>
      </c>
    </row>
    <row r="932" spans="1:7" ht="12.5" x14ac:dyDescent="0.25">
      <c r="A932" s="8" t="s">
        <v>362</v>
      </c>
      <c r="B932" s="8" t="s">
        <v>1234</v>
      </c>
      <c r="C932" s="8" t="s">
        <v>1230</v>
      </c>
      <c r="D932" s="8" t="s">
        <v>1235</v>
      </c>
      <c r="E932" s="25">
        <v>673.08</v>
      </c>
      <c r="F932" s="25">
        <v>0</v>
      </c>
      <c r="G932" s="25">
        <v>673.08</v>
      </c>
    </row>
    <row r="933" spans="1:7" ht="12.5" x14ac:dyDescent="0.25">
      <c r="A933" s="8" t="s">
        <v>362</v>
      </c>
      <c r="B933" s="8" t="s">
        <v>1234</v>
      </c>
      <c r="C933" s="8" t="s">
        <v>1230</v>
      </c>
      <c r="D933" s="8" t="s">
        <v>1235</v>
      </c>
      <c r="E933" s="25">
        <v>769.23</v>
      </c>
      <c r="F933" s="25">
        <v>0</v>
      </c>
      <c r="G933" s="25">
        <v>769.23</v>
      </c>
    </row>
    <row r="934" spans="1:7" ht="12.5" x14ac:dyDescent="0.25">
      <c r="A934" s="8" t="s">
        <v>362</v>
      </c>
      <c r="B934" s="8" t="s">
        <v>1234</v>
      </c>
      <c r="C934" s="8" t="s">
        <v>1230</v>
      </c>
      <c r="D934" s="8" t="s">
        <v>1235</v>
      </c>
      <c r="E934" s="25">
        <v>326.92</v>
      </c>
      <c r="F934" s="25">
        <v>0</v>
      </c>
      <c r="G934" s="25">
        <v>326.92</v>
      </c>
    </row>
    <row r="935" spans="1:7" ht="12.5" x14ac:dyDescent="0.25">
      <c r="A935" s="8" t="s">
        <v>362</v>
      </c>
      <c r="B935" s="8" t="s">
        <v>1234</v>
      </c>
      <c r="C935" s="8" t="s">
        <v>1230</v>
      </c>
      <c r="D935" s="8" t="s">
        <v>1235</v>
      </c>
      <c r="E935" s="25">
        <v>1214.49</v>
      </c>
      <c r="F935" s="25">
        <v>0</v>
      </c>
      <c r="G935" s="25">
        <v>1214.49</v>
      </c>
    </row>
    <row r="936" spans="1:7" ht="12.5" x14ac:dyDescent="0.25">
      <c r="A936" s="8" t="s">
        <v>362</v>
      </c>
      <c r="B936" s="8" t="s">
        <v>1234</v>
      </c>
      <c r="C936" s="8" t="s">
        <v>1230</v>
      </c>
      <c r="D936" s="8" t="s">
        <v>1235</v>
      </c>
      <c r="E936" s="25">
        <v>1057.69</v>
      </c>
      <c r="F936" s="25">
        <v>0</v>
      </c>
      <c r="G936" s="25">
        <v>1057.69</v>
      </c>
    </row>
    <row r="937" spans="1:7" ht="12.5" x14ac:dyDescent="0.25">
      <c r="A937" s="8" t="s">
        <v>362</v>
      </c>
      <c r="B937" s="8" t="s">
        <v>1236</v>
      </c>
      <c r="C937" s="8" t="s">
        <v>1230</v>
      </c>
      <c r="D937" s="8" t="s">
        <v>1237</v>
      </c>
      <c r="E937" s="25">
        <v>-673.08</v>
      </c>
      <c r="F937" s="25">
        <v>0</v>
      </c>
      <c r="G937" s="25">
        <v>-673.08</v>
      </c>
    </row>
    <row r="938" spans="1:7" ht="12.5" x14ac:dyDescent="0.25">
      <c r="A938" s="8" t="s">
        <v>362</v>
      </c>
      <c r="B938" s="8" t="s">
        <v>1236</v>
      </c>
      <c r="C938" s="8" t="s">
        <v>1230</v>
      </c>
      <c r="D938" s="8" t="s">
        <v>1237</v>
      </c>
      <c r="E938" s="25">
        <v>-769.23</v>
      </c>
      <c r="F938" s="25">
        <v>0</v>
      </c>
      <c r="G938" s="25">
        <v>-769.23</v>
      </c>
    </row>
    <row r="939" spans="1:7" ht="12.5" x14ac:dyDescent="0.25">
      <c r="A939" s="8" t="s">
        <v>362</v>
      </c>
      <c r="B939" s="8" t="s">
        <v>1236</v>
      </c>
      <c r="C939" s="8" t="s">
        <v>1230</v>
      </c>
      <c r="D939" s="8" t="s">
        <v>1237</v>
      </c>
      <c r="E939" s="25">
        <v>-326.92</v>
      </c>
      <c r="F939" s="25">
        <v>0</v>
      </c>
      <c r="G939" s="25">
        <v>-326.92</v>
      </c>
    </row>
    <row r="940" spans="1:7" ht="12.5" x14ac:dyDescent="0.25">
      <c r="A940" s="8" t="s">
        <v>362</v>
      </c>
      <c r="B940" s="8" t="s">
        <v>1236</v>
      </c>
      <c r="C940" s="8" t="s">
        <v>1230</v>
      </c>
      <c r="D940" s="8" t="s">
        <v>1237</v>
      </c>
      <c r="E940" s="25">
        <v>-1931.49</v>
      </c>
      <c r="F940" s="25">
        <v>0</v>
      </c>
      <c r="G940" s="25">
        <v>-1931.49</v>
      </c>
    </row>
    <row r="941" spans="1:7" ht="12.5" x14ac:dyDescent="0.25">
      <c r="A941" s="8" t="s">
        <v>362</v>
      </c>
      <c r="B941" s="8" t="s">
        <v>1236</v>
      </c>
      <c r="C941" s="8" t="s">
        <v>1230</v>
      </c>
      <c r="D941" s="8" t="s">
        <v>1237</v>
      </c>
      <c r="E941" s="25">
        <v>-1057.69</v>
      </c>
      <c r="F941" s="25">
        <v>0</v>
      </c>
      <c r="G941" s="25">
        <v>-1057.69</v>
      </c>
    </row>
    <row r="942" spans="1:7" ht="12.5" x14ac:dyDescent="0.25">
      <c r="A942" s="8" t="s">
        <v>362</v>
      </c>
      <c r="B942" s="8" t="s">
        <v>1225</v>
      </c>
      <c r="C942" s="8" t="s">
        <v>1230</v>
      </c>
      <c r="D942" s="8" t="s">
        <v>1238</v>
      </c>
      <c r="E942" s="25">
        <v>-28659.15</v>
      </c>
      <c r="F942" s="25">
        <v>0</v>
      </c>
      <c r="G942" s="25">
        <v>-28659.15</v>
      </c>
    </row>
    <row r="943" spans="1:7" ht="12.5" x14ac:dyDescent="0.25">
      <c r="A943" s="8" t="s">
        <v>370</v>
      </c>
      <c r="B943" s="8" t="s">
        <v>1222</v>
      </c>
      <c r="C943" s="8" t="s">
        <v>1239</v>
      </c>
      <c r="D943" s="8" t="s">
        <v>1224</v>
      </c>
      <c r="E943" s="25">
        <v>-1914</v>
      </c>
      <c r="F943" s="25">
        <v>0</v>
      </c>
      <c r="G943" s="25">
        <v>-1914</v>
      </c>
    </row>
    <row r="944" spans="1:7" ht="12.5" x14ac:dyDescent="0.25">
      <c r="A944" s="8" t="s">
        <v>959</v>
      </c>
      <c r="B944" s="8" t="s">
        <v>128</v>
      </c>
      <c r="C944" s="8" t="s">
        <v>70</v>
      </c>
      <c r="D944" s="8" t="s">
        <v>1240</v>
      </c>
      <c r="E944" s="25">
        <v>220</v>
      </c>
      <c r="F944" s="25">
        <v>0</v>
      </c>
      <c r="G944" s="25">
        <v>220</v>
      </c>
    </row>
    <row r="945" spans="1:7" ht="12.5" x14ac:dyDescent="0.25">
      <c r="A945" s="8" t="s">
        <v>373</v>
      </c>
      <c r="B945" s="8" t="s">
        <v>1236</v>
      </c>
      <c r="C945" s="8" t="s">
        <v>70</v>
      </c>
      <c r="D945" s="8" t="s">
        <v>1241</v>
      </c>
      <c r="E945" s="25">
        <v>8423.6299999999992</v>
      </c>
      <c r="F945" s="25">
        <v>0</v>
      </c>
      <c r="G945" s="25">
        <v>8423.6299999999992</v>
      </c>
    </row>
    <row r="946" spans="1:7" ht="12.5" x14ac:dyDescent="0.25">
      <c r="A946" s="8" t="s">
        <v>376</v>
      </c>
      <c r="B946" s="8" t="s">
        <v>1222</v>
      </c>
      <c r="C946" s="8" t="s">
        <v>1242</v>
      </c>
      <c r="D946" s="8" t="s">
        <v>1224</v>
      </c>
      <c r="E946" s="25">
        <v>-630.29999999999995</v>
      </c>
      <c r="F946" s="25">
        <v>0</v>
      </c>
      <c r="G946" s="25">
        <v>-630.29999999999995</v>
      </c>
    </row>
    <row r="947" spans="1:7" ht="12.5" x14ac:dyDescent="0.25">
      <c r="A947" s="8" t="s">
        <v>383</v>
      </c>
      <c r="B947" s="8" t="s">
        <v>1222</v>
      </c>
      <c r="C947" s="8" t="s">
        <v>1243</v>
      </c>
      <c r="D947" s="8" t="s">
        <v>1224</v>
      </c>
      <c r="E947" s="25">
        <v>-598.4</v>
      </c>
      <c r="F947" s="25">
        <v>0</v>
      </c>
      <c r="G947" s="25">
        <v>-598.4</v>
      </c>
    </row>
    <row r="948" spans="1:7" ht="12.5" x14ac:dyDescent="0.25">
      <c r="A948" s="8" t="s">
        <v>401</v>
      </c>
      <c r="B948" s="8" t="s">
        <v>1225</v>
      </c>
      <c r="C948" s="8" t="s">
        <v>70</v>
      </c>
      <c r="D948" s="8" t="s">
        <v>1244</v>
      </c>
      <c r="E948" s="25">
        <v>398</v>
      </c>
      <c r="F948" s="25">
        <v>0</v>
      </c>
      <c r="G948" s="25">
        <v>398</v>
      </c>
    </row>
    <row r="949" spans="1:7" ht="12.5" x14ac:dyDescent="0.25">
      <c r="A949" s="8" t="s">
        <v>401</v>
      </c>
      <c r="B949" s="8" t="s">
        <v>1225</v>
      </c>
      <c r="C949" s="8" t="s">
        <v>70</v>
      </c>
      <c r="D949" s="8" t="s">
        <v>1245</v>
      </c>
      <c r="E949" s="25">
        <v>25266</v>
      </c>
      <c r="F949" s="25">
        <v>0</v>
      </c>
      <c r="G949" s="25">
        <v>25266</v>
      </c>
    </row>
    <row r="950" spans="1:7" ht="12.5" x14ac:dyDescent="0.25">
      <c r="A950" s="8" t="s">
        <v>1246</v>
      </c>
      <c r="B950" s="8" t="s">
        <v>1207</v>
      </c>
      <c r="C950" s="8" t="s">
        <v>1247</v>
      </c>
      <c r="D950" s="8" t="s">
        <v>1248</v>
      </c>
      <c r="E950" s="25">
        <v>6730.77</v>
      </c>
      <c r="F950" s="25">
        <v>0</v>
      </c>
      <c r="G950" s="25">
        <v>6730.77</v>
      </c>
    </row>
    <row r="951" spans="1:7" ht="12.5" x14ac:dyDescent="0.25">
      <c r="A951" s="8" t="s">
        <v>1246</v>
      </c>
      <c r="B951" s="8" t="s">
        <v>1207</v>
      </c>
      <c r="C951" s="8" t="s">
        <v>1247</v>
      </c>
      <c r="D951" s="8" t="s">
        <v>1248</v>
      </c>
      <c r="E951" s="25">
        <v>7692.31</v>
      </c>
      <c r="F951" s="25">
        <v>0</v>
      </c>
      <c r="G951" s="25">
        <v>7692.31</v>
      </c>
    </row>
    <row r="952" spans="1:7" ht="12.5" x14ac:dyDescent="0.25">
      <c r="A952" s="8" t="s">
        <v>1246</v>
      </c>
      <c r="B952" s="8" t="s">
        <v>1207</v>
      </c>
      <c r="C952" s="8" t="s">
        <v>1247</v>
      </c>
      <c r="D952" s="8" t="s">
        <v>1248</v>
      </c>
      <c r="E952" s="25">
        <v>3269.23</v>
      </c>
      <c r="F952" s="25">
        <v>0</v>
      </c>
      <c r="G952" s="25">
        <v>3269.23</v>
      </c>
    </row>
    <row r="953" spans="1:7" ht="12.5" x14ac:dyDescent="0.25">
      <c r="A953" s="8" t="s">
        <v>1246</v>
      </c>
      <c r="B953" s="8" t="s">
        <v>1207</v>
      </c>
      <c r="C953" s="8" t="s">
        <v>1247</v>
      </c>
      <c r="D953" s="8" t="s">
        <v>1248</v>
      </c>
      <c r="E953" s="25">
        <v>6068.92</v>
      </c>
      <c r="F953" s="25">
        <v>0</v>
      </c>
      <c r="G953" s="25">
        <v>6068.92</v>
      </c>
    </row>
    <row r="954" spans="1:7" ht="12.5" x14ac:dyDescent="0.25">
      <c r="A954" s="8" t="s">
        <v>1246</v>
      </c>
      <c r="B954" s="8" t="s">
        <v>1207</v>
      </c>
      <c r="C954" s="8" t="s">
        <v>1247</v>
      </c>
      <c r="D954" s="8" t="s">
        <v>1248</v>
      </c>
      <c r="E954" s="25">
        <v>10576.92</v>
      </c>
      <c r="F954" s="25">
        <v>0</v>
      </c>
      <c r="G954" s="25">
        <v>10576.92</v>
      </c>
    </row>
    <row r="955" spans="1:7" ht="12.5" x14ac:dyDescent="0.25">
      <c r="A955" s="8" t="s">
        <v>1246</v>
      </c>
      <c r="B955" s="8" t="s">
        <v>1232</v>
      </c>
      <c r="C955" s="8" t="s">
        <v>1247</v>
      </c>
      <c r="D955" s="8" t="s">
        <v>1249</v>
      </c>
      <c r="E955" s="25">
        <v>-2052</v>
      </c>
      <c r="F955" s="25">
        <v>0</v>
      </c>
      <c r="G955" s="25">
        <v>-2052</v>
      </c>
    </row>
    <row r="956" spans="1:7" ht="12.5" x14ac:dyDescent="0.25">
      <c r="A956" s="8" t="s">
        <v>1246</v>
      </c>
      <c r="B956" s="8" t="s">
        <v>1232</v>
      </c>
      <c r="C956" s="8" t="s">
        <v>1247</v>
      </c>
      <c r="D956" s="8" t="s">
        <v>1249</v>
      </c>
      <c r="E956" s="25">
        <v>-1942</v>
      </c>
      <c r="F956" s="25">
        <v>0</v>
      </c>
      <c r="G956" s="25">
        <v>-1942</v>
      </c>
    </row>
    <row r="957" spans="1:7" ht="12.5" x14ac:dyDescent="0.25">
      <c r="A957" s="8" t="s">
        <v>1246</v>
      </c>
      <c r="B957" s="8" t="s">
        <v>1232</v>
      </c>
      <c r="C957" s="8" t="s">
        <v>1247</v>
      </c>
      <c r="D957" s="8" t="s">
        <v>1249</v>
      </c>
      <c r="E957" s="25">
        <v>-696</v>
      </c>
      <c r="F957" s="25">
        <v>0</v>
      </c>
      <c r="G957" s="25">
        <v>-696</v>
      </c>
    </row>
    <row r="958" spans="1:7" ht="12.5" x14ac:dyDescent="0.25">
      <c r="A958" s="8" t="s">
        <v>1246</v>
      </c>
      <c r="B958" s="8" t="s">
        <v>1232</v>
      </c>
      <c r="C958" s="8" t="s">
        <v>1247</v>
      </c>
      <c r="D958" s="8" t="s">
        <v>1249</v>
      </c>
      <c r="E958" s="25">
        <v>-1364</v>
      </c>
      <c r="F958" s="25">
        <v>0</v>
      </c>
      <c r="G958" s="25">
        <v>-1364</v>
      </c>
    </row>
    <row r="959" spans="1:7" ht="12.5" x14ac:dyDescent="0.25">
      <c r="A959" s="8" t="s">
        <v>1246</v>
      </c>
      <c r="B959" s="8" t="s">
        <v>1232</v>
      </c>
      <c r="C959" s="8" t="s">
        <v>1247</v>
      </c>
      <c r="D959" s="8" t="s">
        <v>1249</v>
      </c>
      <c r="E959" s="25">
        <v>-2822</v>
      </c>
      <c r="F959" s="25">
        <v>0</v>
      </c>
      <c r="G959" s="25">
        <v>-2822</v>
      </c>
    </row>
    <row r="960" spans="1:7" ht="12.5" x14ac:dyDescent="0.25">
      <c r="A960" s="8" t="s">
        <v>1246</v>
      </c>
      <c r="B960" s="8" t="s">
        <v>1234</v>
      </c>
      <c r="C960" s="8" t="s">
        <v>1247</v>
      </c>
      <c r="D960" s="8" t="s">
        <v>1250</v>
      </c>
      <c r="E960" s="25">
        <v>673.08</v>
      </c>
      <c r="F960" s="25">
        <v>0</v>
      </c>
      <c r="G960" s="25">
        <v>673.08</v>
      </c>
    </row>
    <row r="961" spans="1:7" ht="12.5" x14ac:dyDescent="0.25">
      <c r="A961" s="8" t="s">
        <v>1246</v>
      </c>
      <c r="B961" s="8" t="s">
        <v>1234</v>
      </c>
      <c r="C961" s="8" t="s">
        <v>1247</v>
      </c>
      <c r="D961" s="8" t="s">
        <v>1250</v>
      </c>
      <c r="E961" s="25">
        <v>769.23</v>
      </c>
      <c r="F961" s="25">
        <v>0</v>
      </c>
      <c r="G961" s="25">
        <v>769.23</v>
      </c>
    </row>
    <row r="962" spans="1:7" ht="12.5" x14ac:dyDescent="0.25">
      <c r="A962" s="8" t="s">
        <v>1246</v>
      </c>
      <c r="B962" s="8" t="s">
        <v>1234</v>
      </c>
      <c r="C962" s="8" t="s">
        <v>1247</v>
      </c>
      <c r="D962" s="8" t="s">
        <v>1250</v>
      </c>
      <c r="E962" s="25">
        <v>326.92</v>
      </c>
      <c r="F962" s="25">
        <v>0</v>
      </c>
      <c r="G962" s="25">
        <v>326.92</v>
      </c>
    </row>
    <row r="963" spans="1:7" ht="12.5" x14ac:dyDescent="0.25">
      <c r="A963" s="8" t="s">
        <v>1246</v>
      </c>
      <c r="B963" s="8" t="s">
        <v>1234</v>
      </c>
      <c r="C963" s="8" t="s">
        <v>1247</v>
      </c>
      <c r="D963" s="8" t="s">
        <v>1250</v>
      </c>
      <c r="E963" s="25">
        <v>598.09</v>
      </c>
      <c r="F963" s="25">
        <v>0</v>
      </c>
      <c r="G963" s="25">
        <v>598.09</v>
      </c>
    </row>
    <row r="964" spans="1:7" ht="12.5" x14ac:dyDescent="0.25">
      <c r="A964" s="8" t="s">
        <v>1246</v>
      </c>
      <c r="B964" s="8" t="s">
        <v>1234</v>
      </c>
      <c r="C964" s="8" t="s">
        <v>1247</v>
      </c>
      <c r="D964" s="8" t="s">
        <v>1250</v>
      </c>
      <c r="E964" s="25">
        <v>1057.69</v>
      </c>
      <c r="F964" s="25">
        <v>0</v>
      </c>
      <c r="G964" s="25">
        <v>1057.69</v>
      </c>
    </row>
    <row r="965" spans="1:7" ht="12.5" x14ac:dyDescent="0.25">
      <c r="A965" s="8" t="s">
        <v>1246</v>
      </c>
      <c r="B965" s="8" t="s">
        <v>1236</v>
      </c>
      <c r="C965" s="8" t="s">
        <v>1247</v>
      </c>
      <c r="D965" s="8" t="s">
        <v>1251</v>
      </c>
      <c r="E965" s="25">
        <v>-673.08</v>
      </c>
      <c r="F965" s="25">
        <v>0</v>
      </c>
      <c r="G965" s="25">
        <v>-673.08</v>
      </c>
    </row>
    <row r="966" spans="1:7" ht="12.5" x14ac:dyDescent="0.25">
      <c r="A966" s="8" t="s">
        <v>1246</v>
      </c>
      <c r="B966" s="8" t="s">
        <v>1236</v>
      </c>
      <c r="C966" s="8" t="s">
        <v>1247</v>
      </c>
      <c r="D966" s="8" t="s">
        <v>1251</v>
      </c>
      <c r="E966" s="25">
        <v>-769.23</v>
      </c>
      <c r="F966" s="25">
        <v>0</v>
      </c>
      <c r="G966" s="25">
        <v>-769.23</v>
      </c>
    </row>
    <row r="967" spans="1:7" ht="12.5" x14ac:dyDescent="0.25">
      <c r="A967" s="8" t="s">
        <v>1246</v>
      </c>
      <c r="B967" s="8" t="s">
        <v>1236</v>
      </c>
      <c r="C967" s="8" t="s">
        <v>1247</v>
      </c>
      <c r="D967" s="8" t="s">
        <v>1251</v>
      </c>
      <c r="E967" s="25">
        <v>-523.07000000000005</v>
      </c>
      <c r="F967" s="25">
        <v>0</v>
      </c>
      <c r="G967" s="25">
        <v>-523.07000000000005</v>
      </c>
    </row>
    <row r="968" spans="1:7" ht="12.5" x14ac:dyDescent="0.25">
      <c r="A968" s="8" t="s">
        <v>1246</v>
      </c>
      <c r="B968" s="8" t="s">
        <v>1236</v>
      </c>
      <c r="C968" s="8" t="s">
        <v>1247</v>
      </c>
      <c r="D968" s="8" t="s">
        <v>1251</v>
      </c>
      <c r="E968" s="25">
        <v>-598.09</v>
      </c>
      <c r="F968" s="25">
        <v>0</v>
      </c>
      <c r="G968" s="25">
        <v>-598.09</v>
      </c>
    </row>
    <row r="969" spans="1:7" ht="12.5" x14ac:dyDescent="0.25">
      <c r="A969" s="8" t="s">
        <v>1246</v>
      </c>
      <c r="B969" s="8" t="s">
        <v>1236</v>
      </c>
      <c r="C969" s="8" t="s">
        <v>1247</v>
      </c>
      <c r="D969" s="8" t="s">
        <v>1251</v>
      </c>
      <c r="E969" s="25">
        <v>-1057.69</v>
      </c>
      <c r="F969" s="25">
        <v>0</v>
      </c>
      <c r="G969" s="25">
        <v>-1057.69</v>
      </c>
    </row>
    <row r="970" spans="1:7" ht="12.5" x14ac:dyDescent="0.25">
      <c r="A970" s="8" t="s">
        <v>1246</v>
      </c>
      <c r="B970" s="8" t="s">
        <v>1225</v>
      </c>
      <c r="C970" s="8" t="s">
        <v>1247</v>
      </c>
      <c r="D970" s="8" t="s">
        <v>1252</v>
      </c>
      <c r="E970" s="25">
        <v>-25266</v>
      </c>
      <c r="F970" s="25">
        <v>0</v>
      </c>
      <c r="G970" s="25">
        <v>-25266</v>
      </c>
    </row>
    <row r="971" spans="1:7" ht="12.5" x14ac:dyDescent="0.25">
      <c r="A971" s="8" t="s">
        <v>1246</v>
      </c>
      <c r="B971" s="8" t="s">
        <v>1209</v>
      </c>
      <c r="C971" s="8" t="s">
        <v>1253</v>
      </c>
      <c r="D971" s="8" t="s">
        <v>1254</v>
      </c>
      <c r="E971" s="25">
        <v>606</v>
      </c>
      <c r="F971" s="25">
        <v>0</v>
      </c>
      <c r="G971" s="25">
        <v>606</v>
      </c>
    </row>
    <row r="972" spans="1:7" ht="12.5" x14ac:dyDescent="0.25">
      <c r="A972" s="8" t="s">
        <v>1246</v>
      </c>
      <c r="B972" s="8" t="s">
        <v>1232</v>
      </c>
      <c r="C972" s="8" t="s">
        <v>1253</v>
      </c>
      <c r="D972" s="8" t="s">
        <v>1255</v>
      </c>
      <c r="E972" s="25">
        <v>-208</v>
      </c>
      <c r="F972" s="25">
        <v>0</v>
      </c>
      <c r="G972" s="25">
        <v>-208</v>
      </c>
    </row>
    <row r="973" spans="1:7" ht="12.5" x14ac:dyDescent="0.25">
      <c r="A973" s="8" t="s">
        <v>1246</v>
      </c>
      <c r="B973" s="8" t="s">
        <v>1234</v>
      </c>
      <c r="C973" s="8" t="s">
        <v>1253</v>
      </c>
      <c r="D973" s="8" t="s">
        <v>1256</v>
      </c>
      <c r="E973" s="25">
        <v>60.6</v>
      </c>
      <c r="F973" s="25">
        <v>0</v>
      </c>
      <c r="G973" s="25">
        <v>60.6</v>
      </c>
    </row>
    <row r="974" spans="1:7" ht="12.5" x14ac:dyDescent="0.25">
      <c r="A974" s="8" t="s">
        <v>1246</v>
      </c>
      <c r="B974" s="8" t="s">
        <v>1236</v>
      </c>
      <c r="C974" s="8" t="s">
        <v>1253</v>
      </c>
      <c r="D974" s="8" t="s">
        <v>1257</v>
      </c>
      <c r="E974" s="25">
        <v>-60.6</v>
      </c>
      <c r="F974" s="25">
        <v>0</v>
      </c>
      <c r="G974" s="25">
        <v>-60.6</v>
      </c>
    </row>
    <row r="975" spans="1:7" ht="12.5" x14ac:dyDescent="0.25">
      <c r="A975" s="8" t="s">
        <v>1246</v>
      </c>
      <c r="B975" s="8" t="s">
        <v>1225</v>
      </c>
      <c r="C975" s="8" t="s">
        <v>1253</v>
      </c>
      <c r="D975" s="8" t="s">
        <v>1258</v>
      </c>
      <c r="E975" s="25">
        <v>-398</v>
      </c>
      <c r="F975" s="25">
        <v>0</v>
      </c>
      <c r="G975" s="25">
        <v>-398</v>
      </c>
    </row>
    <row r="976" spans="1:7" ht="12.5" x14ac:dyDescent="0.25">
      <c r="A976" s="8" t="s">
        <v>1259</v>
      </c>
      <c r="B976" s="8" t="s">
        <v>1227</v>
      </c>
      <c r="C976" s="8" t="s">
        <v>1260</v>
      </c>
      <c r="D976" s="8" t="s">
        <v>1261</v>
      </c>
      <c r="E976" s="25">
        <v>-394.63</v>
      </c>
      <c r="F976" s="25">
        <v>0</v>
      </c>
      <c r="G976" s="25">
        <v>-394.63</v>
      </c>
    </row>
    <row r="977" spans="1:7" ht="12.5" x14ac:dyDescent="0.25">
      <c r="A977" s="8" t="s">
        <v>1259</v>
      </c>
      <c r="B977" s="8" t="s">
        <v>1222</v>
      </c>
      <c r="C977" s="8" t="s">
        <v>1262</v>
      </c>
      <c r="D977" s="8" t="s">
        <v>1224</v>
      </c>
      <c r="E977" s="25">
        <v>-419.1</v>
      </c>
      <c r="F977" s="25">
        <v>0</v>
      </c>
      <c r="G977" s="25">
        <v>-419.1</v>
      </c>
    </row>
    <row r="978" spans="1:7" ht="12.5" x14ac:dyDescent="0.25">
      <c r="A978" s="8" t="s">
        <v>1259</v>
      </c>
      <c r="B978" s="8" t="s">
        <v>1227</v>
      </c>
      <c r="C978" s="8" t="s">
        <v>1260</v>
      </c>
      <c r="D978" s="8" t="s">
        <v>1263</v>
      </c>
      <c r="E978" s="25">
        <v>394.63</v>
      </c>
      <c r="F978" s="25">
        <v>0</v>
      </c>
      <c r="G978" s="25">
        <v>394.63</v>
      </c>
    </row>
    <row r="979" spans="1:7" ht="12.5" x14ac:dyDescent="0.25">
      <c r="A979" s="8" t="s">
        <v>982</v>
      </c>
      <c r="B979" s="8" t="s">
        <v>1222</v>
      </c>
      <c r="C979" s="8" t="s">
        <v>1264</v>
      </c>
      <c r="D979" s="8" t="s">
        <v>1224</v>
      </c>
      <c r="E979" s="25">
        <v>-1017.5</v>
      </c>
      <c r="F979" s="25">
        <v>0</v>
      </c>
      <c r="G979" s="25">
        <v>-1017.5</v>
      </c>
    </row>
    <row r="980" spans="1:7" ht="12.5" x14ac:dyDescent="0.25">
      <c r="A980" s="8" t="s">
        <v>922</v>
      </c>
      <c r="B980" s="8" t="s">
        <v>128</v>
      </c>
      <c r="C980" s="8" t="s">
        <v>1265</v>
      </c>
      <c r="D980" s="8" t="s">
        <v>1266</v>
      </c>
      <c r="E980" s="25">
        <v>105206.54</v>
      </c>
      <c r="F980" s="25">
        <v>0</v>
      </c>
      <c r="G980" s="25">
        <v>105206.54</v>
      </c>
    </row>
    <row r="981" spans="1:7" ht="12.5" x14ac:dyDescent="0.25">
      <c r="A981" s="8" t="s">
        <v>922</v>
      </c>
      <c r="B981" s="8" t="s">
        <v>174</v>
      </c>
      <c r="C981" s="8" t="s">
        <v>1265</v>
      </c>
      <c r="D981" s="8" t="s">
        <v>1266</v>
      </c>
      <c r="E981" s="25">
        <v>-105206.54</v>
      </c>
      <c r="F981" s="25">
        <v>0</v>
      </c>
      <c r="G981" s="25">
        <v>-105206.54</v>
      </c>
    </row>
    <row r="982" spans="1:7" ht="12.5" x14ac:dyDescent="0.25">
      <c r="A982" s="8" t="s">
        <v>922</v>
      </c>
      <c r="B982" s="8" t="s">
        <v>132</v>
      </c>
      <c r="C982" s="8" t="s">
        <v>1265</v>
      </c>
      <c r="D982" s="8" t="s">
        <v>1266</v>
      </c>
      <c r="E982" s="25">
        <v>18254.89</v>
      </c>
      <c r="F982" s="25">
        <v>0</v>
      </c>
      <c r="G982" s="25">
        <v>18254.89</v>
      </c>
    </row>
    <row r="983" spans="1:7" ht="12.5" x14ac:dyDescent="0.25">
      <c r="A983" s="8" t="s">
        <v>922</v>
      </c>
      <c r="B983" s="8" t="s">
        <v>1267</v>
      </c>
      <c r="C983" s="8" t="s">
        <v>1265</v>
      </c>
      <c r="D983" s="8" t="s">
        <v>1266</v>
      </c>
      <c r="E983" s="25">
        <v>-18254.89</v>
      </c>
      <c r="F983" s="25">
        <v>0</v>
      </c>
      <c r="G983" s="25">
        <v>-18254.89</v>
      </c>
    </row>
    <row r="984" spans="1:7" ht="12.5" x14ac:dyDescent="0.25">
      <c r="A984" s="8" t="s">
        <v>922</v>
      </c>
      <c r="B984" s="8" t="s">
        <v>1268</v>
      </c>
      <c r="C984" s="8" t="s">
        <v>1269</v>
      </c>
      <c r="D984" s="8" t="s">
        <v>1270</v>
      </c>
      <c r="E984" s="25">
        <v>875</v>
      </c>
      <c r="F984" s="25">
        <v>0</v>
      </c>
      <c r="G984" s="25">
        <v>875</v>
      </c>
    </row>
    <row r="985" spans="1:7" ht="12.5" x14ac:dyDescent="0.25">
      <c r="A985" s="8" t="s">
        <v>922</v>
      </c>
      <c r="B985" s="8" t="s">
        <v>1271</v>
      </c>
      <c r="C985" s="8" t="s">
        <v>1269</v>
      </c>
      <c r="D985" s="8" t="s">
        <v>1270</v>
      </c>
      <c r="E985" s="25">
        <v>-875</v>
      </c>
      <c r="F985" s="25">
        <v>0</v>
      </c>
      <c r="G985" s="25">
        <v>-875</v>
      </c>
    </row>
    <row r="986" spans="1:7" ht="12.5" x14ac:dyDescent="0.25">
      <c r="A986" s="8" t="s">
        <v>922</v>
      </c>
      <c r="B986" s="8" t="s">
        <v>1272</v>
      </c>
      <c r="C986" s="8" t="s">
        <v>1273</v>
      </c>
      <c r="D986" s="8" t="s">
        <v>1274</v>
      </c>
      <c r="E986" s="25">
        <v>1003.37</v>
      </c>
      <c r="F986" s="25">
        <v>0</v>
      </c>
      <c r="G986" s="25">
        <v>1003.37</v>
      </c>
    </row>
    <row r="987" spans="1:7" ht="12.5" x14ac:dyDescent="0.25">
      <c r="A987" s="8" t="s">
        <v>922</v>
      </c>
      <c r="B987" s="8" t="s">
        <v>1275</v>
      </c>
      <c r="C987" s="8" t="s">
        <v>1273</v>
      </c>
      <c r="D987" s="8" t="s">
        <v>1274</v>
      </c>
      <c r="E987" s="25">
        <v>-1003.37</v>
      </c>
      <c r="F987" s="25">
        <v>0</v>
      </c>
      <c r="G987" s="25">
        <v>-1003.37</v>
      </c>
    </row>
    <row r="988" spans="1:7" ht="12.5" x14ac:dyDescent="0.25">
      <c r="A988" s="8" t="s">
        <v>922</v>
      </c>
      <c r="B988" s="8" t="s">
        <v>1222</v>
      </c>
      <c r="C988" s="8" t="s">
        <v>1276</v>
      </c>
      <c r="D988" s="8" t="s">
        <v>1224</v>
      </c>
      <c r="E988" s="25">
        <v>-2971.27</v>
      </c>
      <c r="F988" s="25">
        <v>0</v>
      </c>
      <c r="G988" s="25">
        <v>-2971.27</v>
      </c>
    </row>
    <row r="989" spans="1:7" ht="12.5" x14ac:dyDescent="0.25">
      <c r="A989" s="8" t="s">
        <v>922</v>
      </c>
      <c r="B989" s="8" t="s">
        <v>1192</v>
      </c>
      <c r="C989" s="8" t="s">
        <v>1277</v>
      </c>
      <c r="D989" s="8" t="s">
        <v>1278</v>
      </c>
      <c r="E989" s="25">
        <v>90663</v>
      </c>
      <c r="F989" s="25">
        <v>0</v>
      </c>
      <c r="G989" s="25">
        <v>90663</v>
      </c>
    </row>
    <row r="990" spans="1:7" ht="12.5" x14ac:dyDescent="0.25">
      <c r="A990" s="8" t="s">
        <v>922</v>
      </c>
      <c r="B990" s="8" t="s">
        <v>1221</v>
      </c>
      <c r="C990" s="8" t="s">
        <v>1277</v>
      </c>
      <c r="D990" s="8" t="s">
        <v>1278</v>
      </c>
      <c r="E990" s="25">
        <v>-90663</v>
      </c>
      <c r="F990" s="25">
        <v>0</v>
      </c>
      <c r="G990" s="25">
        <v>-90663</v>
      </c>
    </row>
    <row r="991" spans="1:7" ht="12.5" x14ac:dyDescent="0.25">
      <c r="A991" s="8" t="s">
        <v>922</v>
      </c>
      <c r="B991" s="8" t="s">
        <v>1279</v>
      </c>
      <c r="C991" s="8" t="s">
        <v>1280</v>
      </c>
      <c r="D991" s="8" t="s">
        <v>1281</v>
      </c>
      <c r="E991" s="25">
        <v>32500</v>
      </c>
      <c r="F991" s="25">
        <v>0</v>
      </c>
      <c r="G991" s="25">
        <v>32500</v>
      </c>
    </row>
    <row r="992" spans="1:7" ht="12.5" x14ac:dyDescent="0.25">
      <c r="A992" s="8" t="s">
        <v>922</v>
      </c>
      <c r="B992" s="8" t="s">
        <v>1207</v>
      </c>
      <c r="C992" s="8" t="s">
        <v>1280</v>
      </c>
      <c r="D992" s="8" t="s">
        <v>1281</v>
      </c>
      <c r="E992" s="25">
        <v>-32500</v>
      </c>
      <c r="F992" s="25">
        <v>0</v>
      </c>
      <c r="G992" s="25">
        <v>-32500</v>
      </c>
    </row>
    <row r="993" spans="1:7" ht="12.5" x14ac:dyDescent="0.25">
      <c r="A993" s="8" t="s">
        <v>922</v>
      </c>
      <c r="B993" s="8" t="s">
        <v>1282</v>
      </c>
      <c r="C993" s="8" t="s">
        <v>1280</v>
      </c>
      <c r="D993" s="8" t="s">
        <v>1281</v>
      </c>
      <c r="E993" s="25">
        <v>3250</v>
      </c>
      <c r="F993" s="25">
        <v>0</v>
      </c>
      <c r="G993" s="25">
        <v>3250</v>
      </c>
    </row>
    <row r="994" spans="1:7" ht="12.5" x14ac:dyDescent="0.25">
      <c r="A994" s="8" t="s">
        <v>922</v>
      </c>
      <c r="B994" s="8" t="s">
        <v>1234</v>
      </c>
      <c r="C994" s="8" t="s">
        <v>1280</v>
      </c>
      <c r="D994" s="8" t="s">
        <v>1281</v>
      </c>
      <c r="E994" s="25">
        <v>-3250</v>
      </c>
      <c r="F994" s="25">
        <v>0</v>
      </c>
      <c r="G994" s="25">
        <v>-3250</v>
      </c>
    </row>
    <row r="995" spans="1:7" ht="12.5" x14ac:dyDescent="0.25">
      <c r="A995" s="8" t="s">
        <v>922</v>
      </c>
      <c r="B995" s="8" t="s">
        <v>939</v>
      </c>
      <c r="C995" s="8" t="s">
        <v>1283</v>
      </c>
      <c r="D995" s="8" t="s">
        <v>1284</v>
      </c>
      <c r="E995" s="25">
        <v>19477</v>
      </c>
      <c r="F995" s="25">
        <v>0</v>
      </c>
      <c r="G995" s="25">
        <v>19477</v>
      </c>
    </row>
    <row r="996" spans="1:7" ht="12.5" x14ac:dyDescent="0.25">
      <c r="A996" s="8" t="s">
        <v>922</v>
      </c>
      <c r="B996" s="8" t="s">
        <v>950</v>
      </c>
      <c r="C996" s="8" t="s">
        <v>1283</v>
      </c>
      <c r="D996" s="8" t="s">
        <v>1285</v>
      </c>
      <c r="E996" s="25">
        <v>-7575.75</v>
      </c>
      <c r="F996" s="25">
        <v>0</v>
      </c>
      <c r="G996" s="25">
        <v>-7575.75</v>
      </c>
    </row>
    <row r="997" spans="1:7" ht="12.5" x14ac:dyDescent="0.25">
      <c r="A997" s="8" t="s">
        <v>922</v>
      </c>
      <c r="B997" s="8" t="s">
        <v>950</v>
      </c>
      <c r="C997" s="8" t="s">
        <v>1283</v>
      </c>
      <c r="D997" s="8" t="s">
        <v>1286</v>
      </c>
      <c r="E997" s="25">
        <v>10</v>
      </c>
      <c r="F997" s="25">
        <v>0</v>
      </c>
      <c r="G997" s="25">
        <v>10</v>
      </c>
    </row>
    <row r="998" spans="1:7" ht="12.5" x14ac:dyDescent="0.25">
      <c r="A998" s="8" t="s">
        <v>922</v>
      </c>
      <c r="B998" s="8" t="s">
        <v>1074</v>
      </c>
      <c r="C998" s="8" t="s">
        <v>1283</v>
      </c>
      <c r="D998" s="8" t="s">
        <v>1287</v>
      </c>
      <c r="E998" s="25">
        <v>17000</v>
      </c>
      <c r="F998" s="25">
        <v>0</v>
      </c>
      <c r="G998" s="25">
        <v>17000</v>
      </c>
    </row>
    <row r="999" spans="1:7" ht="12.5" x14ac:dyDescent="0.25">
      <c r="A999" s="8" t="s">
        <v>922</v>
      </c>
      <c r="B999" s="8" t="s">
        <v>1074</v>
      </c>
      <c r="C999" s="8" t="s">
        <v>1283</v>
      </c>
      <c r="D999" s="8" t="s">
        <v>1288</v>
      </c>
      <c r="E999" s="25">
        <v>10</v>
      </c>
      <c r="F999" s="25">
        <v>0</v>
      </c>
      <c r="G999" s="25">
        <v>10</v>
      </c>
    </row>
    <row r="1000" spans="1:7" ht="15.75" customHeight="1" x14ac:dyDescent="0.25">
      <c r="A1000" s="8" t="s">
        <v>922</v>
      </c>
      <c r="B1000" s="8" t="s">
        <v>932</v>
      </c>
      <c r="C1000" s="8" t="s">
        <v>1283</v>
      </c>
      <c r="D1000" s="8" t="s">
        <v>1289</v>
      </c>
      <c r="E1000" s="25">
        <v>10000</v>
      </c>
      <c r="F1000" s="25">
        <v>0</v>
      </c>
      <c r="G1000" s="25">
        <v>10000</v>
      </c>
    </row>
    <row r="1001" spans="1:7" ht="15.75" customHeight="1" x14ac:dyDescent="0.25">
      <c r="A1001" s="8" t="s">
        <v>922</v>
      </c>
      <c r="B1001" s="8" t="s">
        <v>936</v>
      </c>
      <c r="C1001" s="8" t="s">
        <v>1283</v>
      </c>
      <c r="D1001" s="8" t="s">
        <v>1290</v>
      </c>
      <c r="E1001" s="25">
        <v>2000</v>
      </c>
      <c r="F1001" s="25">
        <v>0</v>
      </c>
      <c r="G1001" s="25">
        <v>2000</v>
      </c>
    </row>
    <row r="1002" spans="1:7" ht="15.75" customHeight="1" x14ac:dyDescent="0.25">
      <c r="A1002" s="8" t="s">
        <v>922</v>
      </c>
      <c r="B1002" s="8" t="s">
        <v>1204</v>
      </c>
      <c r="C1002" s="8" t="s">
        <v>1283</v>
      </c>
      <c r="D1002" s="8" t="s">
        <v>1291</v>
      </c>
      <c r="E1002" s="25">
        <v>6400</v>
      </c>
      <c r="F1002" s="25">
        <v>0</v>
      </c>
      <c r="G1002" s="25">
        <v>6400</v>
      </c>
    </row>
    <row r="1003" spans="1:7" ht="15.75" customHeight="1" x14ac:dyDescent="0.25">
      <c r="A1003" s="8" t="s">
        <v>922</v>
      </c>
      <c r="B1003" s="8" t="s">
        <v>953</v>
      </c>
      <c r="C1003" s="8" t="s">
        <v>1283</v>
      </c>
      <c r="D1003" s="8" t="s">
        <v>1292</v>
      </c>
      <c r="E1003" s="25">
        <v>1000</v>
      </c>
      <c r="F1003" s="25">
        <v>0</v>
      </c>
      <c r="G1003" s="25">
        <v>1000</v>
      </c>
    </row>
    <row r="1004" spans="1:7" ht="15.75" customHeight="1" x14ac:dyDescent="0.25">
      <c r="A1004" s="8" t="s">
        <v>922</v>
      </c>
      <c r="B1004" s="8" t="s">
        <v>1207</v>
      </c>
      <c r="C1004" s="8" t="s">
        <v>1283</v>
      </c>
      <c r="D1004" s="8" t="s">
        <v>1293</v>
      </c>
      <c r="E1004" s="25">
        <v>10000</v>
      </c>
      <c r="F1004" s="25">
        <v>0</v>
      </c>
      <c r="G1004" s="25">
        <v>10000</v>
      </c>
    </row>
    <row r="1005" spans="1:7" ht="15.75" customHeight="1" x14ac:dyDescent="0.25">
      <c r="A1005" s="8" t="s">
        <v>922</v>
      </c>
      <c r="B1005" s="8" t="s">
        <v>1209</v>
      </c>
      <c r="C1005" s="8" t="s">
        <v>1283</v>
      </c>
      <c r="D1005" s="8" t="s">
        <v>1294</v>
      </c>
      <c r="E1005" s="25">
        <v>25000</v>
      </c>
      <c r="F1005" s="25">
        <v>0</v>
      </c>
      <c r="G1005" s="25">
        <v>25000</v>
      </c>
    </row>
    <row r="1006" spans="1:7" ht="15.75" customHeight="1" x14ac:dyDescent="0.25">
      <c r="A1006" s="8" t="s">
        <v>922</v>
      </c>
      <c r="B1006" s="8" t="s">
        <v>985</v>
      </c>
      <c r="C1006" s="8" t="s">
        <v>1283</v>
      </c>
      <c r="D1006" s="8" t="s">
        <v>1295</v>
      </c>
      <c r="E1006" s="25">
        <v>2500</v>
      </c>
      <c r="F1006" s="25">
        <v>0</v>
      </c>
      <c r="G1006" s="25">
        <v>2500</v>
      </c>
    </row>
    <row r="1007" spans="1:7" ht="15.75" customHeight="1" x14ac:dyDescent="0.25">
      <c r="A1007" s="8" t="s">
        <v>922</v>
      </c>
      <c r="B1007" s="8" t="s">
        <v>1141</v>
      </c>
      <c r="C1007" s="8" t="s">
        <v>1283</v>
      </c>
      <c r="D1007" s="8" t="s">
        <v>1296</v>
      </c>
      <c r="E1007" s="25">
        <v>1000</v>
      </c>
      <c r="F1007" s="25">
        <v>0</v>
      </c>
      <c r="G1007" s="25">
        <v>1000</v>
      </c>
    </row>
    <row r="1008" spans="1:7" ht="15.75" customHeight="1" x14ac:dyDescent="0.25">
      <c r="A1008" s="8" t="s">
        <v>922</v>
      </c>
      <c r="B1008" s="8" t="s">
        <v>1213</v>
      </c>
      <c r="C1008" s="8" t="s">
        <v>1283</v>
      </c>
      <c r="D1008" s="8" t="s">
        <v>1297</v>
      </c>
      <c r="E1008" s="25">
        <v>1400</v>
      </c>
      <c r="F1008" s="25">
        <v>0</v>
      </c>
      <c r="G1008" s="25">
        <v>1400</v>
      </c>
    </row>
    <row r="1009" spans="1:7" ht="15.75" customHeight="1" x14ac:dyDescent="0.25">
      <c r="A1009" s="8" t="s">
        <v>922</v>
      </c>
      <c r="B1009" s="8" t="s">
        <v>1013</v>
      </c>
      <c r="C1009" s="8" t="s">
        <v>1283</v>
      </c>
      <c r="D1009" s="8" t="s">
        <v>1298</v>
      </c>
      <c r="E1009" s="25">
        <v>5</v>
      </c>
      <c r="F1009" s="25">
        <v>0</v>
      </c>
      <c r="G1009" s="25">
        <v>5</v>
      </c>
    </row>
    <row r="1010" spans="1:7" ht="15.75" customHeight="1" x14ac:dyDescent="0.25">
      <c r="A1010" s="8" t="s">
        <v>922</v>
      </c>
      <c r="B1010" s="8" t="s">
        <v>1013</v>
      </c>
      <c r="C1010" s="8" t="s">
        <v>1283</v>
      </c>
      <c r="D1010" s="8" t="s">
        <v>1299</v>
      </c>
      <c r="E1010" s="25">
        <v>-1432</v>
      </c>
      <c r="F1010" s="25">
        <v>0</v>
      </c>
      <c r="G1010" s="25">
        <v>-1432</v>
      </c>
    </row>
    <row r="1011" spans="1:7" ht="15.75" customHeight="1" x14ac:dyDescent="0.25">
      <c r="A1011" s="8" t="s">
        <v>922</v>
      </c>
      <c r="B1011" s="8" t="s">
        <v>1195</v>
      </c>
      <c r="C1011" s="8" t="s">
        <v>1283</v>
      </c>
      <c r="D1011" s="8" t="s">
        <v>1300</v>
      </c>
      <c r="E1011" s="25">
        <v>-90740.25</v>
      </c>
      <c r="F1011" s="25">
        <v>0</v>
      </c>
      <c r="G1011" s="25">
        <v>-90740.25</v>
      </c>
    </row>
    <row r="1012" spans="1:7" ht="15.75" customHeight="1" x14ac:dyDescent="0.25">
      <c r="A1012" s="8" t="s">
        <v>922</v>
      </c>
      <c r="B1012" s="8" t="s">
        <v>1043</v>
      </c>
      <c r="C1012" s="8" t="s">
        <v>1283</v>
      </c>
      <c r="D1012" s="8" t="s">
        <v>1301</v>
      </c>
      <c r="E1012" s="25">
        <v>1100</v>
      </c>
      <c r="F1012" s="25">
        <v>0</v>
      </c>
      <c r="G1012" s="25">
        <v>1100</v>
      </c>
    </row>
    <row r="1013" spans="1:7" ht="15.75" customHeight="1" x14ac:dyDescent="0.25">
      <c r="A1013" s="8" t="s">
        <v>922</v>
      </c>
      <c r="B1013" s="8" t="s">
        <v>936</v>
      </c>
      <c r="C1013" s="8" t="s">
        <v>1283</v>
      </c>
      <c r="D1013" s="8" t="s">
        <v>1302</v>
      </c>
      <c r="E1013" s="25">
        <v>2846</v>
      </c>
      <c r="F1013" s="25">
        <v>0</v>
      </c>
      <c r="G1013" s="25">
        <v>2846</v>
      </c>
    </row>
    <row r="1014" spans="1:7" ht="15.75" customHeight="1" x14ac:dyDescent="0.25">
      <c r="A1014" s="8" t="s">
        <v>402</v>
      </c>
      <c r="B1014" s="8" t="s">
        <v>1192</v>
      </c>
      <c r="C1014" s="8" t="s">
        <v>1303</v>
      </c>
      <c r="D1014" s="8" t="s">
        <v>1304</v>
      </c>
      <c r="E1014" s="25">
        <v>-90663</v>
      </c>
      <c r="F1014" s="25">
        <v>0</v>
      </c>
      <c r="G1014" s="25">
        <v>-90663</v>
      </c>
    </row>
    <row r="1015" spans="1:7" ht="15.75" customHeight="1" x14ac:dyDescent="0.25">
      <c r="A1015" s="8" t="s">
        <v>402</v>
      </c>
      <c r="B1015" s="8" t="s">
        <v>1221</v>
      </c>
      <c r="C1015" s="8" t="s">
        <v>1303</v>
      </c>
      <c r="D1015" s="8" t="s">
        <v>1304</v>
      </c>
      <c r="E1015" s="25">
        <v>90663</v>
      </c>
      <c r="F1015" s="25">
        <v>0</v>
      </c>
      <c r="G1015" s="25">
        <v>90663</v>
      </c>
    </row>
    <row r="1016" spans="1:7" ht="15.75" customHeight="1" x14ac:dyDescent="0.25">
      <c r="A1016" s="8" t="s">
        <v>402</v>
      </c>
      <c r="B1016" s="8" t="s">
        <v>939</v>
      </c>
      <c r="C1016" s="8" t="s">
        <v>1305</v>
      </c>
      <c r="D1016" s="8" t="s">
        <v>1306</v>
      </c>
      <c r="E1016" s="25">
        <v>-19477</v>
      </c>
      <c r="F1016" s="25">
        <v>0</v>
      </c>
      <c r="G1016" s="25">
        <v>-19477</v>
      </c>
    </row>
    <row r="1017" spans="1:7" ht="15.75" customHeight="1" x14ac:dyDescent="0.25">
      <c r="A1017" s="8" t="s">
        <v>402</v>
      </c>
      <c r="B1017" s="8" t="s">
        <v>950</v>
      </c>
      <c r="C1017" s="8" t="s">
        <v>1305</v>
      </c>
      <c r="D1017" s="8" t="s">
        <v>1307</v>
      </c>
      <c r="E1017" s="25">
        <v>7575.75</v>
      </c>
      <c r="F1017" s="25">
        <v>0</v>
      </c>
      <c r="G1017" s="25">
        <v>7575.75</v>
      </c>
    </row>
    <row r="1018" spans="1:7" ht="15.75" customHeight="1" x14ac:dyDescent="0.25">
      <c r="A1018" s="8" t="s">
        <v>402</v>
      </c>
      <c r="B1018" s="8" t="s">
        <v>950</v>
      </c>
      <c r="C1018" s="8" t="s">
        <v>1305</v>
      </c>
      <c r="D1018" s="8" t="s">
        <v>1308</v>
      </c>
      <c r="E1018" s="25">
        <v>-10</v>
      </c>
      <c r="F1018" s="25">
        <v>0</v>
      </c>
      <c r="G1018" s="25">
        <v>-10</v>
      </c>
    </row>
    <row r="1019" spans="1:7" ht="15.75" customHeight="1" x14ac:dyDescent="0.25">
      <c r="A1019" s="8" t="s">
        <v>402</v>
      </c>
      <c r="B1019" s="8" t="s">
        <v>1074</v>
      </c>
      <c r="C1019" s="8" t="s">
        <v>1305</v>
      </c>
      <c r="D1019" s="8" t="s">
        <v>1309</v>
      </c>
      <c r="E1019" s="25">
        <v>-17000</v>
      </c>
      <c r="F1019" s="25">
        <v>0</v>
      </c>
      <c r="G1019" s="25">
        <v>-17000</v>
      </c>
    </row>
    <row r="1020" spans="1:7" ht="15.75" customHeight="1" x14ac:dyDescent="0.25">
      <c r="A1020" s="8" t="s">
        <v>402</v>
      </c>
      <c r="B1020" s="8" t="s">
        <v>1074</v>
      </c>
      <c r="C1020" s="8" t="s">
        <v>1305</v>
      </c>
      <c r="D1020" s="8" t="s">
        <v>1310</v>
      </c>
      <c r="E1020" s="25">
        <v>-10</v>
      </c>
      <c r="F1020" s="25">
        <v>0</v>
      </c>
      <c r="G1020" s="25">
        <v>-10</v>
      </c>
    </row>
    <row r="1021" spans="1:7" ht="15.75" customHeight="1" x14ac:dyDescent="0.25">
      <c r="A1021" s="8" t="s">
        <v>402</v>
      </c>
      <c r="B1021" s="8" t="s">
        <v>932</v>
      </c>
      <c r="C1021" s="8" t="s">
        <v>1305</v>
      </c>
      <c r="D1021" s="8" t="s">
        <v>1311</v>
      </c>
      <c r="E1021" s="25">
        <v>-10000</v>
      </c>
      <c r="F1021" s="25">
        <v>0</v>
      </c>
      <c r="G1021" s="25">
        <v>-10000</v>
      </c>
    </row>
    <row r="1022" spans="1:7" ht="15.75" customHeight="1" x14ac:dyDescent="0.25">
      <c r="A1022" s="8" t="s">
        <v>402</v>
      </c>
      <c r="B1022" s="8" t="s">
        <v>936</v>
      </c>
      <c r="C1022" s="8" t="s">
        <v>1305</v>
      </c>
      <c r="D1022" s="8" t="s">
        <v>1312</v>
      </c>
      <c r="E1022" s="25">
        <v>-2000</v>
      </c>
      <c r="F1022" s="25">
        <v>0</v>
      </c>
      <c r="G1022" s="25">
        <v>-2000</v>
      </c>
    </row>
    <row r="1023" spans="1:7" ht="15.75" customHeight="1" x14ac:dyDescent="0.25">
      <c r="A1023" s="8" t="s">
        <v>402</v>
      </c>
      <c r="B1023" s="8" t="s">
        <v>1204</v>
      </c>
      <c r="C1023" s="8" t="s">
        <v>1305</v>
      </c>
      <c r="D1023" s="8" t="s">
        <v>1313</v>
      </c>
      <c r="E1023" s="25">
        <v>-6400</v>
      </c>
      <c r="F1023" s="25">
        <v>0</v>
      </c>
      <c r="G1023" s="25">
        <v>-6400</v>
      </c>
    </row>
    <row r="1024" spans="1:7" ht="15.75" customHeight="1" x14ac:dyDescent="0.25">
      <c r="A1024" s="8" t="s">
        <v>402</v>
      </c>
      <c r="B1024" s="8" t="s">
        <v>953</v>
      </c>
      <c r="C1024" s="8" t="s">
        <v>1305</v>
      </c>
      <c r="D1024" s="8" t="s">
        <v>1314</v>
      </c>
      <c r="E1024" s="25">
        <v>-1000</v>
      </c>
      <c r="F1024" s="25">
        <v>0</v>
      </c>
      <c r="G1024" s="25">
        <v>-1000</v>
      </c>
    </row>
    <row r="1025" spans="1:7" ht="15.75" customHeight="1" x14ac:dyDescent="0.25">
      <c r="A1025" s="8" t="s">
        <v>402</v>
      </c>
      <c r="B1025" s="8" t="s">
        <v>1207</v>
      </c>
      <c r="C1025" s="8" t="s">
        <v>1305</v>
      </c>
      <c r="D1025" s="8" t="s">
        <v>1315</v>
      </c>
      <c r="E1025" s="25">
        <v>-10000</v>
      </c>
      <c r="F1025" s="25">
        <v>0</v>
      </c>
      <c r="G1025" s="25">
        <v>-10000</v>
      </c>
    </row>
    <row r="1026" spans="1:7" ht="15.75" customHeight="1" x14ac:dyDescent="0.25">
      <c r="A1026" s="8" t="s">
        <v>402</v>
      </c>
      <c r="B1026" s="8" t="s">
        <v>1209</v>
      </c>
      <c r="C1026" s="8" t="s">
        <v>1305</v>
      </c>
      <c r="D1026" s="8" t="s">
        <v>1316</v>
      </c>
      <c r="E1026" s="25">
        <v>-25000</v>
      </c>
      <c r="F1026" s="25">
        <v>0</v>
      </c>
      <c r="G1026" s="25">
        <v>-25000</v>
      </c>
    </row>
    <row r="1027" spans="1:7" ht="15.75" customHeight="1" x14ac:dyDescent="0.25">
      <c r="A1027" s="8" t="s">
        <v>402</v>
      </c>
      <c r="B1027" s="8" t="s">
        <v>985</v>
      </c>
      <c r="C1027" s="8" t="s">
        <v>1305</v>
      </c>
      <c r="D1027" s="8" t="s">
        <v>1317</v>
      </c>
      <c r="E1027" s="25">
        <v>-2500</v>
      </c>
      <c r="F1027" s="25">
        <v>0</v>
      </c>
      <c r="G1027" s="25">
        <v>-2500</v>
      </c>
    </row>
    <row r="1028" spans="1:7" ht="15.75" customHeight="1" x14ac:dyDescent="0.25">
      <c r="A1028" s="8" t="s">
        <v>402</v>
      </c>
      <c r="B1028" s="8" t="s">
        <v>1141</v>
      </c>
      <c r="C1028" s="8" t="s">
        <v>1305</v>
      </c>
      <c r="D1028" s="8" t="s">
        <v>1318</v>
      </c>
      <c r="E1028" s="25">
        <v>-1000</v>
      </c>
      <c r="F1028" s="25">
        <v>0</v>
      </c>
      <c r="G1028" s="25">
        <v>-1000</v>
      </c>
    </row>
    <row r="1029" spans="1:7" ht="15.75" customHeight="1" x14ac:dyDescent="0.25">
      <c r="A1029" s="8" t="s">
        <v>402</v>
      </c>
      <c r="B1029" s="8" t="s">
        <v>1213</v>
      </c>
      <c r="C1029" s="8" t="s">
        <v>1305</v>
      </c>
      <c r="D1029" s="8" t="s">
        <v>1319</v>
      </c>
      <c r="E1029" s="25">
        <v>-1400</v>
      </c>
      <c r="F1029" s="25">
        <v>0</v>
      </c>
      <c r="G1029" s="25">
        <v>-1400</v>
      </c>
    </row>
    <row r="1030" spans="1:7" ht="15.75" customHeight="1" x14ac:dyDescent="0.25">
      <c r="A1030" s="8" t="s">
        <v>402</v>
      </c>
      <c r="B1030" s="8" t="s">
        <v>1013</v>
      </c>
      <c r="C1030" s="8" t="s">
        <v>1305</v>
      </c>
      <c r="D1030" s="8" t="s">
        <v>1320</v>
      </c>
      <c r="E1030" s="25">
        <v>-5</v>
      </c>
      <c r="F1030" s="25">
        <v>0</v>
      </c>
      <c r="G1030" s="25">
        <v>-5</v>
      </c>
    </row>
    <row r="1031" spans="1:7" ht="15.75" customHeight="1" x14ac:dyDescent="0.25">
      <c r="A1031" s="8" t="s">
        <v>402</v>
      </c>
      <c r="B1031" s="8" t="s">
        <v>1013</v>
      </c>
      <c r="C1031" s="8" t="s">
        <v>1305</v>
      </c>
      <c r="D1031" s="8" t="s">
        <v>1321</v>
      </c>
      <c r="E1031" s="25">
        <v>1432</v>
      </c>
      <c r="F1031" s="25">
        <v>0</v>
      </c>
      <c r="G1031" s="25">
        <v>1432</v>
      </c>
    </row>
    <row r="1032" spans="1:7" ht="15.75" customHeight="1" x14ac:dyDescent="0.25">
      <c r="A1032" s="8" t="s">
        <v>402</v>
      </c>
      <c r="B1032" s="8" t="s">
        <v>1195</v>
      </c>
      <c r="C1032" s="8" t="s">
        <v>1305</v>
      </c>
      <c r="D1032" s="8" t="s">
        <v>1322</v>
      </c>
      <c r="E1032" s="25">
        <v>90740.25</v>
      </c>
      <c r="F1032" s="25">
        <v>0</v>
      </c>
      <c r="G1032" s="25">
        <v>90740.25</v>
      </c>
    </row>
    <row r="1033" spans="1:7" ht="15.75" customHeight="1" x14ac:dyDescent="0.25">
      <c r="A1033" s="8" t="s">
        <v>402</v>
      </c>
      <c r="B1033" s="8" t="s">
        <v>1043</v>
      </c>
      <c r="C1033" s="8" t="s">
        <v>1305</v>
      </c>
      <c r="D1033" s="8" t="s">
        <v>1323</v>
      </c>
      <c r="E1033" s="25">
        <v>-1100</v>
      </c>
      <c r="F1033" s="25">
        <v>0</v>
      </c>
      <c r="G1033" s="25">
        <v>-1100</v>
      </c>
    </row>
    <row r="1034" spans="1:7" ht="15.75" customHeight="1" x14ac:dyDescent="0.25">
      <c r="A1034" s="8" t="s">
        <v>402</v>
      </c>
      <c r="B1034" s="8" t="s">
        <v>936</v>
      </c>
      <c r="C1034" s="8" t="s">
        <v>1305</v>
      </c>
      <c r="D1034" s="8" t="s">
        <v>1324</v>
      </c>
      <c r="E1034" s="25">
        <v>-2846</v>
      </c>
      <c r="F1034" s="25">
        <v>0</v>
      </c>
      <c r="G1034" s="25">
        <v>-2846</v>
      </c>
    </row>
    <row r="1035" spans="1:7" ht="15.75" customHeight="1" x14ac:dyDescent="0.25">
      <c r="A1035" s="8" t="s">
        <v>402</v>
      </c>
      <c r="B1035" s="8" t="s">
        <v>1227</v>
      </c>
      <c r="C1035" s="8" t="s">
        <v>1325</v>
      </c>
      <c r="D1035" s="8" t="s">
        <v>1326</v>
      </c>
      <c r="E1035" s="25">
        <v>342.5</v>
      </c>
      <c r="F1035" s="25">
        <v>0</v>
      </c>
      <c r="G1035" s="25">
        <v>342.5</v>
      </c>
    </row>
    <row r="1036" spans="1:7" ht="15.75" customHeight="1" x14ac:dyDescent="0.25">
      <c r="A1036" s="8" t="s">
        <v>583</v>
      </c>
      <c r="B1036" s="8" t="s">
        <v>1225</v>
      </c>
      <c r="C1036" s="8" t="s">
        <v>70</v>
      </c>
      <c r="D1036" s="8" t="s">
        <v>1327</v>
      </c>
      <c r="E1036" s="25">
        <v>30189.84</v>
      </c>
      <c r="F1036" s="25">
        <v>0</v>
      </c>
      <c r="G1036" s="25">
        <v>30189.84</v>
      </c>
    </row>
    <row r="1037" spans="1:7" ht="15.75" customHeight="1" x14ac:dyDescent="0.25">
      <c r="A1037" s="8" t="s">
        <v>1005</v>
      </c>
      <c r="B1037" s="8" t="s">
        <v>1207</v>
      </c>
      <c r="C1037" s="8" t="s">
        <v>1328</v>
      </c>
      <c r="D1037" s="8" t="s">
        <v>1329</v>
      </c>
      <c r="E1037" s="25">
        <v>6730.78</v>
      </c>
      <c r="F1037" s="25">
        <v>0</v>
      </c>
      <c r="G1037" s="25">
        <v>6730.78</v>
      </c>
    </row>
    <row r="1038" spans="1:7" ht="15.75" customHeight="1" x14ac:dyDescent="0.25">
      <c r="A1038" s="8" t="s">
        <v>1005</v>
      </c>
      <c r="B1038" s="8" t="s">
        <v>1207</v>
      </c>
      <c r="C1038" s="8" t="s">
        <v>1328</v>
      </c>
      <c r="D1038" s="8" t="s">
        <v>1329</v>
      </c>
      <c r="E1038" s="25">
        <v>7692.31</v>
      </c>
      <c r="F1038" s="25">
        <v>0</v>
      </c>
      <c r="G1038" s="25">
        <v>7692.31</v>
      </c>
    </row>
    <row r="1039" spans="1:7" ht="15.75" customHeight="1" x14ac:dyDescent="0.25">
      <c r="A1039" s="8" t="s">
        <v>1005</v>
      </c>
      <c r="B1039" s="8" t="s">
        <v>1207</v>
      </c>
      <c r="C1039" s="8" t="s">
        <v>1328</v>
      </c>
      <c r="D1039" s="8" t="s">
        <v>1329</v>
      </c>
      <c r="E1039" s="25">
        <v>3269.22</v>
      </c>
      <c r="F1039" s="25">
        <v>0</v>
      </c>
      <c r="G1039" s="25">
        <v>3269.22</v>
      </c>
    </row>
    <row r="1040" spans="1:7" ht="15.75" customHeight="1" x14ac:dyDescent="0.25">
      <c r="A1040" s="8" t="s">
        <v>1005</v>
      </c>
      <c r="B1040" s="8" t="s">
        <v>1207</v>
      </c>
      <c r="C1040" s="8" t="s">
        <v>1328</v>
      </c>
      <c r="D1040" s="8" t="s">
        <v>1329</v>
      </c>
      <c r="E1040" s="25">
        <v>6244.92</v>
      </c>
      <c r="F1040" s="25">
        <v>0</v>
      </c>
      <c r="G1040" s="25">
        <v>6244.92</v>
      </c>
    </row>
    <row r="1041" spans="1:7" ht="15.75" customHeight="1" x14ac:dyDescent="0.25">
      <c r="A1041" s="8" t="s">
        <v>1005</v>
      </c>
      <c r="B1041" s="8" t="s">
        <v>1207</v>
      </c>
      <c r="C1041" s="8" t="s">
        <v>1328</v>
      </c>
      <c r="D1041" s="8" t="s">
        <v>1329</v>
      </c>
      <c r="E1041" s="25">
        <v>10576.92</v>
      </c>
      <c r="F1041" s="25">
        <v>0</v>
      </c>
      <c r="G1041" s="25">
        <v>10576.92</v>
      </c>
    </row>
    <row r="1042" spans="1:7" ht="15.75" customHeight="1" x14ac:dyDescent="0.25">
      <c r="A1042" s="8" t="s">
        <v>1005</v>
      </c>
      <c r="B1042" s="8" t="s">
        <v>1209</v>
      </c>
      <c r="C1042" s="8" t="s">
        <v>1328</v>
      </c>
      <c r="D1042" s="8" t="s">
        <v>1329</v>
      </c>
      <c r="E1042" s="25">
        <v>8493.84</v>
      </c>
      <c r="F1042" s="25">
        <v>0</v>
      </c>
      <c r="G1042" s="25">
        <v>8493.84</v>
      </c>
    </row>
    <row r="1043" spans="1:7" ht="15.75" customHeight="1" x14ac:dyDescent="0.25">
      <c r="A1043" s="8" t="s">
        <v>1005</v>
      </c>
      <c r="B1043" s="8" t="s">
        <v>1232</v>
      </c>
      <c r="C1043" s="8" t="s">
        <v>1328</v>
      </c>
      <c r="D1043" s="8" t="s">
        <v>1330</v>
      </c>
      <c r="E1043" s="25">
        <v>-1974</v>
      </c>
      <c r="F1043" s="25">
        <v>0</v>
      </c>
      <c r="G1043" s="25">
        <v>-1974</v>
      </c>
    </row>
    <row r="1044" spans="1:7" ht="15.75" customHeight="1" x14ac:dyDescent="0.25">
      <c r="A1044" s="8" t="s">
        <v>1005</v>
      </c>
      <c r="B1044" s="8" t="s">
        <v>1232</v>
      </c>
      <c r="C1044" s="8" t="s">
        <v>1328</v>
      </c>
      <c r="D1044" s="8" t="s">
        <v>1330</v>
      </c>
      <c r="E1044" s="25">
        <v>-1942</v>
      </c>
      <c r="F1044" s="25">
        <v>0</v>
      </c>
      <c r="G1044" s="25">
        <v>-1942</v>
      </c>
    </row>
    <row r="1045" spans="1:7" ht="15.75" customHeight="1" x14ac:dyDescent="0.25">
      <c r="A1045" s="8" t="s">
        <v>1005</v>
      </c>
      <c r="B1045" s="8" t="s">
        <v>1232</v>
      </c>
      <c r="C1045" s="8" t="s">
        <v>1328</v>
      </c>
      <c r="D1045" s="8" t="s">
        <v>1330</v>
      </c>
      <c r="E1045" s="25">
        <v>-696</v>
      </c>
      <c r="F1045" s="25">
        <v>0</v>
      </c>
      <c r="G1045" s="25">
        <v>-696</v>
      </c>
    </row>
    <row r="1046" spans="1:7" ht="15.75" customHeight="1" x14ac:dyDescent="0.25">
      <c r="A1046" s="8" t="s">
        <v>1005</v>
      </c>
      <c r="B1046" s="8" t="s">
        <v>1232</v>
      </c>
      <c r="C1046" s="8" t="s">
        <v>1328</v>
      </c>
      <c r="D1046" s="8" t="s">
        <v>1330</v>
      </c>
      <c r="E1046" s="25">
        <v>-4488</v>
      </c>
      <c r="F1046" s="25">
        <v>0</v>
      </c>
      <c r="G1046" s="25">
        <v>-4488</v>
      </c>
    </row>
    <row r="1047" spans="1:7" ht="15.75" customHeight="1" x14ac:dyDescent="0.25">
      <c r="A1047" s="8" t="s">
        <v>1005</v>
      </c>
      <c r="B1047" s="8" t="s">
        <v>1232</v>
      </c>
      <c r="C1047" s="8" t="s">
        <v>1328</v>
      </c>
      <c r="D1047" s="8" t="s">
        <v>1330</v>
      </c>
      <c r="E1047" s="25">
        <v>-2822</v>
      </c>
      <c r="F1047" s="25">
        <v>0</v>
      </c>
      <c r="G1047" s="25">
        <v>-2822</v>
      </c>
    </row>
    <row r="1048" spans="1:7" ht="15.75" customHeight="1" x14ac:dyDescent="0.25">
      <c r="A1048" s="8" t="s">
        <v>1005</v>
      </c>
      <c r="B1048" s="8" t="s">
        <v>1234</v>
      </c>
      <c r="C1048" s="8" t="s">
        <v>1328</v>
      </c>
      <c r="D1048" s="8" t="s">
        <v>1331</v>
      </c>
      <c r="E1048" s="25">
        <v>673.08</v>
      </c>
      <c r="F1048" s="25">
        <v>0</v>
      </c>
      <c r="G1048" s="25">
        <v>673.08</v>
      </c>
    </row>
    <row r="1049" spans="1:7" ht="15.75" customHeight="1" x14ac:dyDescent="0.25">
      <c r="A1049" s="8" t="s">
        <v>1005</v>
      </c>
      <c r="B1049" s="8" t="s">
        <v>1234</v>
      </c>
      <c r="C1049" s="8" t="s">
        <v>1328</v>
      </c>
      <c r="D1049" s="8" t="s">
        <v>1331</v>
      </c>
      <c r="E1049" s="25">
        <v>769.23</v>
      </c>
      <c r="F1049" s="25">
        <v>0</v>
      </c>
      <c r="G1049" s="25">
        <v>769.23</v>
      </c>
    </row>
    <row r="1050" spans="1:7" ht="15.75" customHeight="1" x14ac:dyDescent="0.25">
      <c r="A1050" s="8" t="s">
        <v>1005</v>
      </c>
      <c r="B1050" s="8" t="s">
        <v>1234</v>
      </c>
      <c r="C1050" s="8" t="s">
        <v>1328</v>
      </c>
      <c r="D1050" s="8" t="s">
        <v>1331</v>
      </c>
      <c r="E1050" s="25">
        <v>326.92</v>
      </c>
      <c r="F1050" s="25">
        <v>0</v>
      </c>
      <c r="G1050" s="25">
        <v>326.92</v>
      </c>
    </row>
    <row r="1051" spans="1:7" ht="15.75" customHeight="1" x14ac:dyDescent="0.25">
      <c r="A1051" s="8" t="s">
        <v>1005</v>
      </c>
      <c r="B1051" s="8" t="s">
        <v>1234</v>
      </c>
      <c r="C1051" s="8" t="s">
        <v>1328</v>
      </c>
      <c r="D1051" s="8" t="s">
        <v>1331</v>
      </c>
      <c r="E1051" s="25">
        <v>1421.08</v>
      </c>
      <c r="F1051" s="25">
        <v>0</v>
      </c>
      <c r="G1051" s="25">
        <v>1421.08</v>
      </c>
    </row>
    <row r="1052" spans="1:7" ht="15.75" customHeight="1" x14ac:dyDescent="0.25">
      <c r="A1052" s="8" t="s">
        <v>1005</v>
      </c>
      <c r="B1052" s="8" t="s">
        <v>1234</v>
      </c>
      <c r="C1052" s="8" t="s">
        <v>1328</v>
      </c>
      <c r="D1052" s="8" t="s">
        <v>1331</v>
      </c>
      <c r="E1052" s="25">
        <v>1057.69</v>
      </c>
      <c r="F1052" s="25">
        <v>0</v>
      </c>
      <c r="G1052" s="25">
        <v>1057.69</v>
      </c>
    </row>
    <row r="1053" spans="1:7" ht="15.75" customHeight="1" x14ac:dyDescent="0.25">
      <c r="A1053" s="8" t="s">
        <v>1005</v>
      </c>
      <c r="B1053" s="8" t="s">
        <v>1236</v>
      </c>
      <c r="C1053" s="8" t="s">
        <v>1328</v>
      </c>
      <c r="D1053" s="8" t="s">
        <v>1332</v>
      </c>
      <c r="E1053" s="25">
        <v>-873.08</v>
      </c>
      <c r="F1053" s="25">
        <v>0</v>
      </c>
      <c r="G1053" s="25">
        <v>-873.08</v>
      </c>
    </row>
    <row r="1054" spans="1:7" ht="15.75" customHeight="1" x14ac:dyDescent="0.25">
      <c r="A1054" s="8" t="s">
        <v>1005</v>
      </c>
      <c r="B1054" s="8" t="s">
        <v>1236</v>
      </c>
      <c r="C1054" s="8" t="s">
        <v>1328</v>
      </c>
      <c r="D1054" s="8" t="s">
        <v>1332</v>
      </c>
      <c r="E1054" s="25">
        <v>-769.23</v>
      </c>
      <c r="F1054" s="25">
        <v>0</v>
      </c>
      <c r="G1054" s="25">
        <v>-769.23</v>
      </c>
    </row>
    <row r="1055" spans="1:7" ht="15.75" customHeight="1" x14ac:dyDescent="0.25">
      <c r="A1055" s="8" t="s">
        <v>1005</v>
      </c>
      <c r="B1055" s="8" t="s">
        <v>1236</v>
      </c>
      <c r="C1055" s="8" t="s">
        <v>1328</v>
      </c>
      <c r="D1055" s="8" t="s">
        <v>1332</v>
      </c>
      <c r="E1055" s="25">
        <v>-523.07000000000005</v>
      </c>
      <c r="F1055" s="25">
        <v>0</v>
      </c>
      <c r="G1055" s="25">
        <v>-523.07000000000005</v>
      </c>
    </row>
    <row r="1056" spans="1:7" ht="15.75" customHeight="1" x14ac:dyDescent="0.25">
      <c r="A1056" s="8" t="s">
        <v>1005</v>
      </c>
      <c r="B1056" s="8" t="s">
        <v>1236</v>
      </c>
      <c r="C1056" s="8" t="s">
        <v>1328</v>
      </c>
      <c r="D1056" s="8" t="s">
        <v>1332</v>
      </c>
      <c r="E1056" s="25">
        <v>-1921.08</v>
      </c>
      <c r="F1056" s="25">
        <v>0</v>
      </c>
      <c r="G1056" s="25">
        <v>-1921.08</v>
      </c>
    </row>
    <row r="1057" spans="1:7" ht="15.75" customHeight="1" x14ac:dyDescent="0.25">
      <c r="A1057" s="8" t="s">
        <v>1005</v>
      </c>
      <c r="B1057" s="8" t="s">
        <v>1236</v>
      </c>
      <c r="C1057" s="8" t="s">
        <v>1328</v>
      </c>
      <c r="D1057" s="8" t="s">
        <v>1332</v>
      </c>
      <c r="E1057" s="25">
        <v>-1057.69</v>
      </c>
      <c r="F1057" s="25">
        <v>0</v>
      </c>
      <c r="G1057" s="25">
        <v>-1057.69</v>
      </c>
    </row>
    <row r="1058" spans="1:7" ht="15.75" customHeight="1" x14ac:dyDescent="0.25">
      <c r="A1058" s="8" t="s">
        <v>1005</v>
      </c>
      <c r="B1058" s="8" t="s">
        <v>1225</v>
      </c>
      <c r="C1058" s="8" t="s">
        <v>1328</v>
      </c>
      <c r="D1058" s="8" t="s">
        <v>1333</v>
      </c>
      <c r="E1058" s="25">
        <v>-30189.84</v>
      </c>
      <c r="F1058" s="25">
        <v>0</v>
      </c>
      <c r="G1058" s="25">
        <v>-30189.84</v>
      </c>
    </row>
    <row r="1059" spans="1:7" ht="15.75" customHeight="1" x14ac:dyDescent="0.25">
      <c r="A1059" s="8" t="s">
        <v>1005</v>
      </c>
      <c r="B1059" s="8" t="s">
        <v>1209</v>
      </c>
      <c r="C1059" s="8" t="s">
        <v>1334</v>
      </c>
      <c r="D1059" s="8" t="s">
        <v>1335</v>
      </c>
      <c r="E1059" s="25">
        <v>-2752</v>
      </c>
      <c r="F1059" s="25">
        <v>0</v>
      </c>
      <c r="G1059" s="25">
        <v>-2752</v>
      </c>
    </row>
    <row r="1060" spans="1:7" ht="15.75" customHeight="1" x14ac:dyDescent="0.25">
      <c r="A1060" s="8" t="s">
        <v>1005</v>
      </c>
      <c r="B1060" s="8" t="s">
        <v>1232</v>
      </c>
      <c r="C1060" s="8" t="s">
        <v>1334</v>
      </c>
      <c r="D1060" s="8" t="s">
        <v>1336</v>
      </c>
      <c r="E1060" s="25">
        <v>1152</v>
      </c>
      <c r="F1060" s="25">
        <v>0</v>
      </c>
      <c r="G1060" s="25">
        <v>1152</v>
      </c>
    </row>
    <row r="1061" spans="1:7" ht="15.75" customHeight="1" x14ac:dyDescent="0.25">
      <c r="A1061" s="8" t="s">
        <v>1005</v>
      </c>
      <c r="B1061" s="8" t="s">
        <v>1234</v>
      </c>
      <c r="C1061" s="8" t="s">
        <v>1334</v>
      </c>
      <c r="D1061" s="8" t="s">
        <v>1337</v>
      </c>
      <c r="E1061" s="25">
        <v>-275.2</v>
      </c>
      <c r="F1061" s="25">
        <v>0</v>
      </c>
      <c r="G1061" s="25">
        <v>-275.2</v>
      </c>
    </row>
    <row r="1062" spans="1:7" ht="15.75" customHeight="1" x14ac:dyDescent="0.25">
      <c r="A1062" s="8" t="s">
        <v>1005</v>
      </c>
      <c r="B1062" s="8" t="s">
        <v>1236</v>
      </c>
      <c r="C1062" s="8" t="s">
        <v>1334</v>
      </c>
      <c r="D1062" s="8" t="s">
        <v>1338</v>
      </c>
      <c r="E1062" s="25">
        <v>275.2</v>
      </c>
      <c r="F1062" s="25">
        <v>0</v>
      </c>
      <c r="G1062" s="25">
        <v>275.2</v>
      </c>
    </row>
    <row r="1063" spans="1:7" ht="15.75" customHeight="1" x14ac:dyDescent="0.25">
      <c r="A1063" s="8" t="s">
        <v>1005</v>
      </c>
      <c r="B1063" s="8" t="s">
        <v>1225</v>
      </c>
      <c r="C1063" s="8" t="s">
        <v>1334</v>
      </c>
      <c r="D1063" s="8" t="s">
        <v>1339</v>
      </c>
      <c r="E1063" s="25">
        <v>1600</v>
      </c>
      <c r="F1063" s="25">
        <v>0</v>
      </c>
      <c r="G1063" s="25">
        <v>1600</v>
      </c>
    </row>
    <row r="1064" spans="1:7" ht="15.75" customHeight="1" x14ac:dyDescent="0.25">
      <c r="A1064" s="8" t="s">
        <v>1005</v>
      </c>
      <c r="B1064" s="8" t="s">
        <v>1225</v>
      </c>
      <c r="C1064" s="8" t="s">
        <v>70</v>
      </c>
      <c r="D1064" s="8" t="s">
        <v>1340</v>
      </c>
      <c r="E1064" s="25">
        <v>-1600</v>
      </c>
      <c r="F1064" s="25">
        <v>0</v>
      </c>
      <c r="G1064" s="25">
        <v>-1600</v>
      </c>
    </row>
    <row r="1065" spans="1:7" ht="15.75" customHeight="1" x14ac:dyDescent="0.25">
      <c r="A1065" s="8" t="s">
        <v>1005</v>
      </c>
      <c r="B1065" s="8" t="s">
        <v>1222</v>
      </c>
      <c r="C1065" s="8" t="s">
        <v>1341</v>
      </c>
      <c r="D1065" s="8" t="s">
        <v>1224</v>
      </c>
      <c r="E1065" s="25">
        <v>-1171.5</v>
      </c>
      <c r="F1065" s="25">
        <v>0</v>
      </c>
      <c r="G1065" s="25">
        <v>-1171.5</v>
      </c>
    </row>
    <row r="1066" spans="1:7" ht="15.75" customHeight="1" x14ac:dyDescent="0.25">
      <c r="A1066" s="8" t="s">
        <v>587</v>
      </c>
      <c r="B1066" s="8" t="s">
        <v>1232</v>
      </c>
      <c r="C1066" s="8" t="s">
        <v>1342</v>
      </c>
      <c r="D1066" s="8" t="s">
        <v>1343</v>
      </c>
      <c r="E1066" s="25">
        <v>21178</v>
      </c>
      <c r="F1066" s="25">
        <v>0</v>
      </c>
      <c r="G1066" s="25">
        <v>21178</v>
      </c>
    </row>
    <row r="1067" spans="1:7" ht="15.75" customHeight="1" x14ac:dyDescent="0.25">
      <c r="A1067" s="8" t="s">
        <v>587</v>
      </c>
      <c r="B1067" s="8" t="s">
        <v>1344</v>
      </c>
      <c r="C1067" s="8" t="s">
        <v>1342</v>
      </c>
      <c r="D1067" s="8" t="s">
        <v>1343</v>
      </c>
      <c r="E1067" s="25">
        <v>32596</v>
      </c>
      <c r="F1067" s="25">
        <v>0</v>
      </c>
      <c r="G1067" s="25">
        <v>32596</v>
      </c>
    </row>
    <row r="1068" spans="1:7" ht="15.75" customHeight="1" x14ac:dyDescent="0.25">
      <c r="A1068" s="8" t="s">
        <v>587</v>
      </c>
      <c r="B1068" s="8" t="s">
        <v>1345</v>
      </c>
      <c r="C1068" s="8" t="s">
        <v>1342</v>
      </c>
      <c r="D1068" s="8" t="s">
        <v>1343</v>
      </c>
      <c r="E1068" s="25">
        <v>-53774</v>
      </c>
      <c r="F1068" s="25">
        <v>0</v>
      </c>
      <c r="G1068" s="25">
        <v>-53774</v>
      </c>
    </row>
    <row r="1069" spans="1:7" ht="15.75" customHeight="1" x14ac:dyDescent="0.25">
      <c r="A1069" s="8" t="s">
        <v>587</v>
      </c>
      <c r="B1069" s="8" t="s">
        <v>1222</v>
      </c>
      <c r="C1069" s="8" t="s">
        <v>1346</v>
      </c>
      <c r="D1069" s="8" t="s">
        <v>1224</v>
      </c>
      <c r="E1069" s="25">
        <v>-220</v>
      </c>
      <c r="F1069" s="25">
        <v>0</v>
      </c>
      <c r="G1069" s="25">
        <v>-220</v>
      </c>
    </row>
    <row r="1070" spans="1:7" ht="15.75" customHeight="1" x14ac:dyDescent="0.25">
      <c r="A1070" s="8" t="s">
        <v>587</v>
      </c>
      <c r="B1070" s="8" t="s">
        <v>1345</v>
      </c>
      <c r="C1070" s="8" t="s">
        <v>1347</v>
      </c>
      <c r="D1070" s="8" t="s">
        <v>1348</v>
      </c>
      <c r="E1070" s="25">
        <v>53774</v>
      </c>
      <c r="F1070" s="25">
        <v>0</v>
      </c>
      <c r="G1070" s="25">
        <v>53774</v>
      </c>
    </row>
    <row r="1071" spans="1:7" ht="15.75" customHeight="1" x14ac:dyDescent="0.25">
      <c r="A1071" s="8" t="s">
        <v>594</v>
      </c>
      <c r="B1071" s="8" t="s">
        <v>1232</v>
      </c>
      <c r="C1071" s="8" t="s">
        <v>1349</v>
      </c>
      <c r="D1071" s="8" t="s">
        <v>1350</v>
      </c>
      <c r="E1071" s="25">
        <v>20122</v>
      </c>
      <c r="F1071" s="25">
        <v>0</v>
      </c>
      <c r="G1071" s="25">
        <v>20122</v>
      </c>
    </row>
    <row r="1072" spans="1:7" ht="15.75" customHeight="1" x14ac:dyDescent="0.25">
      <c r="A1072" s="8" t="s">
        <v>594</v>
      </c>
      <c r="B1072" s="8" t="s">
        <v>1345</v>
      </c>
      <c r="C1072" s="8" t="s">
        <v>1349</v>
      </c>
      <c r="D1072" s="8" t="s">
        <v>1351</v>
      </c>
      <c r="E1072" s="25">
        <v>-20122</v>
      </c>
      <c r="F1072" s="25">
        <v>0</v>
      </c>
      <c r="G1072" s="25">
        <v>-20122</v>
      </c>
    </row>
    <row r="1073" spans="1:7" ht="15.75" customHeight="1" x14ac:dyDescent="0.25">
      <c r="A1073" s="8" t="s">
        <v>594</v>
      </c>
      <c r="B1073" s="8" t="s">
        <v>1345</v>
      </c>
      <c r="C1073" s="8" t="s">
        <v>1352</v>
      </c>
      <c r="D1073" s="8" t="s">
        <v>1353</v>
      </c>
      <c r="E1073" s="25">
        <v>20122</v>
      </c>
      <c r="F1073" s="25">
        <v>0</v>
      </c>
      <c r="G1073" s="25">
        <v>20122</v>
      </c>
    </row>
    <row r="1074" spans="1:7" ht="15.75" customHeight="1" x14ac:dyDescent="0.25">
      <c r="A1074" s="8" t="s">
        <v>605</v>
      </c>
      <c r="B1074" s="8" t="s">
        <v>1236</v>
      </c>
      <c r="C1074" s="8" t="s">
        <v>70</v>
      </c>
      <c r="D1074" s="8" t="s">
        <v>1241</v>
      </c>
      <c r="E1074" s="25">
        <v>8440.17</v>
      </c>
      <c r="F1074" s="25">
        <v>0</v>
      </c>
      <c r="G1074" s="25">
        <v>8440.17</v>
      </c>
    </row>
    <row r="1075" spans="1:7" ht="15.75" customHeight="1" x14ac:dyDescent="0.25">
      <c r="A1075" s="8" t="s">
        <v>625</v>
      </c>
      <c r="B1075" s="8" t="s">
        <v>1222</v>
      </c>
      <c r="C1075" s="8" t="s">
        <v>1354</v>
      </c>
      <c r="D1075" s="8" t="s">
        <v>1224</v>
      </c>
      <c r="E1075" s="25">
        <v>-550</v>
      </c>
      <c r="F1075" s="25">
        <v>0</v>
      </c>
      <c r="G1075" s="25">
        <v>-550</v>
      </c>
    </row>
    <row r="1076" spans="1:7" ht="15.75" customHeight="1" x14ac:dyDescent="0.25">
      <c r="A1076" s="8" t="s">
        <v>649</v>
      </c>
      <c r="B1076" s="8" t="s">
        <v>1222</v>
      </c>
      <c r="C1076" s="8" t="s">
        <v>1355</v>
      </c>
      <c r="D1076" s="8" t="s">
        <v>1224</v>
      </c>
      <c r="E1076" s="25">
        <v>-378.4</v>
      </c>
      <c r="F1076" s="25">
        <v>0</v>
      </c>
      <c r="G1076" s="25">
        <v>-378.4</v>
      </c>
    </row>
    <row r="1077" spans="1:7" ht="15.75" customHeight="1" x14ac:dyDescent="0.25">
      <c r="A1077" s="8" t="s">
        <v>655</v>
      </c>
      <c r="B1077" s="8" t="s">
        <v>1225</v>
      </c>
      <c r="C1077" s="8" t="s">
        <v>70</v>
      </c>
      <c r="D1077" s="8" t="s">
        <v>1356</v>
      </c>
      <c r="E1077" s="25">
        <v>28331.75</v>
      </c>
      <c r="F1077" s="25">
        <v>0</v>
      </c>
      <c r="G1077" s="25">
        <v>28331.75</v>
      </c>
    </row>
    <row r="1078" spans="1:7" ht="15.75" customHeight="1" x14ac:dyDescent="0.25">
      <c r="A1078" s="8" t="s">
        <v>655</v>
      </c>
      <c r="B1078" s="8" t="s">
        <v>132</v>
      </c>
      <c r="C1078" s="8" t="s">
        <v>70</v>
      </c>
      <c r="D1078" s="8" t="s">
        <v>1357</v>
      </c>
      <c r="E1078" s="25">
        <v>-1011</v>
      </c>
      <c r="F1078" s="25">
        <v>0</v>
      </c>
      <c r="G1078" s="25">
        <v>-1011</v>
      </c>
    </row>
    <row r="1079" spans="1:7" ht="15.75" customHeight="1" x14ac:dyDescent="0.25">
      <c r="A1079" s="8" t="s">
        <v>1358</v>
      </c>
      <c r="B1079" s="8" t="s">
        <v>1207</v>
      </c>
      <c r="C1079" s="8" t="s">
        <v>1359</v>
      </c>
      <c r="D1079" s="8" t="s">
        <v>1360</v>
      </c>
      <c r="E1079" s="25">
        <v>6730.77</v>
      </c>
      <c r="F1079" s="25">
        <v>0</v>
      </c>
      <c r="G1079" s="25">
        <v>6730.77</v>
      </c>
    </row>
    <row r="1080" spans="1:7" ht="15.75" customHeight="1" x14ac:dyDescent="0.25">
      <c r="A1080" s="8" t="s">
        <v>1358</v>
      </c>
      <c r="B1080" s="8" t="s">
        <v>1207</v>
      </c>
      <c r="C1080" s="8" t="s">
        <v>1359</v>
      </c>
      <c r="D1080" s="8" t="s">
        <v>1360</v>
      </c>
      <c r="E1080" s="25">
        <v>7692.31</v>
      </c>
      <c r="F1080" s="25">
        <v>0</v>
      </c>
      <c r="G1080" s="25">
        <v>7692.31</v>
      </c>
    </row>
    <row r="1081" spans="1:7" ht="15.75" customHeight="1" x14ac:dyDescent="0.25">
      <c r="A1081" s="8" t="s">
        <v>1358</v>
      </c>
      <c r="B1081" s="8" t="s">
        <v>1207</v>
      </c>
      <c r="C1081" s="8" t="s">
        <v>1359</v>
      </c>
      <c r="D1081" s="8" t="s">
        <v>1360</v>
      </c>
      <c r="E1081" s="25">
        <v>3269.23</v>
      </c>
      <c r="F1081" s="25">
        <v>0</v>
      </c>
      <c r="G1081" s="25">
        <v>3269.23</v>
      </c>
    </row>
    <row r="1082" spans="1:7" ht="15.75" customHeight="1" x14ac:dyDescent="0.25">
      <c r="A1082" s="8" t="s">
        <v>1358</v>
      </c>
      <c r="B1082" s="8" t="s">
        <v>1207</v>
      </c>
      <c r="C1082" s="8" t="s">
        <v>1359</v>
      </c>
      <c r="D1082" s="8" t="s">
        <v>1360</v>
      </c>
      <c r="E1082" s="25">
        <v>6266.92</v>
      </c>
      <c r="F1082" s="25">
        <v>0</v>
      </c>
      <c r="G1082" s="25">
        <v>6266.92</v>
      </c>
    </row>
    <row r="1083" spans="1:7" ht="15.75" customHeight="1" x14ac:dyDescent="0.25">
      <c r="A1083" s="8" t="s">
        <v>1358</v>
      </c>
      <c r="B1083" s="8" t="s">
        <v>1207</v>
      </c>
      <c r="C1083" s="8" t="s">
        <v>1359</v>
      </c>
      <c r="D1083" s="8" t="s">
        <v>1360</v>
      </c>
      <c r="E1083" s="25">
        <v>10576.92</v>
      </c>
      <c r="F1083" s="25">
        <v>0</v>
      </c>
      <c r="G1083" s="25">
        <v>10576.92</v>
      </c>
    </row>
    <row r="1084" spans="1:7" ht="15.75" customHeight="1" x14ac:dyDescent="0.25">
      <c r="A1084" s="8" t="s">
        <v>1358</v>
      </c>
      <c r="B1084" s="8" t="s">
        <v>1209</v>
      </c>
      <c r="C1084" s="8" t="s">
        <v>1359</v>
      </c>
      <c r="D1084" s="8" t="s">
        <v>1360</v>
      </c>
      <c r="E1084" s="25">
        <v>5293.75</v>
      </c>
      <c r="F1084" s="25">
        <v>0</v>
      </c>
      <c r="G1084" s="25">
        <v>5293.75</v>
      </c>
    </row>
    <row r="1085" spans="1:7" ht="15.75" customHeight="1" x14ac:dyDescent="0.25">
      <c r="A1085" s="8" t="s">
        <v>1358</v>
      </c>
      <c r="B1085" s="8" t="s">
        <v>1232</v>
      </c>
      <c r="C1085" s="8" t="s">
        <v>1359</v>
      </c>
      <c r="D1085" s="8" t="s">
        <v>1361</v>
      </c>
      <c r="E1085" s="25">
        <v>-1974</v>
      </c>
      <c r="F1085" s="25">
        <v>0</v>
      </c>
      <c r="G1085" s="25">
        <v>-1974</v>
      </c>
    </row>
    <row r="1086" spans="1:7" ht="15.75" customHeight="1" x14ac:dyDescent="0.25">
      <c r="A1086" s="8" t="s">
        <v>1358</v>
      </c>
      <c r="B1086" s="8" t="s">
        <v>1232</v>
      </c>
      <c r="C1086" s="8" t="s">
        <v>1359</v>
      </c>
      <c r="D1086" s="8" t="s">
        <v>1361</v>
      </c>
      <c r="E1086" s="25">
        <v>-1942</v>
      </c>
      <c r="F1086" s="25">
        <v>0</v>
      </c>
      <c r="G1086" s="25">
        <v>-1942</v>
      </c>
    </row>
    <row r="1087" spans="1:7" ht="15.75" customHeight="1" x14ac:dyDescent="0.25">
      <c r="A1087" s="8" t="s">
        <v>1358</v>
      </c>
      <c r="B1087" s="8" t="s">
        <v>1232</v>
      </c>
      <c r="C1087" s="8" t="s">
        <v>1359</v>
      </c>
      <c r="D1087" s="8" t="s">
        <v>1361</v>
      </c>
      <c r="E1087" s="25">
        <v>-696</v>
      </c>
      <c r="F1087" s="25">
        <v>0</v>
      </c>
      <c r="G1087" s="25">
        <v>-696</v>
      </c>
    </row>
    <row r="1088" spans="1:7" ht="15.75" customHeight="1" x14ac:dyDescent="0.25">
      <c r="A1088" s="8" t="s">
        <v>1358</v>
      </c>
      <c r="B1088" s="8" t="s">
        <v>1232</v>
      </c>
      <c r="C1088" s="8" t="s">
        <v>1359</v>
      </c>
      <c r="D1088" s="8" t="s">
        <v>1361</v>
      </c>
      <c r="E1088" s="25">
        <v>-3168</v>
      </c>
      <c r="F1088" s="25">
        <v>0</v>
      </c>
      <c r="G1088" s="25">
        <v>-3168</v>
      </c>
    </row>
    <row r="1089" spans="1:7" ht="15.75" customHeight="1" x14ac:dyDescent="0.25">
      <c r="A1089" s="8" t="s">
        <v>1358</v>
      </c>
      <c r="B1089" s="8" t="s">
        <v>1232</v>
      </c>
      <c r="C1089" s="8" t="s">
        <v>1359</v>
      </c>
      <c r="D1089" s="8" t="s">
        <v>1361</v>
      </c>
      <c r="E1089" s="25">
        <v>-2822</v>
      </c>
      <c r="F1089" s="25">
        <v>0</v>
      </c>
      <c r="G1089" s="25">
        <v>-2822</v>
      </c>
    </row>
    <row r="1090" spans="1:7" ht="15.75" customHeight="1" x14ac:dyDescent="0.25">
      <c r="A1090" s="8" t="s">
        <v>1358</v>
      </c>
      <c r="B1090" s="8" t="s">
        <v>1234</v>
      </c>
      <c r="C1090" s="8" t="s">
        <v>1359</v>
      </c>
      <c r="D1090" s="8" t="s">
        <v>1362</v>
      </c>
      <c r="E1090" s="25">
        <v>673.08</v>
      </c>
      <c r="F1090" s="25">
        <v>0</v>
      </c>
      <c r="G1090" s="25">
        <v>673.08</v>
      </c>
    </row>
    <row r="1091" spans="1:7" ht="15.75" customHeight="1" x14ac:dyDescent="0.25">
      <c r="A1091" s="8" t="s">
        <v>1358</v>
      </c>
      <c r="B1091" s="8" t="s">
        <v>1234</v>
      </c>
      <c r="C1091" s="8" t="s">
        <v>1359</v>
      </c>
      <c r="D1091" s="8" t="s">
        <v>1362</v>
      </c>
      <c r="E1091" s="25">
        <v>769.23</v>
      </c>
      <c r="F1091" s="25">
        <v>0</v>
      </c>
      <c r="G1091" s="25">
        <v>769.23</v>
      </c>
    </row>
    <row r="1092" spans="1:7" ht="15.75" customHeight="1" x14ac:dyDescent="0.25">
      <c r="A1092" s="8" t="s">
        <v>1358</v>
      </c>
      <c r="B1092" s="8" t="s">
        <v>1234</v>
      </c>
      <c r="C1092" s="8" t="s">
        <v>1359</v>
      </c>
      <c r="D1092" s="8" t="s">
        <v>1362</v>
      </c>
      <c r="E1092" s="25">
        <v>326.92</v>
      </c>
      <c r="F1092" s="25">
        <v>0</v>
      </c>
      <c r="G1092" s="25">
        <v>326.92</v>
      </c>
    </row>
    <row r="1093" spans="1:7" ht="15.75" customHeight="1" x14ac:dyDescent="0.25">
      <c r="A1093" s="8" t="s">
        <v>1358</v>
      </c>
      <c r="B1093" s="8" t="s">
        <v>1234</v>
      </c>
      <c r="C1093" s="8" t="s">
        <v>1359</v>
      </c>
      <c r="D1093" s="8" t="s">
        <v>1362</v>
      </c>
      <c r="E1093" s="25">
        <v>1101.07</v>
      </c>
      <c r="F1093" s="25">
        <v>0</v>
      </c>
      <c r="G1093" s="25">
        <v>1101.07</v>
      </c>
    </row>
    <row r="1094" spans="1:7" ht="15.75" customHeight="1" x14ac:dyDescent="0.25">
      <c r="A1094" s="8" t="s">
        <v>1358</v>
      </c>
      <c r="B1094" s="8" t="s">
        <v>1234</v>
      </c>
      <c r="C1094" s="8" t="s">
        <v>1359</v>
      </c>
      <c r="D1094" s="8" t="s">
        <v>1362</v>
      </c>
      <c r="E1094" s="25">
        <v>1057.69</v>
      </c>
      <c r="F1094" s="25">
        <v>0</v>
      </c>
      <c r="G1094" s="25">
        <v>1057.69</v>
      </c>
    </row>
    <row r="1095" spans="1:7" ht="15.75" customHeight="1" x14ac:dyDescent="0.25">
      <c r="A1095" s="8" t="s">
        <v>1358</v>
      </c>
      <c r="B1095" s="8" t="s">
        <v>1236</v>
      </c>
      <c r="C1095" s="8" t="s">
        <v>1359</v>
      </c>
      <c r="D1095" s="8" t="s">
        <v>1363</v>
      </c>
      <c r="E1095" s="25">
        <v>-873.08</v>
      </c>
      <c r="F1095" s="25">
        <v>0</v>
      </c>
      <c r="G1095" s="25">
        <v>-873.08</v>
      </c>
    </row>
    <row r="1096" spans="1:7" ht="15.75" customHeight="1" x14ac:dyDescent="0.25">
      <c r="A1096" s="8" t="s">
        <v>1358</v>
      </c>
      <c r="B1096" s="8" t="s">
        <v>1236</v>
      </c>
      <c r="C1096" s="8" t="s">
        <v>1359</v>
      </c>
      <c r="D1096" s="8" t="s">
        <v>1363</v>
      </c>
      <c r="E1096" s="25">
        <v>-769.23</v>
      </c>
      <c r="F1096" s="25">
        <v>0</v>
      </c>
      <c r="G1096" s="25">
        <v>-769.23</v>
      </c>
    </row>
    <row r="1097" spans="1:7" ht="15.75" customHeight="1" x14ac:dyDescent="0.25">
      <c r="A1097" s="8" t="s">
        <v>1358</v>
      </c>
      <c r="B1097" s="8" t="s">
        <v>1236</v>
      </c>
      <c r="C1097" s="8" t="s">
        <v>1359</v>
      </c>
      <c r="D1097" s="8" t="s">
        <v>1363</v>
      </c>
      <c r="E1097" s="25">
        <v>-523.07000000000005</v>
      </c>
      <c r="F1097" s="25">
        <v>0</v>
      </c>
      <c r="G1097" s="25">
        <v>-523.07000000000005</v>
      </c>
    </row>
    <row r="1098" spans="1:7" ht="15.75" customHeight="1" x14ac:dyDescent="0.25">
      <c r="A1098" s="8" t="s">
        <v>1358</v>
      </c>
      <c r="B1098" s="8" t="s">
        <v>1236</v>
      </c>
      <c r="C1098" s="8" t="s">
        <v>1359</v>
      </c>
      <c r="D1098" s="8" t="s">
        <v>1363</v>
      </c>
      <c r="E1098" s="25">
        <v>-1601.07</v>
      </c>
      <c r="F1098" s="25">
        <v>0</v>
      </c>
      <c r="G1098" s="25">
        <v>-1601.07</v>
      </c>
    </row>
    <row r="1099" spans="1:7" ht="15.75" customHeight="1" x14ac:dyDescent="0.25">
      <c r="A1099" s="8" t="s">
        <v>1358</v>
      </c>
      <c r="B1099" s="8" t="s">
        <v>1236</v>
      </c>
      <c r="C1099" s="8" t="s">
        <v>1359</v>
      </c>
      <c r="D1099" s="8" t="s">
        <v>1363</v>
      </c>
      <c r="E1099" s="25">
        <v>-1057.69</v>
      </c>
      <c r="F1099" s="25">
        <v>0</v>
      </c>
      <c r="G1099" s="25">
        <v>-1057.69</v>
      </c>
    </row>
    <row r="1100" spans="1:7" ht="15.75" customHeight="1" x14ac:dyDescent="0.25">
      <c r="A1100" s="8" t="s">
        <v>1358</v>
      </c>
      <c r="B1100" s="8" t="s">
        <v>1225</v>
      </c>
      <c r="C1100" s="8" t="s">
        <v>1359</v>
      </c>
      <c r="D1100" s="8" t="s">
        <v>1364</v>
      </c>
      <c r="E1100" s="25">
        <v>-28331.75</v>
      </c>
      <c r="F1100" s="25">
        <v>0</v>
      </c>
      <c r="G1100" s="25">
        <v>-28331.75</v>
      </c>
    </row>
    <row r="1101" spans="1:7" ht="15.75" customHeight="1" x14ac:dyDescent="0.25">
      <c r="A1101" s="8" t="s">
        <v>658</v>
      </c>
      <c r="B1101" s="8" t="s">
        <v>132</v>
      </c>
      <c r="C1101" s="8" t="s">
        <v>70</v>
      </c>
      <c r="D1101" s="8" t="s">
        <v>1365</v>
      </c>
      <c r="E1101" s="25">
        <v>1011</v>
      </c>
      <c r="F1101" s="25">
        <v>0</v>
      </c>
      <c r="G1101" s="25">
        <v>1011</v>
      </c>
    </row>
    <row r="1102" spans="1:7" ht="15.75" customHeight="1" x14ac:dyDescent="0.25">
      <c r="A1102" s="8" t="s">
        <v>664</v>
      </c>
      <c r="B1102" s="8" t="s">
        <v>1366</v>
      </c>
      <c r="C1102" s="8" t="s">
        <v>70</v>
      </c>
      <c r="D1102" s="8" t="s">
        <v>1367</v>
      </c>
      <c r="E1102" s="25">
        <v>-500000</v>
      </c>
      <c r="F1102" s="25">
        <v>0</v>
      </c>
      <c r="G1102" s="25">
        <v>-500000</v>
      </c>
    </row>
    <row r="1103" spans="1:7" ht="15.75" customHeight="1" x14ac:dyDescent="0.25">
      <c r="A1103" s="8" t="s">
        <v>695</v>
      </c>
      <c r="B1103" s="8" t="s">
        <v>932</v>
      </c>
      <c r="C1103" s="8" t="s">
        <v>1368</v>
      </c>
      <c r="D1103" s="8" t="s">
        <v>1369</v>
      </c>
      <c r="E1103" s="25">
        <v>-3100</v>
      </c>
      <c r="F1103" s="25">
        <v>0</v>
      </c>
      <c r="G1103" s="25">
        <v>-3100</v>
      </c>
    </row>
    <row r="1104" spans="1:7" ht="15.75" customHeight="1" x14ac:dyDescent="0.25">
      <c r="A1104" s="8" t="s">
        <v>695</v>
      </c>
      <c r="B1104" s="8" t="s">
        <v>1141</v>
      </c>
      <c r="C1104" s="8" t="s">
        <v>1368</v>
      </c>
      <c r="D1104" s="8" t="s">
        <v>1370</v>
      </c>
      <c r="E1104" s="25">
        <v>-1500</v>
      </c>
      <c r="F1104" s="25">
        <v>0</v>
      </c>
      <c r="G1104" s="25">
        <v>-1500</v>
      </c>
    </row>
    <row r="1105" spans="1:7" ht="15.75" customHeight="1" x14ac:dyDescent="0.25">
      <c r="A1105" s="8" t="s">
        <v>695</v>
      </c>
      <c r="B1105" s="8" t="s">
        <v>1195</v>
      </c>
      <c r="C1105" s="8" t="s">
        <v>1368</v>
      </c>
      <c r="D1105" s="8" t="s">
        <v>1371</v>
      </c>
      <c r="E1105" s="25">
        <v>8100</v>
      </c>
      <c r="F1105" s="25">
        <v>0</v>
      </c>
      <c r="G1105" s="25">
        <v>8100</v>
      </c>
    </row>
    <row r="1106" spans="1:7" ht="15.75" customHeight="1" x14ac:dyDescent="0.25">
      <c r="A1106" s="8" t="s">
        <v>695</v>
      </c>
      <c r="B1106" s="8" t="s">
        <v>953</v>
      </c>
      <c r="C1106" s="8" t="s">
        <v>1368</v>
      </c>
      <c r="D1106" s="8" t="s">
        <v>1372</v>
      </c>
      <c r="E1106" s="25">
        <v>-1000</v>
      </c>
      <c r="F1106" s="25">
        <v>0</v>
      </c>
      <c r="G1106" s="25">
        <v>-1000</v>
      </c>
    </row>
    <row r="1107" spans="1:7" ht="15.75" customHeight="1" x14ac:dyDescent="0.25">
      <c r="A1107" s="8" t="s">
        <v>695</v>
      </c>
      <c r="B1107" s="8" t="s">
        <v>1013</v>
      </c>
      <c r="C1107" s="8" t="s">
        <v>1368</v>
      </c>
      <c r="D1107" s="8" t="s">
        <v>1373</v>
      </c>
      <c r="E1107" s="25">
        <v>-2500</v>
      </c>
      <c r="F1107" s="25">
        <v>0</v>
      </c>
      <c r="G1107" s="25">
        <v>-2500</v>
      </c>
    </row>
    <row r="1108" spans="1:7" ht="15.75" customHeight="1" x14ac:dyDescent="0.25">
      <c r="A1108" s="8" t="s">
        <v>695</v>
      </c>
      <c r="B1108" s="8" t="s">
        <v>939</v>
      </c>
      <c r="C1108" s="8" t="s">
        <v>1374</v>
      </c>
      <c r="D1108" s="8" t="s">
        <v>1375</v>
      </c>
      <c r="E1108" s="25">
        <v>14894</v>
      </c>
      <c r="F1108" s="25">
        <v>0</v>
      </c>
      <c r="G1108" s="25">
        <v>14894</v>
      </c>
    </row>
    <row r="1109" spans="1:7" ht="15.75" customHeight="1" x14ac:dyDescent="0.25">
      <c r="A1109" s="8" t="s">
        <v>695</v>
      </c>
      <c r="B1109" s="8" t="s">
        <v>950</v>
      </c>
      <c r="C1109" s="8" t="s">
        <v>1374</v>
      </c>
      <c r="D1109" s="8" t="s">
        <v>1376</v>
      </c>
      <c r="E1109" s="25">
        <v>-7575.75</v>
      </c>
      <c r="F1109" s="25">
        <v>0</v>
      </c>
      <c r="G1109" s="25">
        <v>-7575.75</v>
      </c>
    </row>
    <row r="1110" spans="1:7" ht="15.75" customHeight="1" x14ac:dyDescent="0.25">
      <c r="A1110" s="8" t="s">
        <v>695</v>
      </c>
      <c r="B1110" s="8" t="s">
        <v>950</v>
      </c>
      <c r="C1110" s="8" t="s">
        <v>1374</v>
      </c>
      <c r="D1110" s="8" t="s">
        <v>1377</v>
      </c>
      <c r="E1110" s="25">
        <v>10</v>
      </c>
      <c r="F1110" s="25">
        <v>0</v>
      </c>
      <c r="G1110" s="25">
        <v>10</v>
      </c>
    </row>
    <row r="1111" spans="1:7" ht="15.75" customHeight="1" x14ac:dyDescent="0.25">
      <c r="A1111" s="8" t="s">
        <v>695</v>
      </c>
      <c r="B1111" s="8" t="s">
        <v>1074</v>
      </c>
      <c r="C1111" s="8" t="s">
        <v>1374</v>
      </c>
      <c r="D1111" s="8" t="s">
        <v>1378</v>
      </c>
      <c r="E1111" s="25">
        <v>20000</v>
      </c>
      <c r="F1111" s="25">
        <v>0</v>
      </c>
      <c r="G1111" s="25">
        <v>20000</v>
      </c>
    </row>
    <row r="1112" spans="1:7" ht="15.75" customHeight="1" x14ac:dyDescent="0.25">
      <c r="A1112" s="8" t="s">
        <v>695</v>
      </c>
      <c r="B1112" s="8" t="s">
        <v>1074</v>
      </c>
      <c r="C1112" s="8" t="s">
        <v>1374</v>
      </c>
      <c r="D1112" s="8" t="s">
        <v>1379</v>
      </c>
      <c r="E1112" s="25">
        <v>10</v>
      </c>
      <c r="F1112" s="25">
        <v>0</v>
      </c>
      <c r="G1112" s="25">
        <v>10</v>
      </c>
    </row>
    <row r="1113" spans="1:7" ht="15.75" customHeight="1" x14ac:dyDescent="0.25">
      <c r="A1113" s="8" t="s">
        <v>695</v>
      </c>
      <c r="B1113" s="8" t="s">
        <v>932</v>
      </c>
      <c r="C1113" s="8" t="s">
        <v>1374</v>
      </c>
      <c r="D1113" s="8" t="s">
        <v>1380</v>
      </c>
      <c r="E1113" s="25">
        <v>12000</v>
      </c>
      <c r="F1113" s="25">
        <v>0</v>
      </c>
      <c r="G1113" s="25">
        <v>12000</v>
      </c>
    </row>
    <row r="1114" spans="1:7" ht="15.75" customHeight="1" x14ac:dyDescent="0.25">
      <c r="A1114" s="8" t="s">
        <v>695</v>
      </c>
      <c r="B1114" s="8" t="s">
        <v>936</v>
      </c>
      <c r="C1114" s="8" t="s">
        <v>1374</v>
      </c>
      <c r="D1114" s="8" t="s">
        <v>1381</v>
      </c>
      <c r="E1114" s="25">
        <v>2000</v>
      </c>
      <c r="F1114" s="25">
        <v>0</v>
      </c>
      <c r="G1114" s="25">
        <v>2000</v>
      </c>
    </row>
    <row r="1115" spans="1:7" ht="15.75" customHeight="1" x14ac:dyDescent="0.25">
      <c r="A1115" s="8" t="s">
        <v>695</v>
      </c>
      <c r="B1115" s="8" t="s">
        <v>1204</v>
      </c>
      <c r="C1115" s="8" t="s">
        <v>1374</v>
      </c>
      <c r="D1115" s="8" t="s">
        <v>1382</v>
      </c>
      <c r="E1115" s="25">
        <v>6800</v>
      </c>
      <c r="F1115" s="25">
        <v>0</v>
      </c>
      <c r="G1115" s="25">
        <v>6800</v>
      </c>
    </row>
    <row r="1116" spans="1:7" ht="15.75" customHeight="1" x14ac:dyDescent="0.25">
      <c r="A1116" s="8" t="s">
        <v>695</v>
      </c>
      <c r="B1116" s="8" t="s">
        <v>953</v>
      </c>
      <c r="C1116" s="8" t="s">
        <v>1374</v>
      </c>
      <c r="D1116" s="8" t="s">
        <v>1383</v>
      </c>
      <c r="E1116" s="25">
        <v>4000</v>
      </c>
      <c r="F1116" s="25">
        <v>0</v>
      </c>
      <c r="G1116" s="25">
        <v>4000</v>
      </c>
    </row>
    <row r="1117" spans="1:7" ht="15.75" customHeight="1" x14ac:dyDescent="0.25">
      <c r="A1117" s="8" t="s">
        <v>695</v>
      </c>
      <c r="B1117" s="8" t="s">
        <v>1207</v>
      </c>
      <c r="C1117" s="8" t="s">
        <v>1374</v>
      </c>
      <c r="D1117" s="8" t="s">
        <v>1384</v>
      </c>
      <c r="E1117" s="25">
        <v>15000</v>
      </c>
      <c r="F1117" s="25">
        <v>0</v>
      </c>
      <c r="G1117" s="25">
        <v>15000</v>
      </c>
    </row>
    <row r="1118" spans="1:7" ht="15.75" customHeight="1" x14ac:dyDescent="0.25">
      <c r="A1118" s="8" t="s">
        <v>695</v>
      </c>
      <c r="B1118" s="8" t="s">
        <v>1209</v>
      </c>
      <c r="C1118" s="8" t="s">
        <v>1374</v>
      </c>
      <c r="D1118" s="8" t="s">
        <v>1385</v>
      </c>
      <c r="E1118" s="25">
        <v>28000</v>
      </c>
      <c r="F1118" s="25">
        <v>0</v>
      </c>
      <c r="G1118" s="25">
        <v>28000</v>
      </c>
    </row>
    <row r="1119" spans="1:7" ht="15.75" customHeight="1" x14ac:dyDescent="0.25">
      <c r="A1119" s="8" t="s">
        <v>695</v>
      </c>
      <c r="B1119" s="8" t="s">
        <v>985</v>
      </c>
      <c r="C1119" s="8" t="s">
        <v>1374</v>
      </c>
      <c r="D1119" s="8" t="s">
        <v>1386</v>
      </c>
      <c r="E1119" s="25">
        <v>4200</v>
      </c>
      <c r="F1119" s="25">
        <v>0</v>
      </c>
      <c r="G1119" s="25">
        <v>4200</v>
      </c>
    </row>
    <row r="1120" spans="1:7" ht="15.75" customHeight="1" x14ac:dyDescent="0.25">
      <c r="A1120" s="8" t="s">
        <v>695</v>
      </c>
      <c r="B1120" s="8" t="s">
        <v>1141</v>
      </c>
      <c r="C1120" s="8" t="s">
        <v>1374</v>
      </c>
      <c r="D1120" s="8" t="s">
        <v>1387</v>
      </c>
      <c r="E1120" s="25">
        <v>3000</v>
      </c>
      <c r="F1120" s="25">
        <v>0</v>
      </c>
      <c r="G1120" s="25">
        <v>3000</v>
      </c>
    </row>
    <row r="1121" spans="1:7" ht="15.75" customHeight="1" x14ac:dyDescent="0.25">
      <c r="A1121" s="8" t="s">
        <v>695</v>
      </c>
      <c r="B1121" s="8" t="s">
        <v>1213</v>
      </c>
      <c r="C1121" s="8" t="s">
        <v>1374</v>
      </c>
      <c r="D1121" s="8" t="s">
        <v>1388</v>
      </c>
      <c r="E1121" s="25">
        <v>1600</v>
      </c>
      <c r="F1121" s="25">
        <v>0</v>
      </c>
      <c r="G1121" s="25">
        <v>1600</v>
      </c>
    </row>
    <row r="1122" spans="1:7" ht="15.75" customHeight="1" x14ac:dyDescent="0.25">
      <c r="A1122" s="8" t="s">
        <v>695</v>
      </c>
      <c r="B1122" s="8" t="s">
        <v>1013</v>
      </c>
      <c r="C1122" s="8" t="s">
        <v>1374</v>
      </c>
      <c r="D1122" s="8" t="s">
        <v>1389</v>
      </c>
      <c r="E1122" s="25">
        <v>2500</v>
      </c>
      <c r="F1122" s="25">
        <v>0</v>
      </c>
      <c r="G1122" s="25">
        <v>2500</v>
      </c>
    </row>
    <row r="1123" spans="1:7" ht="15.75" customHeight="1" x14ac:dyDescent="0.25">
      <c r="A1123" s="8" t="s">
        <v>695</v>
      </c>
      <c r="B1123" s="8" t="s">
        <v>1013</v>
      </c>
      <c r="C1123" s="8" t="s">
        <v>1374</v>
      </c>
      <c r="D1123" s="8" t="s">
        <v>1390</v>
      </c>
      <c r="E1123" s="25">
        <v>-10</v>
      </c>
      <c r="F1123" s="25">
        <v>0</v>
      </c>
      <c r="G1123" s="25">
        <v>-10</v>
      </c>
    </row>
    <row r="1124" spans="1:7" ht="15.75" customHeight="1" x14ac:dyDescent="0.25">
      <c r="A1124" s="8" t="s">
        <v>695</v>
      </c>
      <c r="B1124" s="8" t="s">
        <v>1195</v>
      </c>
      <c r="C1124" s="8" t="s">
        <v>1374</v>
      </c>
      <c r="D1124" s="8" t="s">
        <v>1391</v>
      </c>
      <c r="E1124" s="25">
        <v>-108374.25</v>
      </c>
      <c r="F1124" s="25">
        <v>0</v>
      </c>
      <c r="G1124" s="25">
        <v>-108374.25</v>
      </c>
    </row>
    <row r="1125" spans="1:7" ht="15.75" customHeight="1" x14ac:dyDescent="0.25">
      <c r="A1125" s="8" t="s">
        <v>695</v>
      </c>
      <c r="B1125" s="8" t="s">
        <v>1043</v>
      </c>
      <c r="C1125" s="8" t="s">
        <v>1374</v>
      </c>
      <c r="D1125" s="8" t="s">
        <v>1392</v>
      </c>
      <c r="E1125" s="25">
        <v>-1900</v>
      </c>
      <c r="F1125" s="25">
        <v>0</v>
      </c>
      <c r="G1125" s="25">
        <v>-1900</v>
      </c>
    </row>
    <row r="1126" spans="1:7" ht="15.75" customHeight="1" x14ac:dyDescent="0.25">
      <c r="A1126" s="8" t="s">
        <v>695</v>
      </c>
      <c r="B1126" s="8" t="s">
        <v>936</v>
      </c>
      <c r="C1126" s="8" t="s">
        <v>1374</v>
      </c>
      <c r="D1126" s="8" t="s">
        <v>1393</v>
      </c>
      <c r="E1126" s="25">
        <v>2846</v>
      </c>
      <c r="F1126" s="25">
        <v>0</v>
      </c>
      <c r="G1126" s="25">
        <v>2846</v>
      </c>
    </row>
    <row r="1127" spans="1:7" ht="15.75" customHeight="1" x14ac:dyDescent="0.25">
      <c r="A1127" s="8" t="s">
        <v>695</v>
      </c>
      <c r="B1127" s="8" t="s">
        <v>943</v>
      </c>
      <c r="C1127" s="8" t="s">
        <v>1374</v>
      </c>
      <c r="D1127" s="8" t="s">
        <v>1394</v>
      </c>
      <c r="E1127" s="25">
        <v>1000</v>
      </c>
      <c r="F1127" s="25">
        <v>0</v>
      </c>
      <c r="G1127" s="25">
        <v>1000</v>
      </c>
    </row>
    <row r="1128" spans="1:7" ht="15.75" customHeight="1" x14ac:dyDescent="0.25">
      <c r="A1128" s="8" t="s">
        <v>695</v>
      </c>
      <c r="B1128" s="8" t="s">
        <v>1043</v>
      </c>
      <c r="C1128" s="8" t="s">
        <v>1395</v>
      </c>
      <c r="D1128" s="8" t="s">
        <v>1396</v>
      </c>
      <c r="E1128" s="25">
        <v>1000</v>
      </c>
      <c r="F1128" s="25">
        <v>0</v>
      </c>
      <c r="G1128" s="25">
        <v>1000</v>
      </c>
    </row>
    <row r="1129" spans="1:7" ht="15.75" customHeight="1" x14ac:dyDescent="0.25">
      <c r="A1129" s="8" t="s">
        <v>695</v>
      </c>
      <c r="B1129" s="8" t="s">
        <v>1195</v>
      </c>
      <c r="C1129" s="8" t="s">
        <v>1395</v>
      </c>
      <c r="D1129" s="8" t="s">
        <v>1396</v>
      </c>
      <c r="E1129" s="25">
        <v>-1000</v>
      </c>
      <c r="F1129" s="25">
        <v>0</v>
      </c>
      <c r="G1129" s="25">
        <v>-1000</v>
      </c>
    </row>
    <row r="1130" spans="1:7" ht="15.75" customHeight="1" x14ac:dyDescent="0.25">
      <c r="A1130" s="8" t="s">
        <v>695</v>
      </c>
      <c r="B1130" s="8" t="s">
        <v>1268</v>
      </c>
      <c r="C1130" s="8" t="s">
        <v>1397</v>
      </c>
      <c r="D1130" s="8" t="s">
        <v>1270</v>
      </c>
      <c r="E1130" s="25">
        <v>875</v>
      </c>
      <c r="F1130" s="25">
        <v>0</v>
      </c>
      <c r="G1130" s="25">
        <v>875</v>
      </c>
    </row>
    <row r="1131" spans="1:7" ht="15.75" customHeight="1" x14ac:dyDescent="0.25">
      <c r="A1131" s="8" t="s">
        <v>695</v>
      </c>
      <c r="B1131" s="8" t="s">
        <v>1271</v>
      </c>
      <c r="C1131" s="8" t="s">
        <v>1397</v>
      </c>
      <c r="D1131" s="8" t="s">
        <v>1270</v>
      </c>
      <c r="E1131" s="25">
        <v>-875</v>
      </c>
      <c r="F1131" s="25">
        <v>0</v>
      </c>
      <c r="G1131" s="25">
        <v>-875</v>
      </c>
    </row>
    <row r="1132" spans="1:7" ht="15.75" customHeight="1" x14ac:dyDescent="0.25">
      <c r="A1132" s="8" t="s">
        <v>695</v>
      </c>
      <c r="B1132" s="8" t="s">
        <v>1227</v>
      </c>
      <c r="C1132" s="8" t="s">
        <v>1398</v>
      </c>
      <c r="D1132" s="8" t="s">
        <v>1399</v>
      </c>
      <c r="E1132" s="25">
        <v>-1039.5</v>
      </c>
      <c r="F1132" s="25">
        <v>0</v>
      </c>
      <c r="G1132" s="25">
        <v>-1039.5</v>
      </c>
    </row>
    <row r="1133" spans="1:7" ht="15.75" customHeight="1" x14ac:dyDescent="0.25">
      <c r="A1133" s="8" t="s">
        <v>695</v>
      </c>
      <c r="B1133" s="8" t="s">
        <v>1192</v>
      </c>
      <c r="C1133" s="8" t="s">
        <v>1400</v>
      </c>
      <c r="D1133" s="8" t="s">
        <v>1401</v>
      </c>
      <c r="E1133" s="25">
        <v>92817</v>
      </c>
      <c r="F1133" s="25">
        <v>0</v>
      </c>
      <c r="G1133" s="25">
        <v>92817</v>
      </c>
    </row>
    <row r="1134" spans="1:7" ht="15.75" customHeight="1" x14ac:dyDescent="0.25">
      <c r="A1134" s="8" t="s">
        <v>695</v>
      </c>
      <c r="B1134" s="8" t="s">
        <v>1221</v>
      </c>
      <c r="C1134" s="8" t="s">
        <v>1400</v>
      </c>
      <c r="D1134" s="8" t="s">
        <v>1401</v>
      </c>
      <c r="E1134" s="25">
        <v>-92817</v>
      </c>
      <c r="F1134" s="25">
        <v>0</v>
      </c>
      <c r="G1134" s="25">
        <v>-92817</v>
      </c>
    </row>
    <row r="1135" spans="1:7" ht="15.75" customHeight="1" x14ac:dyDescent="0.25">
      <c r="A1135" s="8" t="s">
        <v>695</v>
      </c>
      <c r="B1135" s="8" t="s">
        <v>1279</v>
      </c>
      <c r="C1135" s="8" t="s">
        <v>1402</v>
      </c>
      <c r="D1135" s="8" t="s">
        <v>1281</v>
      </c>
      <c r="E1135" s="25">
        <v>32500</v>
      </c>
      <c r="F1135" s="25">
        <v>0</v>
      </c>
      <c r="G1135" s="25">
        <v>32500</v>
      </c>
    </row>
    <row r="1136" spans="1:7" ht="15.75" customHeight="1" x14ac:dyDescent="0.25">
      <c r="A1136" s="8" t="s">
        <v>695</v>
      </c>
      <c r="B1136" s="8" t="s">
        <v>1207</v>
      </c>
      <c r="C1136" s="8" t="s">
        <v>1402</v>
      </c>
      <c r="D1136" s="8" t="s">
        <v>1281</v>
      </c>
      <c r="E1136" s="25">
        <v>-32500</v>
      </c>
      <c r="F1136" s="25">
        <v>0</v>
      </c>
      <c r="G1136" s="25">
        <v>-32500</v>
      </c>
    </row>
    <row r="1137" spans="1:7" ht="15.75" customHeight="1" x14ac:dyDescent="0.25">
      <c r="A1137" s="8" t="s">
        <v>695</v>
      </c>
      <c r="B1137" s="8" t="s">
        <v>1282</v>
      </c>
      <c r="C1137" s="8" t="s">
        <v>1402</v>
      </c>
      <c r="D1137" s="8" t="s">
        <v>1281</v>
      </c>
      <c r="E1137" s="25">
        <v>3250</v>
      </c>
      <c r="F1137" s="25">
        <v>0</v>
      </c>
      <c r="G1137" s="25">
        <v>3250</v>
      </c>
    </row>
    <row r="1138" spans="1:7" ht="15.75" customHeight="1" x14ac:dyDescent="0.25">
      <c r="A1138" s="8" t="s">
        <v>695</v>
      </c>
      <c r="B1138" s="8" t="s">
        <v>1234</v>
      </c>
      <c r="C1138" s="8" t="s">
        <v>1402</v>
      </c>
      <c r="D1138" s="8" t="s">
        <v>1281</v>
      </c>
      <c r="E1138" s="25">
        <v>-3250</v>
      </c>
      <c r="F1138" s="25">
        <v>0</v>
      </c>
      <c r="G1138" s="25">
        <v>-3250</v>
      </c>
    </row>
    <row r="1139" spans="1:7" ht="15.75" customHeight="1" x14ac:dyDescent="0.25">
      <c r="A1139" s="8" t="s">
        <v>695</v>
      </c>
      <c r="B1139" s="8" t="s">
        <v>1272</v>
      </c>
      <c r="C1139" s="8" t="s">
        <v>1403</v>
      </c>
      <c r="D1139" s="8" t="s">
        <v>1274</v>
      </c>
      <c r="E1139" s="25">
        <v>1003.37</v>
      </c>
      <c r="F1139" s="25">
        <v>0</v>
      </c>
      <c r="G1139" s="25">
        <v>1003.37</v>
      </c>
    </row>
    <row r="1140" spans="1:7" ht="15.75" customHeight="1" x14ac:dyDescent="0.25">
      <c r="A1140" s="8" t="s">
        <v>695</v>
      </c>
      <c r="B1140" s="8" t="s">
        <v>1275</v>
      </c>
      <c r="C1140" s="8" t="s">
        <v>1403</v>
      </c>
      <c r="D1140" s="8" t="s">
        <v>1274</v>
      </c>
      <c r="E1140" s="25">
        <v>-1003.37</v>
      </c>
      <c r="F1140" s="25">
        <v>0</v>
      </c>
      <c r="G1140" s="25">
        <v>-1003.37</v>
      </c>
    </row>
    <row r="1141" spans="1:7" ht="15.75" customHeight="1" x14ac:dyDescent="0.25">
      <c r="A1141" s="8" t="s">
        <v>695</v>
      </c>
      <c r="B1141" s="8" t="s">
        <v>1222</v>
      </c>
      <c r="C1141" s="8" t="s">
        <v>1404</v>
      </c>
      <c r="D1141" s="8" t="s">
        <v>1224</v>
      </c>
      <c r="E1141" s="25">
        <v>-1221</v>
      </c>
      <c r="F1141" s="25">
        <v>0</v>
      </c>
      <c r="G1141" s="25">
        <v>-1221</v>
      </c>
    </row>
    <row r="1142" spans="1:7" ht="15.75" customHeight="1" x14ac:dyDescent="0.25">
      <c r="A1142" s="8" t="s">
        <v>695</v>
      </c>
      <c r="B1142" s="8" t="s">
        <v>128</v>
      </c>
      <c r="C1142" s="8" t="s">
        <v>1405</v>
      </c>
      <c r="D1142" s="8" t="s">
        <v>1406</v>
      </c>
      <c r="E1142" s="25">
        <v>104732.98</v>
      </c>
      <c r="F1142" s="25">
        <v>0</v>
      </c>
      <c r="G1142" s="25">
        <v>104732.98</v>
      </c>
    </row>
    <row r="1143" spans="1:7" ht="15.75" customHeight="1" x14ac:dyDescent="0.25">
      <c r="A1143" s="8" t="s">
        <v>695</v>
      </c>
      <c r="B1143" s="8" t="s">
        <v>174</v>
      </c>
      <c r="C1143" s="8" t="s">
        <v>1405</v>
      </c>
      <c r="D1143" s="8" t="s">
        <v>1406</v>
      </c>
      <c r="E1143" s="25">
        <v>-104732.98</v>
      </c>
      <c r="F1143" s="25">
        <v>0</v>
      </c>
      <c r="G1143" s="25">
        <v>-104732.98</v>
      </c>
    </row>
    <row r="1144" spans="1:7" ht="15.75" customHeight="1" x14ac:dyDescent="0.25">
      <c r="A1144" s="8" t="s">
        <v>695</v>
      </c>
      <c r="B1144" s="8" t="s">
        <v>132</v>
      </c>
      <c r="C1144" s="8" t="s">
        <v>1405</v>
      </c>
      <c r="D1144" s="8" t="s">
        <v>1406</v>
      </c>
      <c r="E1144" s="25">
        <v>19474.21</v>
      </c>
      <c r="F1144" s="25">
        <v>0</v>
      </c>
      <c r="G1144" s="25">
        <v>19474.21</v>
      </c>
    </row>
    <row r="1145" spans="1:7" ht="15.75" customHeight="1" x14ac:dyDescent="0.25">
      <c r="A1145" s="8" t="s">
        <v>695</v>
      </c>
      <c r="B1145" s="8" t="s">
        <v>1267</v>
      </c>
      <c r="C1145" s="8" t="s">
        <v>1405</v>
      </c>
      <c r="D1145" s="8" t="s">
        <v>1406</v>
      </c>
      <c r="E1145" s="25">
        <v>-19474.21</v>
      </c>
      <c r="F1145" s="25">
        <v>0</v>
      </c>
      <c r="G1145" s="25">
        <v>-19474.21</v>
      </c>
    </row>
    <row r="1146" spans="1:7" ht="15.75" customHeight="1" x14ac:dyDescent="0.25">
      <c r="A1146" s="8" t="s">
        <v>695</v>
      </c>
      <c r="B1146" s="8" t="s">
        <v>128</v>
      </c>
      <c r="C1146" s="8" t="s">
        <v>1405</v>
      </c>
      <c r="D1146" s="8" t="s">
        <v>1407</v>
      </c>
      <c r="E1146" s="25">
        <v>-1471.5</v>
      </c>
      <c r="F1146" s="25">
        <v>0</v>
      </c>
      <c r="G1146" s="25">
        <v>-1471.5</v>
      </c>
    </row>
    <row r="1147" spans="1:7" ht="15.75" customHeight="1" x14ac:dyDescent="0.25">
      <c r="A1147" s="8" t="s">
        <v>695</v>
      </c>
      <c r="B1147" s="8" t="s">
        <v>174</v>
      </c>
      <c r="C1147" s="8" t="s">
        <v>1405</v>
      </c>
      <c r="D1147" s="8" t="s">
        <v>1407</v>
      </c>
      <c r="E1147" s="25">
        <v>1471.5</v>
      </c>
      <c r="F1147" s="25">
        <v>0</v>
      </c>
      <c r="G1147" s="25">
        <v>1471.5</v>
      </c>
    </row>
    <row r="1148" spans="1:7" ht="15.75" customHeight="1" x14ac:dyDescent="0.25">
      <c r="A1148" s="8" t="s">
        <v>715</v>
      </c>
      <c r="B1148" s="8" t="s">
        <v>1222</v>
      </c>
      <c r="C1148" s="8" t="s">
        <v>1408</v>
      </c>
      <c r="D1148" s="8" t="s">
        <v>1224</v>
      </c>
      <c r="E1148" s="25">
        <v>-1580.7</v>
      </c>
      <c r="F1148" s="25">
        <v>0</v>
      </c>
      <c r="G1148" s="25">
        <v>-1580.7</v>
      </c>
    </row>
    <row r="1149" spans="1:7" ht="15.75" customHeight="1" x14ac:dyDescent="0.25">
      <c r="A1149" s="8" t="s">
        <v>715</v>
      </c>
      <c r="B1149" s="8" t="s">
        <v>932</v>
      </c>
      <c r="C1149" s="8" t="s">
        <v>1409</v>
      </c>
      <c r="D1149" s="8" t="s">
        <v>1410</v>
      </c>
      <c r="E1149" s="25">
        <v>3100</v>
      </c>
      <c r="F1149" s="25">
        <v>0</v>
      </c>
      <c r="G1149" s="25">
        <v>3100</v>
      </c>
    </row>
    <row r="1150" spans="1:7" ht="15.75" customHeight="1" x14ac:dyDescent="0.25">
      <c r="A1150" s="8" t="s">
        <v>715</v>
      </c>
      <c r="B1150" s="8" t="s">
        <v>1141</v>
      </c>
      <c r="C1150" s="8" t="s">
        <v>1409</v>
      </c>
      <c r="D1150" s="8" t="s">
        <v>1411</v>
      </c>
      <c r="E1150" s="25">
        <v>1500</v>
      </c>
      <c r="F1150" s="25">
        <v>0</v>
      </c>
      <c r="G1150" s="25">
        <v>1500</v>
      </c>
    </row>
    <row r="1151" spans="1:7" ht="15.75" customHeight="1" x14ac:dyDescent="0.25">
      <c r="A1151" s="8" t="s">
        <v>715</v>
      </c>
      <c r="B1151" s="8" t="s">
        <v>1195</v>
      </c>
      <c r="C1151" s="8" t="s">
        <v>1409</v>
      </c>
      <c r="D1151" s="8" t="s">
        <v>1412</v>
      </c>
      <c r="E1151" s="25">
        <v>-8100</v>
      </c>
      <c r="F1151" s="25">
        <v>0</v>
      </c>
      <c r="G1151" s="25">
        <v>-8100</v>
      </c>
    </row>
    <row r="1152" spans="1:7" ht="15.75" customHeight="1" x14ac:dyDescent="0.25">
      <c r="A1152" s="8" t="s">
        <v>715</v>
      </c>
      <c r="B1152" s="8" t="s">
        <v>953</v>
      </c>
      <c r="C1152" s="8" t="s">
        <v>1409</v>
      </c>
      <c r="D1152" s="8" t="s">
        <v>1413</v>
      </c>
      <c r="E1152" s="25">
        <v>1000</v>
      </c>
      <c r="F1152" s="25">
        <v>0</v>
      </c>
      <c r="G1152" s="25">
        <v>1000</v>
      </c>
    </row>
    <row r="1153" spans="1:7" ht="15.75" customHeight="1" x14ac:dyDescent="0.25">
      <c r="A1153" s="8" t="s">
        <v>715</v>
      </c>
      <c r="B1153" s="8" t="s">
        <v>1013</v>
      </c>
      <c r="C1153" s="8" t="s">
        <v>1409</v>
      </c>
      <c r="D1153" s="8" t="s">
        <v>1414</v>
      </c>
      <c r="E1153" s="25">
        <v>2500</v>
      </c>
      <c r="F1153" s="25">
        <v>0</v>
      </c>
      <c r="G1153" s="25">
        <v>2500</v>
      </c>
    </row>
    <row r="1154" spans="1:7" ht="15.75" customHeight="1" x14ac:dyDescent="0.25">
      <c r="A1154" s="8" t="s">
        <v>715</v>
      </c>
      <c r="B1154" s="8" t="s">
        <v>939</v>
      </c>
      <c r="C1154" s="8" t="s">
        <v>1415</v>
      </c>
      <c r="D1154" s="8" t="s">
        <v>1416</v>
      </c>
      <c r="E1154" s="25">
        <v>-14894</v>
      </c>
      <c r="F1154" s="25">
        <v>0</v>
      </c>
      <c r="G1154" s="25">
        <v>-14894</v>
      </c>
    </row>
    <row r="1155" spans="1:7" ht="15.75" customHeight="1" x14ac:dyDescent="0.25">
      <c r="A1155" s="8" t="s">
        <v>715</v>
      </c>
      <c r="B1155" s="8" t="s">
        <v>950</v>
      </c>
      <c r="C1155" s="8" t="s">
        <v>1415</v>
      </c>
      <c r="D1155" s="8" t="s">
        <v>1417</v>
      </c>
      <c r="E1155" s="25">
        <v>7575.75</v>
      </c>
      <c r="F1155" s="25">
        <v>0</v>
      </c>
      <c r="G1155" s="25">
        <v>7575.75</v>
      </c>
    </row>
    <row r="1156" spans="1:7" ht="15.75" customHeight="1" x14ac:dyDescent="0.25">
      <c r="A1156" s="8" t="s">
        <v>715</v>
      </c>
      <c r="B1156" s="8" t="s">
        <v>950</v>
      </c>
      <c r="C1156" s="8" t="s">
        <v>1415</v>
      </c>
      <c r="D1156" s="8" t="s">
        <v>1418</v>
      </c>
      <c r="E1156" s="25">
        <v>-10</v>
      </c>
      <c r="F1156" s="25">
        <v>0</v>
      </c>
      <c r="G1156" s="25">
        <v>-10</v>
      </c>
    </row>
    <row r="1157" spans="1:7" ht="15.75" customHeight="1" x14ac:dyDescent="0.25">
      <c r="A1157" s="8" t="s">
        <v>715</v>
      </c>
      <c r="B1157" s="8" t="s">
        <v>1074</v>
      </c>
      <c r="C1157" s="8" t="s">
        <v>1415</v>
      </c>
      <c r="D1157" s="8" t="s">
        <v>1419</v>
      </c>
      <c r="E1157" s="25">
        <v>-20000</v>
      </c>
      <c r="F1157" s="25">
        <v>0</v>
      </c>
      <c r="G1157" s="25">
        <v>-20000</v>
      </c>
    </row>
    <row r="1158" spans="1:7" ht="15.75" customHeight="1" x14ac:dyDescent="0.25">
      <c r="A1158" s="8" t="s">
        <v>715</v>
      </c>
      <c r="B1158" s="8" t="s">
        <v>1074</v>
      </c>
      <c r="C1158" s="8" t="s">
        <v>1415</v>
      </c>
      <c r="D1158" s="8" t="s">
        <v>1420</v>
      </c>
      <c r="E1158" s="25">
        <v>-10</v>
      </c>
      <c r="F1158" s="25">
        <v>0</v>
      </c>
      <c r="G1158" s="25">
        <v>-10</v>
      </c>
    </row>
    <row r="1159" spans="1:7" ht="15.75" customHeight="1" x14ac:dyDescent="0.25">
      <c r="A1159" s="8" t="s">
        <v>715</v>
      </c>
      <c r="B1159" s="8" t="s">
        <v>932</v>
      </c>
      <c r="C1159" s="8" t="s">
        <v>1415</v>
      </c>
      <c r="D1159" s="8" t="s">
        <v>1421</v>
      </c>
      <c r="E1159" s="25">
        <v>-12000</v>
      </c>
      <c r="F1159" s="25">
        <v>0</v>
      </c>
      <c r="G1159" s="25">
        <v>-12000</v>
      </c>
    </row>
    <row r="1160" spans="1:7" ht="15.75" customHeight="1" x14ac:dyDescent="0.25">
      <c r="A1160" s="8" t="s">
        <v>715</v>
      </c>
      <c r="B1160" s="8" t="s">
        <v>936</v>
      </c>
      <c r="C1160" s="8" t="s">
        <v>1415</v>
      </c>
      <c r="D1160" s="8" t="s">
        <v>1422</v>
      </c>
      <c r="E1160" s="25">
        <v>-2000</v>
      </c>
      <c r="F1160" s="25">
        <v>0</v>
      </c>
      <c r="G1160" s="25">
        <v>-2000</v>
      </c>
    </row>
    <row r="1161" spans="1:7" ht="15.75" customHeight="1" x14ac:dyDescent="0.25">
      <c r="A1161" s="8" t="s">
        <v>715</v>
      </c>
      <c r="B1161" s="8" t="s">
        <v>1204</v>
      </c>
      <c r="C1161" s="8" t="s">
        <v>1415</v>
      </c>
      <c r="D1161" s="8" t="s">
        <v>1423</v>
      </c>
      <c r="E1161" s="25">
        <v>-6800</v>
      </c>
      <c r="F1161" s="25">
        <v>0</v>
      </c>
      <c r="G1161" s="25">
        <v>-6800</v>
      </c>
    </row>
    <row r="1162" spans="1:7" ht="15.75" customHeight="1" x14ac:dyDescent="0.25">
      <c r="A1162" s="8" t="s">
        <v>715</v>
      </c>
      <c r="B1162" s="8" t="s">
        <v>953</v>
      </c>
      <c r="C1162" s="8" t="s">
        <v>1415</v>
      </c>
      <c r="D1162" s="8" t="s">
        <v>1424</v>
      </c>
      <c r="E1162" s="25">
        <v>-4000</v>
      </c>
      <c r="F1162" s="25">
        <v>0</v>
      </c>
      <c r="G1162" s="25">
        <v>-4000</v>
      </c>
    </row>
    <row r="1163" spans="1:7" ht="15.75" customHeight="1" x14ac:dyDescent="0.25">
      <c r="A1163" s="8" t="s">
        <v>715</v>
      </c>
      <c r="B1163" s="8" t="s">
        <v>1207</v>
      </c>
      <c r="C1163" s="8" t="s">
        <v>1415</v>
      </c>
      <c r="D1163" s="8" t="s">
        <v>1425</v>
      </c>
      <c r="E1163" s="25">
        <v>-15000</v>
      </c>
      <c r="F1163" s="25">
        <v>0</v>
      </c>
      <c r="G1163" s="25">
        <v>-15000</v>
      </c>
    </row>
    <row r="1164" spans="1:7" ht="15.75" customHeight="1" x14ac:dyDescent="0.25">
      <c r="A1164" s="8" t="s">
        <v>715</v>
      </c>
      <c r="B1164" s="8" t="s">
        <v>1209</v>
      </c>
      <c r="C1164" s="8" t="s">
        <v>1415</v>
      </c>
      <c r="D1164" s="8" t="s">
        <v>1426</v>
      </c>
      <c r="E1164" s="25">
        <v>-28000</v>
      </c>
      <c r="F1164" s="25">
        <v>0</v>
      </c>
      <c r="G1164" s="25">
        <v>-28000</v>
      </c>
    </row>
    <row r="1165" spans="1:7" ht="15.75" customHeight="1" x14ac:dyDescent="0.25">
      <c r="A1165" s="8" t="s">
        <v>715</v>
      </c>
      <c r="B1165" s="8" t="s">
        <v>985</v>
      </c>
      <c r="C1165" s="8" t="s">
        <v>1415</v>
      </c>
      <c r="D1165" s="8" t="s">
        <v>1427</v>
      </c>
      <c r="E1165" s="25">
        <v>-4200</v>
      </c>
      <c r="F1165" s="25">
        <v>0</v>
      </c>
      <c r="G1165" s="25">
        <v>-4200</v>
      </c>
    </row>
    <row r="1166" spans="1:7" ht="15.75" customHeight="1" x14ac:dyDescent="0.25">
      <c r="A1166" s="8" t="s">
        <v>715</v>
      </c>
      <c r="B1166" s="8" t="s">
        <v>1141</v>
      </c>
      <c r="C1166" s="8" t="s">
        <v>1415</v>
      </c>
      <c r="D1166" s="8" t="s">
        <v>1428</v>
      </c>
      <c r="E1166" s="25">
        <v>-3000</v>
      </c>
      <c r="F1166" s="25">
        <v>0</v>
      </c>
      <c r="G1166" s="25">
        <v>-3000</v>
      </c>
    </row>
    <row r="1167" spans="1:7" ht="15.75" customHeight="1" x14ac:dyDescent="0.25">
      <c r="A1167" s="8" t="s">
        <v>715</v>
      </c>
      <c r="B1167" s="8" t="s">
        <v>1213</v>
      </c>
      <c r="C1167" s="8" t="s">
        <v>1415</v>
      </c>
      <c r="D1167" s="8" t="s">
        <v>1429</v>
      </c>
      <c r="E1167" s="25">
        <v>-1600</v>
      </c>
      <c r="F1167" s="25">
        <v>0</v>
      </c>
      <c r="G1167" s="25">
        <v>-1600</v>
      </c>
    </row>
    <row r="1168" spans="1:7" ht="15.75" customHeight="1" x14ac:dyDescent="0.25">
      <c r="A1168" s="8" t="s">
        <v>715</v>
      </c>
      <c r="B1168" s="8" t="s">
        <v>1013</v>
      </c>
      <c r="C1168" s="8" t="s">
        <v>1415</v>
      </c>
      <c r="D1168" s="8" t="s">
        <v>1430</v>
      </c>
      <c r="E1168" s="25">
        <v>-2500</v>
      </c>
      <c r="F1168" s="25">
        <v>0</v>
      </c>
      <c r="G1168" s="25">
        <v>-2500</v>
      </c>
    </row>
    <row r="1169" spans="1:7" ht="15.75" customHeight="1" x14ac:dyDescent="0.25">
      <c r="A1169" s="8" t="s">
        <v>715</v>
      </c>
      <c r="B1169" s="8" t="s">
        <v>1013</v>
      </c>
      <c r="C1169" s="8" t="s">
        <v>1415</v>
      </c>
      <c r="D1169" s="8" t="s">
        <v>1431</v>
      </c>
      <c r="E1169" s="25">
        <v>10</v>
      </c>
      <c r="F1169" s="25">
        <v>0</v>
      </c>
      <c r="G1169" s="25">
        <v>10</v>
      </c>
    </row>
    <row r="1170" spans="1:7" ht="15.75" customHeight="1" x14ac:dyDescent="0.25">
      <c r="A1170" s="8" t="s">
        <v>715</v>
      </c>
      <c r="B1170" s="8" t="s">
        <v>1195</v>
      </c>
      <c r="C1170" s="8" t="s">
        <v>1415</v>
      </c>
      <c r="D1170" s="8" t="s">
        <v>1432</v>
      </c>
      <c r="E1170" s="25">
        <v>108374.25</v>
      </c>
      <c r="F1170" s="25">
        <v>0</v>
      </c>
      <c r="G1170" s="25">
        <v>108374.25</v>
      </c>
    </row>
    <row r="1171" spans="1:7" ht="15.75" customHeight="1" x14ac:dyDescent="0.25">
      <c r="A1171" s="8" t="s">
        <v>715</v>
      </c>
      <c r="B1171" s="8" t="s">
        <v>1043</v>
      </c>
      <c r="C1171" s="8" t="s">
        <v>1415</v>
      </c>
      <c r="D1171" s="8" t="s">
        <v>1433</v>
      </c>
      <c r="E1171" s="25">
        <v>1900</v>
      </c>
      <c r="F1171" s="25">
        <v>0</v>
      </c>
      <c r="G1171" s="25">
        <v>1900</v>
      </c>
    </row>
    <row r="1172" spans="1:7" ht="15.75" customHeight="1" x14ac:dyDescent="0.25">
      <c r="A1172" s="8" t="s">
        <v>715</v>
      </c>
      <c r="B1172" s="8" t="s">
        <v>936</v>
      </c>
      <c r="C1172" s="8" t="s">
        <v>1415</v>
      </c>
      <c r="D1172" s="8" t="s">
        <v>1434</v>
      </c>
      <c r="E1172" s="25">
        <v>-2846</v>
      </c>
      <c r="F1172" s="25">
        <v>0</v>
      </c>
      <c r="G1172" s="25">
        <v>-2846</v>
      </c>
    </row>
    <row r="1173" spans="1:7" ht="15.75" customHeight="1" x14ac:dyDescent="0.25">
      <c r="A1173" s="8" t="s">
        <v>715</v>
      </c>
      <c r="B1173" s="8" t="s">
        <v>943</v>
      </c>
      <c r="C1173" s="8" t="s">
        <v>1415</v>
      </c>
      <c r="D1173" s="8" t="s">
        <v>1435</v>
      </c>
      <c r="E1173" s="25">
        <v>-1000</v>
      </c>
      <c r="F1173" s="25">
        <v>0</v>
      </c>
      <c r="G1173" s="25">
        <v>-1000</v>
      </c>
    </row>
    <row r="1174" spans="1:7" ht="15.75" customHeight="1" x14ac:dyDescent="0.25">
      <c r="A1174" s="8" t="s">
        <v>715</v>
      </c>
      <c r="B1174" s="8" t="s">
        <v>128</v>
      </c>
      <c r="C1174" s="8" t="s">
        <v>611</v>
      </c>
      <c r="D1174" s="8" t="s">
        <v>1436</v>
      </c>
      <c r="E1174" s="25">
        <v>-2704.32</v>
      </c>
      <c r="F1174" s="25">
        <v>0</v>
      </c>
      <c r="G1174" s="25">
        <v>-2704.32</v>
      </c>
    </row>
    <row r="1175" spans="1:7" ht="15.75" customHeight="1" x14ac:dyDescent="0.25">
      <c r="A1175" s="8" t="s">
        <v>715</v>
      </c>
      <c r="B1175" s="8" t="s">
        <v>128</v>
      </c>
      <c r="C1175" s="8" t="s">
        <v>611</v>
      </c>
      <c r="D1175" s="8" t="s">
        <v>1437</v>
      </c>
      <c r="E1175" s="25">
        <v>-270</v>
      </c>
      <c r="F1175" s="25">
        <v>0</v>
      </c>
      <c r="G1175" s="25">
        <v>-270</v>
      </c>
    </row>
    <row r="1176" spans="1:7" ht="15.75" customHeight="1" x14ac:dyDescent="0.25">
      <c r="A1176" s="8" t="s">
        <v>715</v>
      </c>
      <c r="B1176" s="8" t="s">
        <v>1043</v>
      </c>
      <c r="C1176" s="8" t="s">
        <v>1438</v>
      </c>
      <c r="D1176" s="8" t="s">
        <v>1439</v>
      </c>
      <c r="E1176" s="25">
        <v>-1000</v>
      </c>
      <c r="F1176" s="25">
        <v>0</v>
      </c>
      <c r="G1176" s="25">
        <v>-1000</v>
      </c>
    </row>
    <row r="1177" spans="1:7" ht="15.75" customHeight="1" x14ac:dyDescent="0.25">
      <c r="A1177" s="8" t="s">
        <v>715</v>
      </c>
      <c r="B1177" s="8" t="s">
        <v>1195</v>
      </c>
      <c r="C1177" s="8" t="s">
        <v>1438</v>
      </c>
      <c r="D1177" s="8" t="s">
        <v>1439</v>
      </c>
      <c r="E1177" s="25">
        <v>1000</v>
      </c>
      <c r="F1177" s="25">
        <v>0</v>
      </c>
      <c r="G1177" s="25">
        <v>1000</v>
      </c>
    </row>
    <row r="1178" spans="1:7" ht="15.75" customHeight="1" x14ac:dyDescent="0.25">
      <c r="A1178" s="8" t="s">
        <v>715</v>
      </c>
      <c r="B1178" s="8" t="s">
        <v>1192</v>
      </c>
      <c r="C1178" s="8" t="s">
        <v>1440</v>
      </c>
      <c r="D1178" s="8" t="s">
        <v>1441</v>
      </c>
      <c r="E1178" s="25">
        <v>-92817</v>
      </c>
      <c r="F1178" s="25">
        <v>0</v>
      </c>
      <c r="G1178" s="25">
        <v>-92817</v>
      </c>
    </row>
    <row r="1179" spans="1:7" ht="15.75" customHeight="1" x14ac:dyDescent="0.25">
      <c r="A1179" s="8" t="s">
        <v>715</v>
      </c>
      <c r="B1179" s="8" t="s">
        <v>1221</v>
      </c>
      <c r="C1179" s="8" t="s">
        <v>1440</v>
      </c>
      <c r="D1179" s="8" t="s">
        <v>1441</v>
      </c>
      <c r="E1179" s="25">
        <v>92817</v>
      </c>
      <c r="F1179" s="25">
        <v>0</v>
      </c>
      <c r="G1179" s="25">
        <v>92817</v>
      </c>
    </row>
    <row r="1180" spans="1:7" ht="15.75" customHeight="1" x14ac:dyDescent="0.25">
      <c r="A1180" s="8" t="s">
        <v>715</v>
      </c>
      <c r="B1180" s="8" t="s">
        <v>128</v>
      </c>
      <c r="C1180" s="8" t="s">
        <v>1442</v>
      </c>
      <c r="D1180" s="8" t="s">
        <v>1443</v>
      </c>
      <c r="E1180" s="25">
        <v>-2505</v>
      </c>
      <c r="F1180" s="25">
        <v>0</v>
      </c>
      <c r="G1180" s="25">
        <v>-2505</v>
      </c>
    </row>
    <row r="1181" spans="1:7" ht="15.75" customHeight="1" x14ac:dyDescent="0.25">
      <c r="A1181" s="8" t="s">
        <v>715</v>
      </c>
      <c r="B1181" s="8" t="s">
        <v>128</v>
      </c>
      <c r="C1181" s="8" t="s">
        <v>1442</v>
      </c>
      <c r="D1181" s="8" t="s">
        <v>1444</v>
      </c>
      <c r="E1181" s="25">
        <v>225</v>
      </c>
      <c r="F1181" s="25">
        <v>0</v>
      </c>
      <c r="G1181" s="25">
        <v>225</v>
      </c>
    </row>
    <row r="1182" spans="1:7" ht="15.75" customHeight="1" x14ac:dyDescent="0.25">
      <c r="A1182" s="8" t="s">
        <v>826</v>
      </c>
      <c r="B1182" s="8" t="s">
        <v>1222</v>
      </c>
      <c r="C1182" s="8" t="s">
        <v>1445</v>
      </c>
      <c r="D1182" s="8" t="s">
        <v>1224</v>
      </c>
      <c r="E1182" s="25">
        <v>-5221.87</v>
      </c>
      <c r="F1182" s="25">
        <v>0</v>
      </c>
      <c r="G1182" s="25">
        <v>-5221.87</v>
      </c>
    </row>
    <row r="1183" spans="1:7" ht="15.75" customHeight="1" x14ac:dyDescent="0.25">
      <c r="A1183" s="8" t="s">
        <v>1087</v>
      </c>
      <c r="B1183" s="8" t="s">
        <v>1222</v>
      </c>
      <c r="C1183" s="8" t="s">
        <v>1446</v>
      </c>
      <c r="D1183" s="8" t="s">
        <v>1224</v>
      </c>
      <c r="E1183" s="25">
        <v>-1017.5</v>
      </c>
      <c r="F1183" s="25">
        <v>0</v>
      </c>
      <c r="G1183" s="25">
        <v>-1017.5</v>
      </c>
    </row>
    <row r="1184" spans="1:7" ht="15.75" customHeight="1" x14ac:dyDescent="0.25">
      <c r="A1184" s="8" t="s">
        <v>1087</v>
      </c>
      <c r="B1184" s="8" t="s">
        <v>132</v>
      </c>
      <c r="C1184" s="8" t="s">
        <v>70</v>
      </c>
      <c r="D1184" s="8" t="s">
        <v>1447</v>
      </c>
      <c r="E1184" s="25">
        <v>-6036.03</v>
      </c>
      <c r="F1184" s="25">
        <v>0</v>
      </c>
      <c r="G1184" s="25">
        <v>-6036.03</v>
      </c>
    </row>
    <row r="1185" spans="1:7" ht="15.75" customHeight="1" x14ac:dyDescent="0.25">
      <c r="A1185" s="8" t="s">
        <v>1090</v>
      </c>
      <c r="B1185" s="8" t="s">
        <v>1225</v>
      </c>
      <c r="C1185" s="8" t="s">
        <v>70</v>
      </c>
      <c r="D1185" s="8" t="s">
        <v>1448</v>
      </c>
      <c r="E1185" s="25">
        <v>26691.599999999999</v>
      </c>
      <c r="F1185" s="25">
        <v>0</v>
      </c>
      <c r="G1185" s="25">
        <v>26691.599999999999</v>
      </c>
    </row>
    <row r="1186" spans="1:7" ht="15.75" customHeight="1" x14ac:dyDescent="0.25">
      <c r="A1186" s="8" t="s">
        <v>1095</v>
      </c>
      <c r="B1186" s="8" t="s">
        <v>1207</v>
      </c>
      <c r="C1186" s="8" t="s">
        <v>1449</v>
      </c>
      <c r="D1186" s="8" t="s">
        <v>1450</v>
      </c>
      <c r="E1186" s="25">
        <v>6730.77</v>
      </c>
      <c r="F1186" s="25">
        <v>0</v>
      </c>
      <c r="G1186" s="25">
        <v>6730.77</v>
      </c>
    </row>
    <row r="1187" spans="1:7" ht="15.75" customHeight="1" x14ac:dyDescent="0.25">
      <c r="A1187" s="8" t="s">
        <v>1095</v>
      </c>
      <c r="B1187" s="8" t="s">
        <v>1207</v>
      </c>
      <c r="C1187" s="8" t="s">
        <v>1449</v>
      </c>
      <c r="D1187" s="8" t="s">
        <v>1450</v>
      </c>
      <c r="E1187" s="25">
        <v>7692.31</v>
      </c>
      <c r="F1187" s="25">
        <v>0</v>
      </c>
      <c r="G1187" s="25">
        <v>7692.31</v>
      </c>
    </row>
    <row r="1188" spans="1:7" ht="15.75" customHeight="1" x14ac:dyDescent="0.25">
      <c r="A1188" s="8" t="s">
        <v>1095</v>
      </c>
      <c r="B1188" s="8" t="s">
        <v>1207</v>
      </c>
      <c r="C1188" s="8" t="s">
        <v>1449</v>
      </c>
      <c r="D1188" s="8" t="s">
        <v>1450</v>
      </c>
      <c r="E1188" s="25">
        <v>3269.23</v>
      </c>
      <c r="F1188" s="25">
        <v>0</v>
      </c>
      <c r="G1188" s="25">
        <v>3269.23</v>
      </c>
    </row>
    <row r="1189" spans="1:7" ht="15.75" customHeight="1" x14ac:dyDescent="0.25">
      <c r="A1189" s="8" t="s">
        <v>1095</v>
      </c>
      <c r="B1189" s="8" t="s">
        <v>1207</v>
      </c>
      <c r="C1189" s="8" t="s">
        <v>1449</v>
      </c>
      <c r="D1189" s="8" t="s">
        <v>1450</v>
      </c>
      <c r="E1189" s="25">
        <v>6284.52</v>
      </c>
      <c r="F1189" s="25">
        <v>0</v>
      </c>
      <c r="G1189" s="25">
        <v>6284.52</v>
      </c>
    </row>
    <row r="1190" spans="1:7" ht="15.75" customHeight="1" x14ac:dyDescent="0.25">
      <c r="A1190" s="8" t="s">
        <v>1095</v>
      </c>
      <c r="B1190" s="8" t="s">
        <v>1207</v>
      </c>
      <c r="C1190" s="8" t="s">
        <v>1449</v>
      </c>
      <c r="D1190" s="8" t="s">
        <v>1450</v>
      </c>
      <c r="E1190" s="25">
        <v>10576.92</v>
      </c>
      <c r="F1190" s="25">
        <v>0</v>
      </c>
      <c r="G1190" s="25">
        <v>10576.92</v>
      </c>
    </row>
    <row r="1191" spans="1:7" ht="15.75" customHeight="1" x14ac:dyDescent="0.25">
      <c r="A1191" s="8" t="s">
        <v>1095</v>
      </c>
      <c r="B1191" s="8" t="s">
        <v>1209</v>
      </c>
      <c r="C1191" s="8" t="s">
        <v>1449</v>
      </c>
      <c r="D1191" s="8" t="s">
        <v>1450</v>
      </c>
      <c r="E1191" s="25">
        <v>2500</v>
      </c>
      <c r="F1191" s="25">
        <v>0</v>
      </c>
      <c r="G1191" s="25">
        <v>2500</v>
      </c>
    </row>
    <row r="1192" spans="1:7" ht="15.75" customHeight="1" x14ac:dyDescent="0.25">
      <c r="A1192" s="8" t="s">
        <v>1095</v>
      </c>
      <c r="B1192" s="8" t="s">
        <v>1232</v>
      </c>
      <c r="C1192" s="8" t="s">
        <v>1449</v>
      </c>
      <c r="D1192" s="8" t="s">
        <v>1451</v>
      </c>
      <c r="E1192" s="25">
        <v>-1974</v>
      </c>
      <c r="F1192" s="25">
        <v>0</v>
      </c>
      <c r="G1192" s="25">
        <v>-1974</v>
      </c>
    </row>
    <row r="1193" spans="1:7" ht="15.75" customHeight="1" x14ac:dyDescent="0.25">
      <c r="A1193" s="8" t="s">
        <v>1095</v>
      </c>
      <c r="B1193" s="8" t="s">
        <v>1232</v>
      </c>
      <c r="C1193" s="8" t="s">
        <v>1449</v>
      </c>
      <c r="D1193" s="8" t="s">
        <v>1451</v>
      </c>
      <c r="E1193" s="25">
        <v>-1942</v>
      </c>
      <c r="F1193" s="25">
        <v>0</v>
      </c>
      <c r="G1193" s="25">
        <v>-1942</v>
      </c>
    </row>
    <row r="1194" spans="1:7" ht="15.75" customHeight="1" x14ac:dyDescent="0.25">
      <c r="A1194" s="8" t="s">
        <v>1095</v>
      </c>
      <c r="B1194" s="8" t="s">
        <v>1232</v>
      </c>
      <c r="C1194" s="8" t="s">
        <v>1449</v>
      </c>
      <c r="D1194" s="8" t="s">
        <v>1451</v>
      </c>
      <c r="E1194" s="25">
        <v>-696</v>
      </c>
      <c r="F1194" s="25">
        <v>0</v>
      </c>
      <c r="G1194" s="25">
        <v>-696</v>
      </c>
    </row>
    <row r="1195" spans="1:7" ht="15.75" customHeight="1" x14ac:dyDescent="0.25">
      <c r="A1195" s="8" t="s">
        <v>1095</v>
      </c>
      <c r="B1195" s="8" t="s">
        <v>1232</v>
      </c>
      <c r="C1195" s="8" t="s">
        <v>1449</v>
      </c>
      <c r="D1195" s="8" t="s">
        <v>1451</v>
      </c>
      <c r="E1195" s="25">
        <v>-2232</v>
      </c>
      <c r="F1195" s="25">
        <v>0</v>
      </c>
      <c r="G1195" s="25">
        <v>-2232</v>
      </c>
    </row>
    <row r="1196" spans="1:7" ht="15.75" customHeight="1" x14ac:dyDescent="0.25">
      <c r="A1196" s="8" t="s">
        <v>1095</v>
      </c>
      <c r="B1196" s="8" t="s">
        <v>1232</v>
      </c>
      <c r="C1196" s="8" t="s">
        <v>1449</v>
      </c>
      <c r="D1196" s="8" t="s">
        <v>1451</v>
      </c>
      <c r="E1196" s="25">
        <v>-2822</v>
      </c>
      <c r="F1196" s="25">
        <v>0</v>
      </c>
      <c r="G1196" s="25">
        <v>-2822</v>
      </c>
    </row>
    <row r="1197" spans="1:7" ht="15.75" customHeight="1" x14ac:dyDescent="0.25">
      <c r="A1197" s="8" t="s">
        <v>1095</v>
      </c>
      <c r="B1197" s="8" t="s">
        <v>1234</v>
      </c>
      <c r="C1197" s="8" t="s">
        <v>1449</v>
      </c>
      <c r="D1197" s="8" t="s">
        <v>1452</v>
      </c>
      <c r="E1197" s="25">
        <v>673.08</v>
      </c>
      <c r="F1197" s="25">
        <v>0</v>
      </c>
      <c r="G1197" s="25">
        <v>673.08</v>
      </c>
    </row>
    <row r="1198" spans="1:7" ht="15.75" customHeight="1" x14ac:dyDescent="0.25">
      <c r="A1198" s="8" t="s">
        <v>1095</v>
      </c>
      <c r="B1198" s="8" t="s">
        <v>1234</v>
      </c>
      <c r="C1198" s="8" t="s">
        <v>1449</v>
      </c>
      <c r="D1198" s="8" t="s">
        <v>1452</v>
      </c>
      <c r="E1198" s="25">
        <v>769.23</v>
      </c>
      <c r="F1198" s="25">
        <v>0</v>
      </c>
      <c r="G1198" s="25">
        <v>769.23</v>
      </c>
    </row>
    <row r="1199" spans="1:7" ht="15.75" customHeight="1" x14ac:dyDescent="0.25">
      <c r="A1199" s="8" t="s">
        <v>1095</v>
      </c>
      <c r="B1199" s="8" t="s">
        <v>1234</v>
      </c>
      <c r="C1199" s="8" t="s">
        <v>1449</v>
      </c>
      <c r="D1199" s="8" t="s">
        <v>1452</v>
      </c>
      <c r="E1199" s="25">
        <v>326.92</v>
      </c>
      <c r="F1199" s="25">
        <v>0</v>
      </c>
      <c r="G1199" s="25">
        <v>326.92</v>
      </c>
    </row>
    <row r="1200" spans="1:7" ht="15.75" customHeight="1" x14ac:dyDescent="0.25">
      <c r="A1200" s="8" t="s">
        <v>1095</v>
      </c>
      <c r="B1200" s="8" t="s">
        <v>1234</v>
      </c>
      <c r="C1200" s="8" t="s">
        <v>1449</v>
      </c>
      <c r="D1200" s="8" t="s">
        <v>1452</v>
      </c>
      <c r="E1200" s="25">
        <v>878.45</v>
      </c>
      <c r="F1200" s="25">
        <v>0</v>
      </c>
      <c r="G1200" s="25">
        <v>878.45</v>
      </c>
    </row>
    <row r="1201" spans="1:7" ht="15.75" customHeight="1" x14ac:dyDescent="0.25">
      <c r="A1201" s="8" t="s">
        <v>1095</v>
      </c>
      <c r="B1201" s="8" t="s">
        <v>1234</v>
      </c>
      <c r="C1201" s="8" t="s">
        <v>1449</v>
      </c>
      <c r="D1201" s="8" t="s">
        <v>1452</v>
      </c>
      <c r="E1201" s="25">
        <v>1057.69</v>
      </c>
      <c r="F1201" s="25">
        <v>0</v>
      </c>
      <c r="G1201" s="25">
        <v>1057.69</v>
      </c>
    </row>
    <row r="1202" spans="1:7" ht="15.75" customHeight="1" x14ac:dyDescent="0.25">
      <c r="A1202" s="8" t="s">
        <v>1095</v>
      </c>
      <c r="B1202" s="8" t="s">
        <v>1236</v>
      </c>
      <c r="C1202" s="8" t="s">
        <v>1449</v>
      </c>
      <c r="D1202" s="8" t="s">
        <v>1453</v>
      </c>
      <c r="E1202" s="25">
        <v>-873.08</v>
      </c>
      <c r="F1202" s="25">
        <v>0</v>
      </c>
      <c r="G1202" s="25">
        <v>-873.08</v>
      </c>
    </row>
    <row r="1203" spans="1:7" ht="15.75" customHeight="1" x14ac:dyDescent="0.25">
      <c r="A1203" s="8" t="s">
        <v>1095</v>
      </c>
      <c r="B1203" s="8" t="s">
        <v>1236</v>
      </c>
      <c r="C1203" s="8" t="s">
        <v>1449</v>
      </c>
      <c r="D1203" s="8" t="s">
        <v>1453</v>
      </c>
      <c r="E1203" s="25">
        <v>-769.23</v>
      </c>
      <c r="F1203" s="25">
        <v>0</v>
      </c>
      <c r="G1203" s="25">
        <v>-769.23</v>
      </c>
    </row>
    <row r="1204" spans="1:7" ht="15.75" customHeight="1" x14ac:dyDescent="0.25">
      <c r="A1204" s="8" t="s">
        <v>1095</v>
      </c>
      <c r="B1204" s="8" t="s">
        <v>1236</v>
      </c>
      <c r="C1204" s="8" t="s">
        <v>1449</v>
      </c>
      <c r="D1204" s="8" t="s">
        <v>1453</v>
      </c>
      <c r="E1204" s="25">
        <v>-523.07000000000005</v>
      </c>
      <c r="F1204" s="25">
        <v>0</v>
      </c>
      <c r="G1204" s="25">
        <v>-523.07000000000005</v>
      </c>
    </row>
    <row r="1205" spans="1:7" ht="15.75" customHeight="1" x14ac:dyDescent="0.25">
      <c r="A1205" s="8" t="s">
        <v>1095</v>
      </c>
      <c r="B1205" s="8" t="s">
        <v>1236</v>
      </c>
      <c r="C1205" s="8" t="s">
        <v>1449</v>
      </c>
      <c r="D1205" s="8" t="s">
        <v>1453</v>
      </c>
      <c r="E1205" s="25">
        <v>-1178.45</v>
      </c>
      <c r="F1205" s="25">
        <v>0</v>
      </c>
      <c r="G1205" s="25">
        <v>-1178.45</v>
      </c>
    </row>
    <row r="1206" spans="1:7" ht="15.75" customHeight="1" x14ac:dyDescent="0.25">
      <c r="A1206" s="8" t="s">
        <v>1095</v>
      </c>
      <c r="B1206" s="8" t="s">
        <v>1236</v>
      </c>
      <c r="C1206" s="8" t="s">
        <v>1449</v>
      </c>
      <c r="D1206" s="8" t="s">
        <v>1453</v>
      </c>
      <c r="E1206" s="25">
        <v>-1057.69</v>
      </c>
      <c r="F1206" s="25">
        <v>0</v>
      </c>
      <c r="G1206" s="25">
        <v>-1057.69</v>
      </c>
    </row>
    <row r="1207" spans="1:7" ht="15.75" customHeight="1" x14ac:dyDescent="0.25">
      <c r="A1207" s="8" t="s">
        <v>1095</v>
      </c>
      <c r="B1207" s="8" t="s">
        <v>1225</v>
      </c>
      <c r="C1207" s="8" t="s">
        <v>1449</v>
      </c>
      <c r="D1207" s="8" t="s">
        <v>1454</v>
      </c>
      <c r="E1207" s="25">
        <v>-26691.599999999999</v>
      </c>
      <c r="F1207" s="25">
        <v>0</v>
      </c>
      <c r="G1207" s="25">
        <v>-26691.599999999999</v>
      </c>
    </row>
    <row r="1208" spans="1:7" ht="15.75" customHeight="1" x14ac:dyDescent="0.25">
      <c r="A1208" s="8" t="s">
        <v>1095</v>
      </c>
      <c r="B1208" s="8" t="s">
        <v>132</v>
      </c>
      <c r="C1208" s="8" t="s">
        <v>70</v>
      </c>
      <c r="D1208" s="8" t="s">
        <v>1455</v>
      </c>
      <c r="E1208" s="25">
        <v>6036.03</v>
      </c>
      <c r="F1208" s="25">
        <v>0</v>
      </c>
      <c r="G1208" s="25">
        <v>6036.03</v>
      </c>
    </row>
    <row r="1209" spans="1:7" ht="15.75" customHeight="1" x14ac:dyDescent="0.25">
      <c r="A1209" s="8" t="s">
        <v>1456</v>
      </c>
      <c r="B1209" s="8" t="s">
        <v>1222</v>
      </c>
      <c r="C1209" s="8" t="s">
        <v>1457</v>
      </c>
      <c r="D1209" s="8" t="s">
        <v>1224</v>
      </c>
      <c r="E1209" s="25">
        <v>-280.5</v>
      </c>
      <c r="F1209" s="25">
        <v>0</v>
      </c>
      <c r="G1209" s="25">
        <v>-280.5</v>
      </c>
    </row>
    <row r="1210" spans="1:7" ht="15.75" customHeight="1" x14ac:dyDescent="0.25">
      <c r="A1210" s="8" t="s">
        <v>1099</v>
      </c>
      <c r="B1210" s="8" t="s">
        <v>1222</v>
      </c>
      <c r="C1210" s="8" t="s">
        <v>1458</v>
      </c>
      <c r="D1210" s="8" t="s">
        <v>1224</v>
      </c>
      <c r="E1210" s="25">
        <v>-330</v>
      </c>
      <c r="F1210" s="25">
        <v>0</v>
      </c>
      <c r="G1210" s="25">
        <v>-330</v>
      </c>
    </row>
    <row r="1211" spans="1:7" ht="15.75" customHeight="1" x14ac:dyDescent="0.25">
      <c r="A1211" s="8" t="s">
        <v>841</v>
      </c>
      <c r="B1211" s="8" t="s">
        <v>1345</v>
      </c>
      <c r="C1211" s="8" t="s">
        <v>1459</v>
      </c>
      <c r="D1211" s="8" t="s">
        <v>1460</v>
      </c>
      <c r="E1211" s="25">
        <v>21372</v>
      </c>
      <c r="F1211" s="25">
        <v>0</v>
      </c>
      <c r="G1211" s="25">
        <v>21372</v>
      </c>
    </row>
    <row r="1212" spans="1:7" ht="15.75" customHeight="1" x14ac:dyDescent="0.25">
      <c r="A1212" s="8" t="s">
        <v>841</v>
      </c>
      <c r="B1212" s="8" t="s">
        <v>1232</v>
      </c>
      <c r="C1212" s="8" t="s">
        <v>1461</v>
      </c>
      <c r="D1212" s="8" t="s">
        <v>1462</v>
      </c>
      <c r="E1212" s="25">
        <v>21372</v>
      </c>
      <c r="F1212" s="25">
        <v>0</v>
      </c>
      <c r="G1212" s="25">
        <v>21372</v>
      </c>
    </row>
    <row r="1213" spans="1:7" ht="15.75" customHeight="1" x14ac:dyDescent="0.25">
      <c r="A1213" s="8" t="s">
        <v>841</v>
      </c>
      <c r="B1213" s="8" t="s">
        <v>1345</v>
      </c>
      <c r="C1213" s="8" t="s">
        <v>1461</v>
      </c>
      <c r="D1213" s="8" t="s">
        <v>1463</v>
      </c>
      <c r="E1213" s="25">
        <v>-21372</v>
      </c>
      <c r="F1213" s="25">
        <v>0</v>
      </c>
      <c r="G1213" s="25">
        <v>-21372</v>
      </c>
    </row>
    <row r="1214" spans="1:7" ht="15.75" customHeight="1" x14ac:dyDescent="0.25">
      <c r="A1214" s="8" t="s">
        <v>841</v>
      </c>
      <c r="B1214" s="8" t="s">
        <v>1222</v>
      </c>
      <c r="C1214" s="8" t="s">
        <v>1464</v>
      </c>
      <c r="D1214" s="8" t="s">
        <v>1224</v>
      </c>
      <c r="E1214" s="25">
        <v>-187</v>
      </c>
      <c r="F1214" s="25">
        <v>0</v>
      </c>
      <c r="G1214" s="25">
        <v>-187</v>
      </c>
    </row>
    <row r="1215" spans="1:7" ht="15.75" customHeight="1" x14ac:dyDescent="0.25">
      <c r="A1215" s="8" t="s">
        <v>841</v>
      </c>
      <c r="B1215" s="8" t="s">
        <v>1236</v>
      </c>
      <c r="C1215" s="8" t="s">
        <v>70</v>
      </c>
      <c r="D1215" s="8" t="s">
        <v>1465</v>
      </c>
      <c r="E1215" s="25">
        <v>9693.09</v>
      </c>
      <c r="F1215" s="25">
        <v>0</v>
      </c>
      <c r="G1215" s="25">
        <v>9693.09</v>
      </c>
    </row>
    <row r="1216" spans="1:7" ht="15.75" customHeight="1" x14ac:dyDescent="0.25">
      <c r="A1216" s="8" t="s">
        <v>849</v>
      </c>
      <c r="B1216" s="8" t="s">
        <v>1466</v>
      </c>
      <c r="C1216" s="8" t="s">
        <v>70</v>
      </c>
      <c r="D1216" s="8" t="s">
        <v>1467</v>
      </c>
      <c r="E1216" s="25">
        <v>10000</v>
      </c>
      <c r="F1216" s="25">
        <v>0</v>
      </c>
      <c r="G1216" s="25">
        <v>10000</v>
      </c>
    </row>
    <row r="1217" spans="1:7" ht="15.75" customHeight="1" x14ac:dyDescent="0.25">
      <c r="A1217" s="8" t="s">
        <v>854</v>
      </c>
      <c r="B1217" s="8" t="s">
        <v>1222</v>
      </c>
      <c r="C1217" s="8" t="s">
        <v>1468</v>
      </c>
      <c r="D1217" s="8" t="s">
        <v>1224</v>
      </c>
      <c r="E1217" s="25">
        <v>-220</v>
      </c>
      <c r="F1217" s="25">
        <v>0</v>
      </c>
      <c r="G1217" s="25">
        <v>-220</v>
      </c>
    </row>
    <row r="1218" spans="1:7" ht="15.75" customHeight="1" x14ac:dyDescent="0.25">
      <c r="A1218" s="8" t="s">
        <v>856</v>
      </c>
      <c r="B1218" s="8" t="s">
        <v>1222</v>
      </c>
      <c r="C1218" s="8" t="s">
        <v>1469</v>
      </c>
      <c r="D1218" s="8" t="s">
        <v>1224</v>
      </c>
      <c r="E1218" s="25">
        <v>-378.4</v>
      </c>
      <c r="F1218" s="25">
        <v>0</v>
      </c>
      <c r="G1218" s="25">
        <v>-378.4</v>
      </c>
    </row>
    <row r="1219" spans="1:7" ht="15.75" customHeight="1" x14ac:dyDescent="0.25">
      <c r="A1219" s="8" t="s">
        <v>856</v>
      </c>
      <c r="B1219" s="8" t="s">
        <v>132</v>
      </c>
      <c r="C1219" s="8" t="s">
        <v>70</v>
      </c>
      <c r="D1219" s="8" t="s">
        <v>1470</v>
      </c>
      <c r="E1219" s="25">
        <v>-949.59</v>
      </c>
      <c r="F1219" s="25">
        <v>0</v>
      </c>
      <c r="G1219" s="25">
        <v>-949.59</v>
      </c>
    </row>
    <row r="1220" spans="1:7" ht="15.75" customHeight="1" x14ac:dyDescent="0.25">
      <c r="A1220" s="8" t="s">
        <v>1471</v>
      </c>
      <c r="B1220" s="8" t="s">
        <v>1225</v>
      </c>
      <c r="C1220" s="8" t="s">
        <v>70</v>
      </c>
      <c r="D1220" s="8" t="s">
        <v>1472</v>
      </c>
      <c r="E1220" s="25">
        <v>29748.87</v>
      </c>
      <c r="F1220" s="25">
        <v>0</v>
      </c>
      <c r="G1220" s="25">
        <v>29748.87</v>
      </c>
    </row>
    <row r="1221" spans="1:7" ht="15.75" customHeight="1" x14ac:dyDescent="0.25">
      <c r="A1221" s="8" t="s">
        <v>859</v>
      </c>
      <c r="B1221" s="8" t="s">
        <v>132</v>
      </c>
      <c r="C1221" s="8" t="s">
        <v>70</v>
      </c>
      <c r="D1221" s="8" t="s">
        <v>1473</v>
      </c>
      <c r="E1221" s="25">
        <v>949.59</v>
      </c>
      <c r="F1221" s="25">
        <v>0</v>
      </c>
      <c r="G1221" s="25">
        <v>949.59</v>
      </c>
    </row>
    <row r="1222" spans="1:7" ht="15.75" customHeight="1" x14ac:dyDescent="0.25">
      <c r="A1222" s="8" t="s">
        <v>859</v>
      </c>
      <c r="B1222" s="8" t="s">
        <v>1207</v>
      </c>
      <c r="C1222" s="8" t="s">
        <v>1474</v>
      </c>
      <c r="D1222" s="8" t="s">
        <v>1475</v>
      </c>
      <c r="E1222" s="25">
        <v>6855.77</v>
      </c>
      <c r="F1222" s="25">
        <v>0</v>
      </c>
      <c r="G1222" s="25">
        <v>6855.77</v>
      </c>
    </row>
    <row r="1223" spans="1:7" ht="15.75" customHeight="1" x14ac:dyDescent="0.25">
      <c r="A1223" s="8" t="s">
        <v>859</v>
      </c>
      <c r="B1223" s="8" t="s">
        <v>1207</v>
      </c>
      <c r="C1223" s="8" t="s">
        <v>1474</v>
      </c>
      <c r="D1223" s="8" t="s">
        <v>1475</v>
      </c>
      <c r="E1223" s="25">
        <v>7942.31</v>
      </c>
      <c r="F1223" s="25">
        <v>0</v>
      </c>
      <c r="G1223" s="25">
        <v>7942.31</v>
      </c>
    </row>
    <row r="1224" spans="1:7" ht="15.75" customHeight="1" x14ac:dyDescent="0.25">
      <c r="A1224" s="8" t="s">
        <v>859</v>
      </c>
      <c r="B1224" s="8" t="s">
        <v>1207</v>
      </c>
      <c r="C1224" s="8" t="s">
        <v>1474</v>
      </c>
      <c r="D1224" s="8" t="s">
        <v>1475</v>
      </c>
      <c r="E1224" s="25">
        <v>3394.22</v>
      </c>
      <c r="F1224" s="25">
        <v>0</v>
      </c>
      <c r="G1224" s="25">
        <v>3394.22</v>
      </c>
    </row>
    <row r="1225" spans="1:7" ht="15.75" customHeight="1" x14ac:dyDescent="0.25">
      <c r="A1225" s="8" t="s">
        <v>859</v>
      </c>
      <c r="B1225" s="8" t="s">
        <v>1207</v>
      </c>
      <c r="C1225" s="8" t="s">
        <v>1474</v>
      </c>
      <c r="D1225" s="8" t="s">
        <v>1475</v>
      </c>
      <c r="E1225" s="25">
        <v>6670.92</v>
      </c>
      <c r="F1225" s="25">
        <v>0</v>
      </c>
      <c r="G1225" s="25">
        <v>6670.92</v>
      </c>
    </row>
    <row r="1226" spans="1:7" ht="15.75" customHeight="1" x14ac:dyDescent="0.25">
      <c r="A1226" s="8" t="s">
        <v>859</v>
      </c>
      <c r="B1226" s="8" t="s">
        <v>1207</v>
      </c>
      <c r="C1226" s="8" t="s">
        <v>1474</v>
      </c>
      <c r="D1226" s="8" t="s">
        <v>1475</v>
      </c>
      <c r="E1226" s="25">
        <v>10951.92</v>
      </c>
      <c r="F1226" s="25">
        <v>0</v>
      </c>
      <c r="G1226" s="25">
        <v>10951.92</v>
      </c>
    </row>
    <row r="1227" spans="1:7" ht="15.75" customHeight="1" x14ac:dyDescent="0.25">
      <c r="A1227" s="8" t="s">
        <v>859</v>
      </c>
      <c r="B1227" s="8" t="s">
        <v>1209</v>
      </c>
      <c r="C1227" s="8" t="s">
        <v>1474</v>
      </c>
      <c r="D1227" s="8" t="s">
        <v>1475</v>
      </c>
      <c r="E1227" s="25">
        <v>6095</v>
      </c>
      <c r="F1227" s="25">
        <v>0</v>
      </c>
      <c r="G1227" s="25">
        <v>6095</v>
      </c>
    </row>
    <row r="1228" spans="1:7" ht="15.75" customHeight="1" x14ac:dyDescent="0.25">
      <c r="A1228" s="8" t="s">
        <v>859</v>
      </c>
      <c r="B1228" s="8" t="s">
        <v>1232</v>
      </c>
      <c r="C1228" s="8" t="s">
        <v>1474</v>
      </c>
      <c r="D1228" s="8" t="s">
        <v>1476</v>
      </c>
      <c r="E1228" s="25">
        <v>-1974</v>
      </c>
      <c r="F1228" s="25">
        <v>0</v>
      </c>
      <c r="G1228" s="25">
        <v>-1974</v>
      </c>
    </row>
    <row r="1229" spans="1:7" ht="15.75" customHeight="1" x14ac:dyDescent="0.25">
      <c r="A1229" s="8" t="s">
        <v>859</v>
      </c>
      <c r="B1229" s="8" t="s">
        <v>1232</v>
      </c>
      <c r="C1229" s="8" t="s">
        <v>1474</v>
      </c>
      <c r="D1229" s="8" t="s">
        <v>1476</v>
      </c>
      <c r="E1229" s="25">
        <v>-1942</v>
      </c>
      <c r="F1229" s="25">
        <v>0</v>
      </c>
      <c r="G1229" s="25">
        <v>-1942</v>
      </c>
    </row>
    <row r="1230" spans="1:7" ht="15.75" customHeight="1" x14ac:dyDescent="0.25">
      <c r="A1230" s="8" t="s">
        <v>859</v>
      </c>
      <c r="B1230" s="8" t="s">
        <v>1232</v>
      </c>
      <c r="C1230" s="8" t="s">
        <v>1474</v>
      </c>
      <c r="D1230" s="8" t="s">
        <v>1476</v>
      </c>
      <c r="E1230" s="25">
        <v>-696</v>
      </c>
      <c r="F1230" s="25">
        <v>0</v>
      </c>
      <c r="G1230" s="25">
        <v>-696</v>
      </c>
    </row>
    <row r="1231" spans="1:7" ht="15.75" customHeight="1" x14ac:dyDescent="0.25">
      <c r="A1231" s="8" t="s">
        <v>859</v>
      </c>
      <c r="B1231" s="8" t="s">
        <v>1232</v>
      </c>
      <c r="C1231" s="8" t="s">
        <v>1474</v>
      </c>
      <c r="D1231" s="8" t="s">
        <v>1476</v>
      </c>
      <c r="E1231" s="25">
        <v>-3356</v>
      </c>
      <c r="F1231" s="25">
        <v>0</v>
      </c>
      <c r="G1231" s="25">
        <v>-3356</v>
      </c>
    </row>
    <row r="1232" spans="1:7" ht="15.75" customHeight="1" x14ac:dyDescent="0.25">
      <c r="A1232" s="8" t="s">
        <v>859</v>
      </c>
      <c r="B1232" s="8" t="s">
        <v>1232</v>
      </c>
      <c r="C1232" s="8" t="s">
        <v>1474</v>
      </c>
      <c r="D1232" s="8" t="s">
        <v>1476</v>
      </c>
      <c r="E1232" s="25">
        <v>-2822</v>
      </c>
      <c r="F1232" s="25">
        <v>0</v>
      </c>
      <c r="G1232" s="25">
        <v>-2822</v>
      </c>
    </row>
    <row r="1233" spans="1:7" ht="15.75" customHeight="1" x14ac:dyDescent="0.25">
      <c r="A1233" s="8" t="s">
        <v>859</v>
      </c>
      <c r="B1233" s="8" t="s">
        <v>1234</v>
      </c>
      <c r="C1233" s="8" t="s">
        <v>1474</v>
      </c>
      <c r="D1233" s="8" t="s">
        <v>1477</v>
      </c>
      <c r="E1233" s="25">
        <v>673.08</v>
      </c>
      <c r="F1233" s="25">
        <v>0</v>
      </c>
      <c r="G1233" s="25">
        <v>673.08</v>
      </c>
    </row>
    <row r="1234" spans="1:7" ht="15.75" customHeight="1" x14ac:dyDescent="0.25">
      <c r="A1234" s="8" t="s">
        <v>859</v>
      </c>
      <c r="B1234" s="8" t="s">
        <v>1234</v>
      </c>
      <c r="C1234" s="8" t="s">
        <v>1474</v>
      </c>
      <c r="D1234" s="8" t="s">
        <v>1477</v>
      </c>
      <c r="E1234" s="25">
        <v>769.23</v>
      </c>
      <c r="F1234" s="25">
        <v>0</v>
      </c>
      <c r="G1234" s="25">
        <v>769.23</v>
      </c>
    </row>
    <row r="1235" spans="1:7" ht="15.75" customHeight="1" x14ac:dyDescent="0.25">
      <c r="A1235" s="8" t="s">
        <v>859</v>
      </c>
      <c r="B1235" s="8" t="s">
        <v>1234</v>
      </c>
      <c r="C1235" s="8" t="s">
        <v>1474</v>
      </c>
      <c r="D1235" s="8" t="s">
        <v>1477</v>
      </c>
      <c r="E1235" s="25">
        <v>326.92</v>
      </c>
      <c r="F1235" s="25">
        <v>0</v>
      </c>
      <c r="G1235" s="25">
        <v>326.92</v>
      </c>
    </row>
    <row r="1236" spans="1:7" ht="15.75" customHeight="1" x14ac:dyDescent="0.25">
      <c r="A1236" s="8" t="s">
        <v>859</v>
      </c>
      <c r="B1236" s="8" t="s">
        <v>1234</v>
      </c>
      <c r="C1236" s="8" t="s">
        <v>1474</v>
      </c>
      <c r="D1236" s="8" t="s">
        <v>1477</v>
      </c>
      <c r="E1236" s="25">
        <v>1251.5899999999999</v>
      </c>
      <c r="F1236" s="25">
        <v>0</v>
      </c>
      <c r="G1236" s="25">
        <v>1251.5899999999999</v>
      </c>
    </row>
    <row r="1237" spans="1:7" ht="15.75" customHeight="1" x14ac:dyDescent="0.25">
      <c r="A1237" s="8" t="s">
        <v>859</v>
      </c>
      <c r="B1237" s="8" t="s">
        <v>1234</v>
      </c>
      <c r="C1237" s="8" t="s">
        <v>1474</v>
      </c>
      <c r="D1237" s="8" t="s">
        <v>1477</v>
      </c>
      <c r="E1237" s="25">
        <v>1057.7</v>
      </c>
      <c r="F1237" s="25">
        <v>0</v>
      </c>
      <c r="G1237" s="25">
        <v>1057.7</v>
      </c>
    </row>
    <row r="1238" spans="1:7" ht="15.75" customHeight="1" x14ac:dyDescent="0.25">
      <c r="A1238" s="8" t="s">
        <v>859</v>
      </c>
      <c r="B1238" s="8" t="s">
        <v>1236</v>
      </c>
      <c r="C1238" s="8" t="s">
        <v>1474</v>
      </c>
      <c r="D1238" s="8" t="s">
        <v>1478</v>
      </c>
      <c r="E1238" s="25">
        <v>-873.08</v>
      </c>
      <c r="F1238" s="25">
        <v>0</v>
      </c>
      <c r="G1238" s="25">
        <v>-873.08</v>
      </c>
    </row>
    <row r="1239" spans="1:7" ht="15.75" customHeight="1" x14ac:dyDescent="0.25">
      <c r="A1239" s="8" t="s">
        <v>859</v>
      </c>
      <c r="B1239" s="8" t="s">
        <v>1236</v>
      </c>
      <c r="C1239" s="8" t="s">
        <v>1474</v>
      </c>
      <c r="D1239" s="8" t="s">
        <v>1478</v>
      </c>
      <c r="E1239" s="25">
        <v>-769.23</v>
      </c>
      <c r="F1239" s="25">
        <v>0</v>
      </c>
      <c r="G1239" s="25">
        <v>-769.23</v>
      </c>
    </row>
    <row r="1240" spans="1:7" ht="15.75" customHeight="1" x14ac:dyDescent="0.25">
      <c r="A1240" s="8" t="s">
        <v>859</v>
      </c>
      <c r="B1240" s="8" t="s">
        <v>1236</v>
      </c>
      <c r="C1240" s="8" t="s">
        <v>1474</v>
      </c>
      <c r="D1240" s="8" t="s">
        <v>1478</v>
      </c>
      <c r="E1240" s="25">
        <v>-523.07000000000005</v>
      </c>
      <c r="F1240" s="25">
        <v>0</v>
      </c>
      <c r="G1240" s="25">
        <v>-523.07000000000005</v>
      </c>
    </row>
    <row r="1241" spans="1:7" ht="15.75" customHeight="1" x14ac:dyDescent="0.25">
      <c r="A1241" s="8" t="s">
        <v>859</v>
      </c>
      <c r="B1241" s="8" t="s">
        <v>1236</v>
      </c>
      <c r="C1241" s="8" t="s">
        <v>1474</v>
      </c>
      <c r="D1241" s="8" t="s">
        <v>1478</v>
      </c>
      <c r="E1241" s="25">
        <v>-2226.71</v>
      </c>
      <c r="F1241" s="25">
        <v>0</v>
      </c>
      <c r="G1241" s="25">
        <v>-2226.71</v>
      </c>
    </row>
    <row r="1242" spans="1:7" ht="15.75" customHeight="1" x14ac:dyDescent="0.25">
      <c r="A1242" s="8" t="s">
        <v>859</v>
      </c>
      <c r="B1242" s="8" t="s">
        <v>1236</v>
      </c>
      <c r="C1242" s="8" t="s">
        <v>1474</v>
      </c>
      <c r="D1242" s="8" t="s">
        <v>1478</v>
      </c>
      <c r="E1242" s="25">
        <v>-1057.7</v>
      </c>
      <c r="F1242" s="25">
        <v>0</v>
      </c>
      <c r="G1242" s="25">
        <v>-1057.7</v>
      </c>
    </row>
    <row r="1243" spans="1:7" ht="15.75" customHeight="1" x14ac:dyDescent="0.25">
      <c r="A1243" s="8" t="s">
        <v>859</v>
      </c>
      <c r="B1243" s="8" t="s">
        <v>1225</v>
      </c>
      <c r="C1243" s="8" t="s">
        <v>1474</v>
      </c>
      <c r="D1243" s="8" t="s">
        <v>1479</v>
      </c>
      <c r="E1243" s="25">
        <v>-29748.87</v>
      </c>
      <c r="F1243" s="25">
        <v>0</v>
      </c>
      <c r="G1243" s="25">
        <v>-29748.87</v>
      </c>
    </row>
    <row r="1244" spans="1:7" ht="15.75" customHeight="1" x14ac:dyDescent="0.25">
      <c r="A1244" s="8" t="s">
        <v>869</v>
      </c>
      <c r="B1244" s="8" t="s">
        <v>1222</v>
      </c>
      <c r="C1244" s="8" t="s">
        <v>1480</v>
      </c>
      <c r="D1244" s="8" t="s">
        <v>1224</v>
      </c>
      <c r="E1244" s="25">
        <v>-1782</v>
      </c>
      <c r="F1244" s="25">
        <v>0</v>
      </c>
      <c r="G1244" s="25">
        <v>-1782</v>
      </c>
    </row>
    <row r="1245" spans="1:7" ht="15.75" customHeight="1" x14ac:dyDescent="0.25">
      <c r="A1245" s="8" t="s">
        <v>869</v>
      </c>
      <c r="B1245" s="8" t="s">
        <v>1227</v>
      </c>
      <c r="C1245" s="8" t="s">
        <v>1481</v>
      </c>
      <c r="D1245" s="8" t="s">
        <v>1482</v>
      </c>
      <c r="E1245" s="25">
        <v>-6</v>
      </c>
      <c r="F1245" s="25">
        <v>0</v>
      </c>
      <c r="G1245" s="25">
        <v>-6</v>
      </c>
    </row>
    <row r="1246" spans="1:7" ht="15.75" customHeight="1" x14ac:dyDescent="0.25">
      <c r="A1246" s="8" t="s">
        <v>876</v>
      </c>
      <c r="B1246" s="8" t="s">
        <v>1222</v>
      </c>
      <c r="C1246" s="8" t="s">
        <v>1483</v>
      </c>
      <c r="D1246" s="8" t="s">
        <v>1224</v>
      </c>
      <c r="E1246" s="25">
        <v>-2971.27</v>
      </c>
      <c r="F1246" s="25">
        <v>0</v>
      </c>
      <c r="G1246" s="25">
        <v>-2971.27</v>
      </c>
    </row>
    <row r="1247" spans="1:7" ht="15.75" customHeight="1" x14ac:dyDescent="0.25">
      <c r="A1247" s="8" t="s">
        <v>882</v>
      </c>
      <c r="B1247" s="8" t="s">
        <v>1268</v>
      </c>
      <c r="C1247" s="8" t="s">
        <v>1484</v>
      </c>
      <c r="D1247" s="8" t="s">
        <v>1270</v>
      </c>
      <c r="E1247" s="25">
        <v>875</v>
      </c>
      <c r="F1247" s="25">
        <v>0</v>
      </c>
      <c r="G1247" s="25">
        <v>875</v>
      </c>
    </row>
    <row r="1248" spans="1:7" ht="15.75" customHeight="1" x14ac:dyDescent="0.25">
      <c r="A1248" s="8" t="s">
        <v>882</v>
      </c>
      <c r="B1248" s="8" t="s">
        <v>1271</v>
      </c>
      <c r="C1248" s="8" t="s">
        <v>1484</v>
      </c>
      <c r="D1248" s="8" t="s">
        <v>1270</v>
      </c>
      <c r="E1248" s="25">
        <v>-875</v>
      </c>
      <c r="F1248" s="25">
        <v>0</v>
      </c>
      <c r="G1248" s="25">
        <v>-875</v>
      </c>
    </row>
    <row r="1249" spans="1:7" ht="15.75" customHeight="1" x14ac:dyDescent="0.25">
      <c r="A1249" s="8" t="s">
        <v>882</v>
      </c>
      <c r="B1249" s="8" t="s">
        <v>1279</v>
      </c>
      <c r="C1249" s="8" t="s">
        <v>1485</v>
      </c>
      <c r="D1249" s="8" t="s">
        <v>1281</v>
      </c>
      <c r="E1249" s="25">
        <v>32500</v>
      </c>
      <c r="F1249" s="25">
        <v>0</v>
      </c>
      <c r="G1249" s="25">
        <v>32500</v>
      </c>
    </row>
    <row r="1250" spans="1:7" ht="15.75" customHeight="1" x14ac:dyDescent="0.25">
      <c r="A1250" s="8" t="s">
        <v>882</v>
      </c>
      <c r="B1250" s="8" t="s">
        <v>1207</v>
      </c>
      <c r="C1250" s="8" t="s">
        <v>1485</v>
      </c>
      <c r="D1250" s="8" t="s">
        <v>1281</v>
      </c>
      <c r="E1250" s="25">
        <v>-32500</v>
      </c>
      <c r="F1250" s="25">
        <v>0</v>
      </c>
      <c r="G1250" s="25">
        <v>-32500</v>
      </c>
    </row>
    <row r="1251" spans="1:7" ht="15.75" customHeight="1" x14ac:dyDescent="0.25">
      <c r="A1251" s="8" t="s">
        <v>882</v>
      </c>
      <c r="B1251" s="8" t="s">
        <v>1282</v>
      </c>
      <c r="C1251" s="8" t="s">
        <v>1485</v>
      </c>
      <c r="D1251" s="8" t="s">
        <v>1281</v>
      </c>
      <c r="E1251" s="25">
        <v>3250</v>
      </c>
      <c r="F1251" s="25">
        <v>0</v>
      </c>
      <c r="G1251" s="25">
        <v>3250</v>
      </c>
    </row>
    <row r="1252" spans="1:7" ht="15.75" customHeight="1" x14ac:dyDescent="0.25">
      <c r="A1252" s="8" t="s">
        <v>882</v>
      </c>
      <c r="B1252" s="8" t="s">
        <v>1234</v>
      </c>
      <c r="C1252" s="8" t="s">
        <v>1485</v>
      </c>
      <c r="D1252" s="8" t="s">
        <v>1281</v>
      </c>
      <c r="E1252" s="25">
        <v>-3250</v>
      </c>
      <c r="F1252" s="25">
        <v>0</v>
      </c>
      <c r="G1252" s="25">
        <v>-3250</v>
      </c>
    </row>
    <row r="1253" spans="1:7" ht="15.75" customHeight="1" x14ac:dyDescent="0.25">
      <c r="A1253" s="8" t="s">
        <v>882</v>
      </c>
      <c r="B1253" s="8" t="s">
        <v>1486</v>
      </c>
      <c r="C1253" s="8" t="s">
        <v>1182</v>
      </c>
      <c r="D1253" s="8" t="s">
        <v>1183</v>
      </c>
      <c r="E1253" s="25">
        <v>0.96</v>
      </c>
      <c r="F1253" s="25">
        <v>0</v>
      </c>
      <c r="G1253" s="25">
        <v>0.96</v>
      </c>
    </row>
    <row r="1254" spans="1:7" ht="15.75" customHeight="1" x14ac:dyDescent="0.25">
      <c r="A1254" s="8" t="s">
        <v>882</v>
      </c>
      <c r="B1254" s="8" t="s">
        <v>128</v>
      </c>
      <c r="C1254" s="8" t="s">
        <v>1487</v>
      </c>
      <c r="D1254" s="8" t="s">
        <v>1488</v>
      </c>
      <c r="E1254" s="25">
        <v>109386.83</v>
      </c>
      <c r="F1254" s="25">
        <v>0</v>
      </c>
      <c r="G1254" s="25">
        <v>109386.83</v>
      </c>
    </row>
    <row r="1255" spans="1:7" ht="15.75" customHeight="1" x14ac:dyDescent="0.25">
      <c r="A1255" s="8" t="s">
        <v>882</v>
      </c>
      <c r="B1255" s="8" t="s">
        <v>174</v>
      </c>
      <c r="C1255" s="8" t="s">
        <v>1487</v>
      </c>
      <c r="D1255" s="8" t="s">
        <v>1488</v>
      </c>
      <c r="E1255" s="25">
        <v>-109386.83</v>
      </c>
      <c r="F1255" s="25">
        <v>0</v>
      </c>
      <c r="G1255" s="25">
        <v>-109386.83</v>
      </c>
    </row>
    <row r="1256" spans="1:7" ht="15.75" customHeight="1" x14ac:dyDescent="0.25">
      <c r="A1256" s="8" t="s">
        <v>882</v>
      </c>
      <c r="B1256" s="8" t="s">
        <v>132</v>
      </c>
      <c r="C1256" s="8" t="s">
        <v>1487</v>
      </c>
      <c r="D1256" s="8" t="s">
        <v>1488</v>
      </c>
      <c r="E1256" s="25">
        <v>19830.21</v>
      </c>
      <c r="F1256" s="25">
        <v>0</v>
      </c>
      <c r="G1256" s="25">
        <v>19830.21</v>
      </c>
    </row>
    <row r="1257" spans="1:7" ht="15.75" customHeight="1" x14ac:dyDescent="0.25">
      <c r="A1257" s="8" t="s">
        <v>882</v>
      </c>
      <c r="B1257" s="8" t="s">
        <v>1267</v>
      </c>
      <c r="C1257" s="8" t="s">
        <v>1487</v>
      </c>
      <c r="D1257" s="8" t="s">
        <v>1488</v>
      </c>
      <c r="E1257" s="25">
        <v>-19830.21</v>
      </c>
      <c r="F1257" s="25">
        <v>0</v>
      </c>
      <c r="G1257" s="25">
        <v>-19830.21</v>
      </c>
    </row>
    <row r="1258" spans="1:7" ht="15.75" customHeight="1" x14ac:dyDescent="0.25">
      <c r="A1258" s="8" t="s">
        <v>882</v>
      </c>
      <c r="B1258" s="8" t="s">
        <v>939</v>
      </c>
      <c r="C1258" s="8" t="s">
        <v>1489</v>
      </c>
      <c r="D1258" s="8" t="s">
        <v>1490</v>
      </c>
      <c r="E1258" s="25">
        <v>18229</v>
      </c>
      <c r="F1258" s="25">
        <v>0</v>
      </c>
      <c r="G1258" s="25">
        <v>18229</v>
      </c>
    </row>
    <row r="1259" spans="1:7" ht="15.75" customHeight="1" x14ac:dyDescent="0.25">
      <c r="A1259" s="8" t="s">
        <v>882</v>
      </c>
      <c r="B1259" s="8" t="s">
        <v>950</v>
      </c>
      <c r="C1259" s="8" t="s">
        <v>1489</v>
      </c>
      <c r="D1259" s="8" t="s">
        <v>1491</v>
      </c>
      <c r="E1259" s="25">
        <v>-7575.75</v>
      </c>
      <c r="F1259" s="25">
        <v>0</v>
      </c>
      <c r="G1259" s="25">
        <v>-7575.75</v>
      </c>
    </row>
    <row r="1260" spans="1:7" ht="15.75" customHeight="1" x14ac:dyDescent="0.25">
      <c r="A1260" s="8" t="s">
        <v>882</v>
      </c>
      <c r="B1260" s="8" t="s">
        <v>950</v>
      </c>
      <c r="C1260" s="8" t="s">
        <v>1489</v>
      </c>
      <c r="D1260" s="8" t="s">
        <v>1492</v>
      </c>
      <c r="E1260" s="25">
        <v>1200</v>
      </c>
      <c r="F1260" s="25">
        <v>0</v>
      </c>
      <c r="G1260" s="25">
        <v>1200</v>
      </c>
    </row>
    <row r="1261" spans="1:7" ht="15.75" customHeight="1" x14ac:dyDescent="0.25">
      <c r="A1261" s="8" t="s">
        <v>882</v>
      </c>
      <c r="B1261" s="8" t="s">
        <v>1074</v>
      </c>
      <c r="C1261" s="8" t="s">
        <v>1489</v>
      </c>
      <c r="D1261" s="8" t="s">
        <v>1493</v>
      </c>
      <c r="E1261" s="25">
        <v>20000</v>
      </c>
      <c r="F1261" s="25">
        <v>0</v>
      </c>
      <c r="G1261" s="25">
        <v>20000</v>
      </c>
    </row>
    <row r="1262" spans="1:7" ht="15.75" customHeight="1" x14ac:dyDescent="0.25">
      <c r="A1262" s="8" t="s">
        <v>882</v>
      </c>
      <c r="B1262" s="8" t="s">
        <v>1074</v>
      </c>
      <c r="C1262" s="8" t="s">
        <v>1489</v>
      </c>
      <c r="D1262" s="8" t="s">
        <v>1494</v>
      </c>
      <c r="E1262" s="25">
        <v>10</v>
      </c>
      <c r="F1262" s="25">
        <v>0</v>
      </c>
      <c r="G1262" s="25">
        <v>10</v>
      </c>
    </row>
    <row r="1263" spans="1:7" ht="15.75" customHeight="1" x14ac:dyDescent="0.25">
      <c r="A1263" s="8" t="s">
        <v>882</v>
      </c>
      <c r="B1263" s="8" t="s">
        <v>932</v>
      </c>
      <c r="C1263" s="8" t="s">
        <v>1489</v>
      </c>
      <c r="D1263" s="8" t="s">
        <v>1495</v>
      </c>
      <c r="E1263" s="25">
        <v>20000</v>
      </c>
      <c r="F1263" s="25">
        <v>0</v>
      </c>
      <c r="G1263" s="25">
        <v>20000</v>
      </c>
    </row>
    <row r="1264" spans="1:7" ht="15.75" customHeight="1" x14ac:dyDescent="0.25">
      <c r="A1264" s="8" t="s">
        <v>882</v>
      </c>
      <c r="B1264" s="8" t="s">
        <v>936</v>
      </c>
      <c r="C1264" s="8" t="s">
        <v>1489</v>
      </c>
      <c r="D1264" s="8" t="s">
        <v>1496</v>
      </c>
      <c r="E1264" s="25">
        <v>3000</v>
      </c>
      <c r="F1264" s="25">
        <v>0</v>
      </c>
      <c r="G1264" s="25">
        <v>3000</v>
      </c>
    </row>
    <row r="1265" spans="1:7" ht="15.75" customHeight="1" x14ac:dyDescent="0.25">
      <c r="A1265" s="8" t="s">
        <v>882</v>
      </c>
      <c r="B1265" s="8" t="s">
        <v>1204</v>
      </c>
      <c r="C1265" s="8" t="s">
        <v>1489</v>
      </c>
      <c r="D1265" s="8" t="s">
        <v>1497</v>
      </c>
      <c r="E1265" s="25">
        <v>7200</v>
      </c>
      <c r="F1265" s="25">
        <v>0</v>
      </c>
      <c r="G1265" s="25">
        <v>7200</v>
      </c>
    </row>
    <row r="1266" spans="1:7" ht="15.75" customHeight="1" x14ac:dyDescent="0.25">
      <c r="A1266" s="8" t="s">
        <v>882</v>
      </c>
      <c r="B1266" s="8" t="s">
        <v>953</v>
      </c>
      <c r="C1266" s="8" t="s">
        <v>1489</v>
      </c>
      <c r="D1266" s="8" t="s">
        <v>1498</v>
      </c>
      <c r="E1266" s="25">
        <v>6000</v>
      </c>
      <c r="F1266" s="25">
        <v>0</v>
      </c>
      <c r="G1266" s="25">
        <v>6000</v>
      </c>
    </row>
    <row r="1267" spans="1:7" ht="15.75" customHeight="1" x14ac:dyDescent="0.25">
      <c r="A1267" s="8" t="s">
        <v>882</v>
      </c>
      <c r="B1267" s="8" t="s">
        <v>1207</v>
      </c>
      <c r="C1267" s="8" t="s">
        <v>1489</v>
      </c>
      <c r="D1267" s="8" t="s">
        <v>1499</v>
      </c>
      <c r="E1267" s="25">
        <v>25000</v>
      </c>
      <c r="F1267" s="25">
        <v>0</v>
      </c>
      <c r="G1267" s="25">
        <v>25000</v>
      </c>
    </row>
    <row r="1268" spans="1:7" ht="15.75" customHeight="1" x14ac:dyDescent="0.25">
      <c r="A1268" s="8" t="s">
        <v>882</v>
      </c>
      <c r="B1268" s="8" t="s">
        <v>1209</v>
      </c>
      <c r="C1268" s="8" t="s">
        <v>1489</v>
      </c>
      <c r="D1268" s="8" t="s">
        <v>1500</v>
      </c>
      <c r="E1268" s="25">
        <v>30000</v>
      </c>
      <c r="F1268" s="25">
        <v>0</v>
      </c>
      <c r="G1268" s="25">
        <v>30000</v>
      </c>
    </row>
    <row r="1269" spans="1:7" ht="15.75" customHeight="1" x14ac:dyDescent="0.25">
      <c r="A1269" s="8" t="s">
        <v>882</v>
      </c>
      <c r="B1269" s="8" t="s">
        <v>985</v>
      </c>
      <c r="C1269" s="8" t="s">
        <v>1489</v>
      </c>
      <c r="D1269" s="8" t="s">
        <v>1501</v>
      </c>
      <c r="E1269" s="25">
        <v>4500</v>
      </c>
      <c r="F1269" s="25">
        <v>0</v>
      </c>
      <c r="G1269" s="25">
        <v>4500</v>
      </c>
    </row>
    <row r="1270" spans="1:7" ht="15.75" customHeight="1" x14ac:dyDescent="0.25">
      <c r="A1270" s="8" t="s">
        <v>882</v>
      </c>
      <c r="B1270" s="8" t="s">
        <v>1141</v>
      </c>
      <c r="C1270" s="8" t="s">
        <v>1489</v>
      </c>
      <c r="D1270" s="8" t="s">
        <v>1502</v>
      </c>
      <c r="E1270" s="25">
        <v>8000</v>
      </c>
      <c r="F1270" s="25">
        <v>0</v>
      </c>
      <c r="G1270" s="25">
        <v>8000</v>
      </c>
    </row>
    <row r="1271" spans="1:7" ht="15.75" customHeight="1" x14ac:dyDescent="0.25">
      <c r="A1271" s="8" t="s">
        <v>882</v>
      </c>
      <c r="B1271" s="8" t="s">
        <v>1213</v>
      </c>
      <c r="C1271" s="8" t="s">
        <v>1489</v>
      </c>
      <c r="D1271" s="8" t="s">
        <v>1503</v>
      </c>
      <c r="E1271" s="25">
        <v>1800</v>
      </c>
      <c r="F1271" s="25">
        <v>0</v>
      </c>
      <c r="G1271" s="25">
        <v>1800</v>
      </c>
    </row>
    <row r="1272" spans="1:7" ht="15.75" customHeight="1" x14ac:dyDescent="0.25">
      <c r="A1272" s="8" t="s">
        <v>882</v>
      </c>
      <c r="B1272" s="8" t="s">
        <v>1013</v>
      </c>
      <c r="C1272" s="8" t="s">
        <v>1489</v>
      </c>
      <c r="D1272" s="8" t="s">
        <v>1504</v>
      </c>
      <c r="E1272" s="25">
        <v>10</v>
      </c>
      <c r="F1272" s="25">
        <v>0</v>
      </c>
      <c r="G1272" s="25">
        <v>10</v>
      </c>
    </row>
    <row r="1273" spans="1:7" ht="15.75" customHeight="1" x14ac:dyDescent="0.25">
      <c r="A1273" s="8" t="s">
        <v>882</v>
      </c>
      <c r="B1273" s="8" t="s">
        <v>1013</v>
      </c>
      <c r="C1273" s="8" t="s">
        <v>1489</v>
      </c>
      <c r="D1273" s="8" t="s">
        <v>1505</v>
      </c>
      <c r="E1273" s="25">
        <v>-10</v>
      </c>
      <c r="F1273" s="25">
        <v>0</v>
      </c>
      <c r="G1273" s="25">
        <v>-10</v>
      </c>
    </row>
    <row r="1274" spans="1:7" ht="15.75" customHeight="1" x14ac:dyDescent="0.25">
      <c r="A1274" s="8" t="s">
        <v>882</v>
      </c>
      <c r="B1274" s="8" t="s">
        <v>1195</v>
      </c>
      <c r="C1274" s="8" t="s">
        <v>1489</v>
      </c>
      <c r="D1274" s="8" t="s">
        <v>1506</v>
      </c>
      <c r="E1274" s="25">
        <v>-139569.25</v>
      </c>
      <c r="F1274" s="25">
        <v>0</v>
      </c>
      <c r="G1274" s="25">
        <v>-139569.25</v>
      </c>
    </row>
    <row r="1275" spans="1:7" ht="15.75" customHeight="1" x14ac:dyDescent="0.25">
      <c r="A1275" s="8" t="s">
        <v>882</v>
      </c>
      <c r="B1275" s="8" t="s">
        <v>1043</v>
      </c>
      <c r="C1275" s="8" t="s">
        <v>1489</v>
      </c>
      <c r="D1275" s="8" t="s">
        <v>1507</v>
      </c>
      <c r="E1275" s="25">
        <v>-650</v>
      </c>
      <c r="F1275" s="25">
        <v>0</v>
      </c>
      <c r="G1275" s="25">
        <v>-650</v>
      </c>
    </row>
    <row r="1276" spans="1:7" ht="15.75" customHeight="1" x14ac:dyDescent="0.25">
      <c r="A1276" s="8" t="s">
        <v>882</v>
      </c>
      <c r="B1276" s="8" t="s">
        <v>936</v>
      </c>
      <c r="C1276" s="8" t="s">
        <v>1489</v>
      </c>
      <c r="D1276" s="8" t="s">
        <v>1508</v>
      </c>
      <c r="E1276" s="25">
        <v>2846</v>
      </c>
      <c r="F1276" s="25">
        <v>0</v>
      </c>
      <c r="G1276" s="25">
        <v>2846</v>
      </c>
    </row>
    <row r="1277" spans="1:7" ht="15.75" customHeight="1" x14ac:dyDescent="0.25">
      <c r="A1277" s="8" t="s">
        <v>882</v>
      </c>
      <c r="B1277" s="8" t="s">
        <v>943</v>
      </c>
      <c r="C1277" s="8" t="s">
        <v>1489</v>
      </c>
      <c r="D1277" s="8" t="s">
        <v>1509</v>
      </c>
      <c r="E1277" s="25">
        <v>10</v>
      </c>
      <c r="F1277" s="25">
        <v>0</v>
      </c>
      <c r="G1277" s="25">
        <v>10</v>
      </c>
    </row>
    <row r="1278" spans="1:7" ht="15.75" customHeight="1" x14ac:dyDescent="0.25">
      <c r="A1278" s="8" t="s">
        <v>882</v>
      </c>
      <c r="B1278" s="8" t="s">
        <v>1074</v>
      </c>
      <c r="C1278" s="8" t="s">
        <v>1510</v>
      </c>
      <c r="D1278" s="8" t="s">
        <v>1511</v>
      </c>
      <c r="E1278" s="25">
        <v>-15000</v>
      </c>
      <c r="F1278" s="25">
        <v>0</v>
      </c>
      <c r="G1278" s="25">
        <v>-15000</v>
      </c>
    </row>
    <row r="1279" spans="1:7" ht="15.75" customHeight="1" x14ac:dyDescent="0.25">
      <c r="A1279" s="8" t="s">
        <v>882</v>
      </c>
      <c r="B1279" s="8" t="s">
        <v>932</v>
      </c>
      <c r="C1279" s="8" t="s">
        <v>1510</v>
      </c>
      <c r="D1279" s="8" t="s">
        <v>1512</v>
      </c>
      <c r="E1279" s="25">
        <v>-10000</v>
      </c>
      <c r="F1279" s="25">
        <v>0</v>
      </c>
      <c r="G1279" s="25">
        <v>-10000</v>
      </c>
    </row>
    <row r="1280" spans="1:7" ht="15.75" customHeight="1" x14ac:dyDescent="0.25">
      <c r="A1280" s="8" t="s">
        <v>882</v>
      </c>
      <c r="B1280" s="8" t="s">
        <v>1195</v>
      </c>
      <c r="C1280" s="8" t="s">
        <v>1510</v>
      </c>
      <c r="D1280" s="8" t="s">
        <v>1513</v>
      </c>
      <c r="E1280" s="25">
        <v>30000</v>
      </c>
      <c r="F1280" s="25">
        <v>0</v>
      </c>
      <c r="G1280" s="25">
        <v>30000</v>
      </c>
    </row>
    <row r="1281" spans="1:7" ht="15.75" customHeight="1" x14ac:dyDescent="0.25">
      <c r="A1281" s="8" t="s">
        <v>882</v>
      </c>
      <c r="B1281" s="8" t="s">
        <v>1141</v>
      </c>
      <c r="C1281" s="8" t="s">
        <v>1510</v>
      </c>
      <c r="D1281" s="8" t="s">
        <v>1514</v>
      </c>
      <c r="E1281" s="25">
        <v>-5000</v>
      </c>
      <c r="F1281" s="25">
        <v>0</v>
      </c>
      <c r="G1281" s="25">
        <v>-5000</v>
      </c>
    </row>
    <row r="1282" spans="1:7" ht="15.75" customHeight="1" x14ac:dyDescent="0.25">
      <c r="A1282" s="8" t="s">
        <v>882</v>
      </c>
      <c r="B1282" s="8" t="s">
        <v>1272</v>
      </c>
      <c r="C1282" s="8" t="s">
        <v>1515</v>
      </c>
      <c r="D1282" s="8" t="s">
        <v>1274</v>
      </c>
      <c r="E1282" s="25">
        <v>1003.37</v>
      </c>
      <c r="F1282" s="25">
        <v>0</v>
      </c>
      <c r="G1282" s="25">
        <v>1003.37</v>
      </c>
    </row>
    <row r="1283" spans="1:7" ht="15.75" customHeight="1" x14ac:dyDescent="0.25">
      <c r="A1283" s="8" t="s">
        <v>882</v>
      </c>
      <c r="B1283" s="8" t="s">
        <v>1275</v>
      </c>
      <c r="C1283" s="8" t="s">
        <v>1515</v>
      </c>
      <c r="D1283" s="8" t="s">
        <v>1274</v>
      </c>
      <c r="E1283" s="25">
        <v>-1003.37</v>
      </c>
      <c r="F1283" s="25">
        <v>0</v>
      </c>
      <c r="G1283" s="25">
        <v>-1003.37</v>
      </c>
    </row>
    <row r="1284" spans="1:7" ht="15.75" customHeight="1" x14ac:dyDescent="0.25">
      <c r="A1284" s="8" t="s">
        <v>882</v>
      </c>
      <c r="B1284" s="8" t="s">
        <v>1192</v>
      </c>
      <c r="C1284" s="8" t="s">
        <v>1516</v>
      </c>
      <c r="D1284" s="8" t="s">
        <v>1517</v>
      </c>
      <c r="E1284" s="25">
        <v>97169.75</v>
      </c>
      <c r="F1284" s="25">
        <v>0</v>
      </c>
      <c r="G1284" s="25">
        <v>97169.75</v>
      </c>
    </row>
    <row r="1285" spans="1:7" ht="15.75" customHeight="1" x14ac:dyDescent="0.25">
      <c r="A1285" s="8" t="s">
        <v>882</v>
      </c>
      <c r="B1285" s="8" t="s">
        <v>1221</v>
      </c>
      <c r="C1285" s="8" t="s">
        <v>1516</v>
      </c>
      <c r="D1285" s="8" t="s">
        <v>1517</v>
      </c>
      <c r="E1285" s="25">
        <v>-97169.75</v>
      </c>
      <c r="F1285" s="25">
        <v>0</v>
      </c>
      <c r="G1285" s="25">
        <v>-97169.75</v>
      </c>
    </row>
    <row r="1286" spans="1:7" ht="15.75" customHeight="1" x14ac:dyDescent="0.25">
      <c r="A1286" s="116" t="s">
        <v>1518</v>
      </c>
      <c r="B1286" s="11"/>
      <c r="C1286" s="11"/>
      <c r="D1286" s="11"/>
      <c r="E1286" s="117">
        <v>-231689.47</v>
      </c>
      <c r="F1286" s="117">
        <v>0</v>
      </c>
      <c r="G1286" s="117">
        <v>-231689.47</v>
      </c>
    </row>
    <row r="1288" spans="1:7" ht="15.75" customHeight="1" x14ac:dyDescent="0.25">
      <c r="A1288" s="220" t="s">
        <v>1519</v>
      </c>
    </row>
    <row r="1289" spans="1:7" ht="15.75" customHeight="1" x14ac:dyDescent="0.25">
      <c r="A1289" s="8" t="s">
        <v>1520</v>
      </c>
      <c r="B1289" s="8" t="s">
        <v>1192</v>
      </c>
      <c r="C1289" s="8" t="s">
        <v>1521</v>
      </c>
      <c r="D1289" s="8" t="s">
        <v>1522</v>
      </c>
      <c r="E1289" s="25">
        <v>100297</v>
      </c>
      <c r="F1289" s="25">
        <v>0</v>
      </c>
      <c r="G1289" s="25">
        <v>100297</v>
      </c>
    </row>
    <row r="1290" spans="1:7" ht="15.75" customHeight="1" x14ac:dyDescent="0.25">
      <c r="A1290" s="8" t="s">
        <v>1520</v>
      </c>
      <c r="B1290" s="8" t="s">
        <v>1221</v>
      </c>
      <c r="C1290" s="8" t="s">
        <v>1521</v>
      </c>
      <c r="D1290" s="8" t="s">
        <v>1522</v>
      </c>
      <c r="E1290" s="25">
        <v>-100297</v>
      </c>
      <c r="F1290" s="25">
        <v>0</v>
      </c>
      <c r="G1290" s="25">
        <v>-100297</v>
      </c>
    </row>
    <row r="1291" spans="1:7" ht="15.75" customHeight="1" x14ac:dyDescent="0.25">
      <c r="A1291" s="8" t="s">
        <v>1520</v>
      </c>
      <c r="B1291" s="8" t="s">
        <v>939</v>
      </c>
      <c r="C1291" s="8" t="s">
        <v>1523</v>
      </c>
      <c r="D1291" s="8" t="s">
        <v>1524</v>
      </c>
      <c r="E1291" s="25">
        <v>16637</v>
      </c>
      <c r="F1291" s="25">
        <v>0</v>
      </c>
      <c r="G1291" s="25">
        <v>16637</v>
      </c>
    </row>
    <row r="1292" spans="1:7" ht="15.75" customHeight="1" x14ac:dyDescent="0.25">
      <c r="A1292" s="8" t="s">
        <v>1520</v>
      </c>
      <c r="B1292" s="8" t="s">
        <v>950</v>
      </c>
      <c r="C1292" s="8" t="s">
        <v>1523</v>
      </c>
      <c r="D1292" s="8" t="s">
        <v>1525</v>
      </c>
      <c r="E1292" s="25">
        <v>-7575.75</v>
      </c>
      <c r="F1292" s="25">
        <v>0</v>
      </c>
      <c r="G1292" s="25">
        <v>-7575.75</v>
      </c>
    </row>
    <row r="1293" spans="1:7" ht="15.75" customHeight="1" x14ac:dyDescent="0.25">
      <c r="A1293" s="8" t="s">
        <v>1520</v>
      </c>
      <c r="B1293" s="8" t="s">
        <v>950</v>
      </c>
      <c r="C1293" s="8" t="s">
        <v>1523</v>
      </c>
      <c r="D1293" s="8" t="s">
        <v>1526</v>
      </c>
      <c r="E1293" s="25">
        <v>100</v>
      </c>
      <c r="F1293" s="25">
        <v>0</v>
      </c>
      <c r="G1293" s="25">
        <v>100</v>
      </c>
    </row>
    <row r="1294" spans="1:7" ht="15.75" customHeight="1" x14ac:dyDescent="0.25">
      <c r="A1294" s="8" t="s">
        <v>1520</v>
      </c>
      <c r="B1294" s="8" t="s">
        <v>1074</v>
      </c>
      <c r="C1294" s="8" t="s">
        <v>1523</v>
      </c>
      <c r="D1294" s="8" t="s">
        <v>1527</v>
      </c>
      <c r="E1294" s="25">
        <v>20000</v>
      </c>
      <c r="F1294" s="25">
        <v>0</v>
      </c>
      <c r="G1294" s="25">
        <v>20000</v>
      </c>
    </row>
    <row r="1295" spans="1:7" ht="15.75" customHeight="1" x14ac:dyDescent="0.25">
      <c r="A1295" s="8" t="s">
        <v>1520</v>
      </c>
      <c r="B1295" s="8" t="s">
        <v>1074</v>
      </c>
      <c r="C1295" s="8" t="s">
        <v>1523</v>
      </c>
      <c r="D1295" s="8" t="s">
        <v>1528</v>
      </c>
      <c r="E1295" s="25">
        <v>10</v>
      </c>
      <c r="F1295" s="25">
        <v>0</v>
      </c>
      <c r="G1295" s="25">
        <v>10</v>
      </c>
    </row>
    <row r="1296" spans="1:7" ht="15.75" customHeight="1" x14ac:dyDescent="0.25">
      <c r="A1296" s="8" t="s">
        <v>1520</v>
      </c>
      <c r="B1296" s="8" t="s">
        <v>932</v>
      </c>
      <c r="C1296" s="8" t="s">
        <v>1523</v>
      </c>
      <c r="D1296" s="8" t="s">
        <v>1529</v>
      </c>
      <c r="E1296" s="25">
        <v>25000</v>
      </c>
      <c r="F1296" s="25">
        <v>0</v>
      </c>
      <c r="G1296" s="25">
        <v>25000</v>
      </c>
    </row>
    <row r="1297" spans="1:7" ht="15.75" customHeight="1" x14ac:dyDescent="0.25">
      <c r="A1297" s="8" t="s">
        <v>1520</v>
      </c>
      <c r="B1297" s="8" t="s">
        <v>936</v>
      </c>
      <c r="C1297" s="8" t="s">
        <v>1523</v>
      </c>
      <c r="D1297" s="8" t="s">
        <v>1530</v>
      </c>
      <c r="E1297" s="25">
        <v>3500</v>
      </c>
      <c r="F1297" s="25">
        <v>0</v>
      </c>
      <c r="G1297" s="25">
        <v>3500</v>
      </c>
    </row>
    <row r="1298" spans="1:7" ht="15.75" customHeight="1" x14ac:dyDescent="0.25">
      <c r="A1298" s="8" t="s">
        <v>1520</v>
      </c>
      <c r="B1298" s="8" t="s">
        <v>1204</v>
      </c>
      <c r="C1298" s="8" t="s">
        <v>1523</v>
      </c>
      <c r="D1298" s="8" t="s">
        <v>1531</v>
      </c>
      <c r="E1298" s="25">
        <v>5500</v>
      </c>
      <c r="F1298" s="25">
        <v>0</v>
      </c>
      <c r="G1298" s="25">
        <v>5500</v>
      </c>
    </row>
    <row r="1299" spans="1:7" ht="15.75" customHeight="1" x14ac:dyDescent="0.25">
      <c r="A1299" s="8" t="s">
        <v>1520</v>
      </c>
      <c r="B1299" s="8" t="s">
        <v>953</v>
      </c>
      <c r="C1299" s="8" t="s">
        <v>1523</v>
      </c>
      <c r="D1299" s="8" t="s">
        <v>1532</v>
      </c>
      <c r="E1299" s="25">
        <v>9000</v>
      </c>
      <c r="F1299" s="25">
        <v>0</v>
      </c>
      <c r="G1299" s="25">
        <v>9000</v>
      </c>
    </row>
    <row r="1300" spans="1:7" ht="15.75" customHeight="1" x14ac:dyDescent="0.25">
      <c r="A1300" s="8" t="s">
        <v>1520</v>
      </c>
      <c r="B1300" s="8" t="s">
        <v>1207</v>
      </c>
      <c r="C1300" s="8" t="s">
        <v>1523</v>
      </c>
      <c r="D1300" s="8" t="s">
        <v>1533</v>
      </c>
      <c r="E1300" s="25">
        <v>7348</v>
      </c>
      <c r="F1300" s="25">
        <v>0</v>
      </c>
      <c r="G1300" s="25">
        <v>7348</v>
      </c>
    </row>
    <row r="1301" spans="1:7" ht="15.75" customHeight="1" x14ac:dyDescent="0.25">
      <c r="A1301" s="8" t="s">
        <v>1520</v>
      </c>
      <c r="B1301" s="8" t="s">
        <v>1209</v>
      </c>
      <c r="C1301" s="8" t="s">
        <v>1523</v>
      </c>
      <c r="D1301" s="8" t="s">
        <v>1534</v>
      </c>
      <c r="E1301" s="25">
        <v>25000</v>
      </c>
      <c r="F1301" s="25">
        <v>0</v>
      </c>
      <c r="G1301" s="25">
        <v>25000</v>
      </c>
    </row>
    <row r="1302" spans="1:7" ht="15.75" customHeight="1" x14ac:dyDescent="0.25">
      <c r="A1302" s="8" t="s">
        <v>1520</v>
      </c>
      <c r="B1302" s="8" t="s">
        <v>985</v>
      </c>
      <c r="C1302" s="8" t="s">
        <v>1523</v>
      </c>
      <c r="D1302" s="8" t="s">
        <v>1535</v>
      </c>
      <c r="E1302" s="25">
        <v>1500</v>
      </c>
      <c r="F1302" s="25">
        <v>0</v>
      </c>
      <c r="G1302" s="25">
        <v>1500</v>
      </c>
    </row>
    <row r="1303" spans="1:7" ht="15.75" customHeight="1" x14ac:dyDescent="0.25">
      <c r="A1303" s="8" t="s">
        <v>1520</v>
      </c>
      <c r="B1303" s="8" t="s">
        <v>1141</v>
      </c>
      <c r="C1303" s="8" t="s">
        <v>1523</v>
      </c>
      <c r="D1303" s="8" t="s">
        <v>1536</v>
      </c>
      <c r="E1303" s="25">
        <v>4000</v>
      </c>
      <c r="F1303" s="25">
        <v>0</v>
      </c>
      <c r="G1303" s="25">
        <v>4000</v>
      </c>
    </row>
    <row r="1304" spans="1:7" ht="15.75" customHeight="1" x14ac:dyDescent="0.25">
      <c r="A1304" s="8" t="s">
        <v>1520</v>
      </c>
      <c r="B1304" s="8" t="s">
        <v>1213</v>
      </c>
      <c r="C1304" s="8" t="s">
        <v>1523</v>
      </c>
      <c r="D1304" s="8" t="s">
        <v>1537</v>
      </c>
      <c r="E1304" s="25">
        <v>1248</v>
      </c>
      <c r="F1304" s="25">
        <v>0</v>
      </c>
      <c r="G1304" s="25">
        <v>1248</v>
      </c>
    </row>
    <row r="1305" spans="1:7" ht="15.75" customHeight="1" x14ac:dyDescent="0.25">
      <c r="A1305" s="8" t="s">
        <v>1520</v>
      </c>
      <c r="B1305" s="8" t="s">
        <v>943</v>
      </c>
      <c r="C1305" s="8" t="s">
        <v>1523</v>
      </c>
      <c r="D1305" s="8" t="s">
        <v>1538</v>
      </c>
      <c r="E1305" s="25">
        <v>500</v>
      </c>
      <c r="F1305" s="25">
        <v>0</v>
      </c>
      <c r="G1305" s="25">
        <v>500</v>
      </c>
    </row>
    <row r="1306" spans="1:7" ht="15.75" customHeight="1" x14ac:dyDescent="0.25">
      <c r="A1306" s="8" t="s">
        <v>1520</v>
      </c>
      <c r="B1306" s="8" t="s">
        <v>1013</v>
      </c>
      <c r="C1306" s="8" t="s">
        <v>1523</v>
      </c>
      <c r="D1306" s="8" t="s">
        <v>1539</v>
      </c>
      <c r="E1306" s="25">
        <v>-10</v>
      </c>
      <c r="F1306" s="25">
        <v>0</v>
      </c>
      <c r="G1306" s="25">
        <v>-10</v>
      </c>
    </row>
    <row r="1307" spans="1:7" ht="15.75" customHeight="1" x14ac:dyDescent="0.25">
      <c r="A1307" s="8" t="s">
        <v>1520</v>
      </c>
      <c r="B1307" s="8" t="s">
        <v>1195</v>
      </c>
      <c r="C1307" s="8" t="s">
        <v>1523</v>
      </c>
      <c r="D1307" s="8" t="s">
        <v>1540</v>
      </c>
      <c r="E1307" s="25">
        <v>-111757.25</v>
      </c>
      <c r="F1307" s="25">
        <v>0</v>
      </c>
      <c r="G1307" s="25">
        <v>-111757.25</v>
      </c>
    </row>
    <row r="1308" spans="1:7" ht="15.75" customHeight="1" x14ac:dyDescent="0.25">
      <c r="A1308" s="8" t="s">
        <v>1520</v>
      </c>
      <c r="B1308" s="8" t="s">
        <v>1279</v>
      </c>
      <c r="C1308" s="8" t="s">
        <v>1541</v>
      </c>
      <c r="D1308" s="8" t="s">
        <v>1281</v>
      </c>
      <c r="E1308" s="25">
        <v>32500</v>
      </c>
      <c r="F1308" s="25">
        <v>0</v>
      </c>
      <c r="G1308" s="25">
        <v>32500</v>
      </c>
    </row>
    <row r="1309" spans="1:7" ht="15.75" customHeight="1" x14ac:dyDescent="0.25">
      <c r="A1309" s="8" t="s">
        <v>1520</v>
      </c>
      <c r="B1309" s="8" t="s">
        <v>1207</v>
      </c>
      <c r="C1309" s="8" t="s">
        <v>1541</v>
      </c>
      <c r="D1309" s="8" t="s">
        <v>1281</v>
      </c>
      <c r="E1309" s="25">
        <v>-32500</v>
      </c>
      <c r="F1309" s="25">
        <v>0</v>
      </c>
      <c r="G1309" s="25">
        <v>-32500</v>
      </c>
    </row>
    <row r="1310" spans="1:7" ht="15.75" customHeight="1" x14ac:dyDescent="0.25">
      <c r="A1310" s="8" t="s">
        <v>1520</v>
      </c>
      <c r="B1310" s="8" t="s">
        <v>1282</v>
      </c>
      <c r="C1310" s="8" t="s">
        <v>1541</v>
      </c>
      <c r="D1310" s="8" t="s">
        <v>1281</v>
      </c>
      <c r="E1310" s="25">
        <v>3250</v>
      </c>
      <c r="F1310" s="25">
        <v>0</v>
      </c>
      <c r="G1310" s="25">
        <v>3250</v>
      </c>
    </row>
    <row r="1311" spans="1:7" ht="15.75" customHeight="1" x14ac:dyDescent="0.25">
      <c r="A1311" s="8" t="s">
        <v>1520</v>
      </c>
      <c r="B1311" s="8" t="s">
        <v>1234</v>
      </c>
      <c r="C1311" s="8" t="s">
        <v>1541</v>
      </c>
      <c r="D1311" s="8" t="s">
        <v>1281</v>
      </c>
      <c r="E1311" s="25">
        <v>-3250</v>
      </c>
      <c r="F1311" s="25">
        <v>0</v>
      </c>
      <c r="G1311" s="25">
        <v>-3250</v>
      </c>
    </row>
    <row r="1312" spans="1:7" ht="15.75" customHeight="1" x14ac:dyDescent="0.25">
      <c r="A1312" s="8" t="s">
        <v>1542</v>
      </c>
      <c r="B1312" s="8" t="s">
        <v>939</v>
      </c>
      <c r="C1312" s="8" t="s">
        <v>1543</v>
      </c>
      <c r="D1312" s="8" t="s">
        <v>1544</v>
      </c>
      <c r="E1312" s="25">
        <v>-16637</v>
      </c>
      <c r="F1312" s="25">
        <v>0</v>
      </c>
      <c r="G1312" s="25">
        <v>-16637</v>
      </c>
    </row>
    <row r="1313" spans="1:7" ht="15.75" customHeight="1" x14ac:dyDescent="0.25">
      <c r="A1313" s="8" t="s">
        <v>1542</v>
      </c>
      <c r="B1313" s="8" t="s">
        <v>950</v>
      </c>
      <c r="C1313" s="8" t="s">
        <v>1543</v>
      </c>
      <c r="D1313" s="8" t="s">
        <v>1545</v>
      </c>
      <c r="E1313" s="25">
        <v>7575.75</v>
      </c>
      <c r="F1313" s="25">
        <v>0</v>
      </c>
      <c r="G1313" s="25">
        <v>7575.75</v>
      </c>
    </row>
    <row r="1314" spans="1:7" ht="15.75" customHeight="1" x14ac:dyDescent="0.25">
      <c r="A1314" s="8" t="s">
        <v>1542</v>
      </c>
      <c r="B1314" s="8" t="s">
        <v>950</v>
      </c>
      <c r="C1314" s="8" t="s">
        <v>1543</v>
      </c>
      <c r="D1314" s="8" t="s">
        <v>1546</v>
      </c>
      <c r="E1314" s="25">
        <v>-100</v>
      </c>
      <c r="F1314" s="25">
        <v>0</v>
      </c>
      <c r="G1314" s="25">
        <v>-100</v>
      </c>
    </row>
    <row r="1315" spans="1:7" ht="15.75" customHeight="1" x14ac:dyDescent="0.25">
      <c r="A1315" s="8" t="s">
        <v>1542</v>
      </c>
      <c r="B1315" s="8" t="s">
        <v>1074</v>
      </c>
      <c r="C1315" s="8" t="s">
        <v>1543</v>
      </c>
      <c r="D1315" s="8" t="s">
        <v>1547</v>
      </c>
      <c r="E1315" s="25">
        <v>-20000</v>
      </c>
      <c r="F1315" s="25">
        <v>0</v>
      </c>
      <c r="G1315" s="25">
        <v>-20000</v>
      </c>
    </row>
    <row r="1316" spans="1:7" ht="15.75" customHeight="1" x14ac:dyDescent="0.25">
      <c r="A1316" s="8" t="s">
        <v>1542</v>
      </c>
      <c r="B1316" s="8" t="s">
        <v>1074</v>
      </c>
      <c r="C1316" s="8" t="s">
        <v>1543</v>
      </c>
      <c r="D1316" s="8" t="s">
        <v>1548</v>
      </c>
      <c r="E1316" s="25">
        <v>-10</v>
      </c>
      <c r="F1316" s="25">
        <v>0</v>
      </c>
      <c r="G1316" s="25">
        <v>-10</v>
      </c>
    </row>
    <row r="1317" spans="1:7" ht="15.75" customHeight="1" x14ac:dyDescent="0.25">
      <c r="A1317" s="8" t="s">
        <v>1542</v>
      </c>
      <c r="B1317" s="8" t="s">
        <v>932</v>
      </c>
      <c r="C1317" s="8" t="s">
        <v>1543</v>
      </c>
      <c r="D1317" s="8" t="s">
        <v>1549</v>
      </c>
      <c r="E1317" s="25">
        <v>-25000</v>
      </c>
      <c r="F1317" s="25">
        <v>0</v>
      </c>
      <c r="G1317" s="25">
        <v>-25000</v>
      </c>
    </row>
    <row r="1318" spans="1:7" ht="15.75" customHeight="1" x14ac:dyDescent="0.25">
      <c r="A1318" s="8" t="s">
        <v>1542</v>
      </c>
      <c r="B1318" s="8" t="s">
        <v>936</v>
      </c>
      <c r="C1318" s="8" t="s">
        <v>1543</v>
      </c>
      <c r="D1318" s="8" t="s">
        <v>1550</v>
      </c>
      <c r="E1318" s="25">
        <v>-3500</v>
      </c>
      <c r="F1318" s="25">
        <v>0</v>
      </c>
      <c r="G1318" s="25">
        <v>-3500</v>
      </c>
    </row>
    <row r="1319" spans="1:7" ht="15.75" customHeight="1" x14ac:dyDescent="0.25">
      <c r="A1319" s="8" t="s">
        <v>1542</v>
      </c>
      <c r="B1319" s="8" t="s">
        <v>1204</v>
      </c>
      <c r="C1319" s="8" t="s">
        <v>1543</v>
      </c>
      <c r="D1319" s="8" t="s">
        <v>1551</v>
      </c>
      <c r="E1319" s="25">
        <v>-5500</v>
      </c>
      <c r="F1319" s="25">
        <v>0</v>
      </c>
      <c r="G1319" s="25">
        <v>-5500</v>
      </c>
    </row>
    <row r="1320" spans="1:7" ht="15.75" customHeight="1" x14ac:dyDescent="0.25">
      <c r="A1320" s="8" t="s">
        <v>1542</v>
      </c>
      <c r="B1320" s="8" t="s">
        <v>953</v>
      </c>
      <c r="C1320" s="8" t="s">
        <v>1543</v>
      </c>
      <c r="D1320" s="8" t="s">
        <v>1552</v>
      </c>
      <c r="E1320" s="25">
        <v>-9000</v>
      </c>
      <c r="F1320" s="25">
        <v>0</v>
      </c>
      <c r="G1320" s="25">
        <v>-9000</v>
      </c>
    </row>
    <row r="1321" spans="1:7" ht="15.75" customHeight="1" x14ac:dyDescent="0.25">
      <c r="A1321" s="8" t="s">
        <v>1542</v>
      </c>
      <c r="B1321" s="8" t="s">
        <v>1207</v>
      </c>
      <c r="C1321" s="8" t="s">
        <v>1543</v>
      </c>
      <c r="D1321" s="8" t="s">
        <v>1553</v>
      </c>
      <c r="E1321" s="25">
        <v>-7348</v>
      </c>
      <c r="F1321" s="25">
        <v>0</v>
      </c>
      <c r="G1321" s="25">
        <v>-7348</v>
      </c>
    </row>
    <row r="1322" spans="1:7" ht="15.75" customHeight="1" x14ac:dyDescent="0.25">
      <c r="A1322" s="8" t="s">
        <v>1542</v>
      </c>
      <c r="B1322" s="8" t="s">
        <v>1209</v>
      </c>
      <c r="C1322" s="8" t="s">
        <v>1543</v>
      </c>
      <c r="D1322" s="8" t="s">
        <v>1554</v>
      </c>
      <c r="E1322" s="25">
        <v>-25000</v>
      </c>
      <c r="F1322" s="25">
        <v>0</v>
      </c>
      <c r="G1322" s="25">
        <v>-25000</v>
      </c>
    </row>
    <row r="1323" spans="1:7" ht="15.75" customHeight="1" x14ac:dyDescent="0.25">
      <c r="A1323" s="8" t="s">
        <v>1542</v>
      </c>
      <c r="B1323" s="8" t="s">
        <v>985</v>
      </c>
      <c r="C1323" s="8" t="s">
        <v>1543</v>
      </c>
      <c r="D1323" s="8" t="s">
        <v>1555</v>
      </c>
      <c r="E1323" s="25">
        <v>-1500</v>
      </c>
      <c r="F1323" s="25">
        <v>0</v>
      </c>
      <c r="G1323" s="25">
        <v>-1500</v>
      </c>
    </row>
    <row r="1324" spans="1:7" ht="15.75" customHeight="1" x14ac:dyDescent="0.25">
      <c r="A1324" s="8" t="s">
        <v>1542</v>
      </c>
      <c r="B1324" s="8" t="s">
        <v>1141</v>
      </c>
      <c r="C1324" s="8" t="s">
        <v>1543</v>
      </c>
      <c r="D1324" s="8" t="s">
        <v>1556</v>
      </c>
      <c r="E1324" s="25">
        <v>-4000</v>
      </c>
      <c r="F1324" s="25">
        <v>0</v>
      </c>
      <c r="G1324" s="25">
        <v>-4000</v>
      </c>
    </row>
    <row r="1325" spans="1:7" ht="15.75" customHeight="1" x14ac:dyDescent="0.25">
      <c r="A1325" s="8" t="s">
        <v>1542</v>
      </c>
      <c r="B1325" s="8" t="s">
        <v>1213</v>
      </c>
      <c r="C1325" s="8" t="s">
        <v>1543</v>
      </c>
      <c r="D1325" s="8" t="s">
        <v>1557</v>
      </c>
      <c r="E1325" s="25">
        <v>-1248</v>
      </c>
      <c r="F1325" s="25">
        <v>0</v>
      </c>
      <c r="G1325" s="25">
        <v>-1248</v>
      </c>
    </row>
    <row r="1326" spans="1:7" ht="15.75" customHeight="1" x14ac:dyDescent="0.25">
      <c r="A1326" s="8" t="s">
        <v>1542</v>
      </c>
      <c r="B1326" s="8" t="s">
        <v>943</v>
      </c>
      <c r="C1326" s="8" t="s">
        <v>1543</v>
      </c>
      <c r="D1326" s="8" t="s">
        <v>1558</v>
      </c>
      <c r="E1326" s="25">
        <v>-500</v>
      </c>
      <c r="F1326" s="25">
        <v>0</v>
      </c>
      <c r="G1326" s="25">
        <v>-500</v>
      </c>
    </row>
    <row r="1327" spans="1:7" ht="15.75" customHeight="1" x14ac:dyDescent="0.25">
      <c r="A1327" s="8" t="s">
        <v>1542</v>
      </c>
      <c r="B1327" s="8" t="s">
        <v>1013</v>
      </c>
      <c r="C1327" s="8" t="s">
        <v>1543</v>
      </c>
      <c r="D1327" s="8" t="s">
        <v>1559</v>
      </c>
      <c r="E1327" s="25">
        <v>10</v>
      </c>
      <c r="F1327" s="25">
        <v>0</v>
      </c>
      <c r="G1327" s="25">
        <v>10</v>
      </c>
    </row>
    <row r="1328" spans="1:7" ht="15.75" customHeight="1" x14ac:dyDescent="0.25">
      <c r="A1328" s="8" t="s">
        <v>1542</v>
      </c>
      <c r="B1328" s="8" t="s">
        <v>1195</v>
      </c>
      <c r="C1328" s="8" t="s">
        <v>1543</v>
      </c>
      <c r="D1328" s="8" t="s">
        <v>1560</v>
      </c>
      <c r="E1328" s="25">
        <v>111757.25</v>
      </c>
      <c r="F1328" s="25">
        <v>0</v>
      </c>
      <c r="G1328" s="25">
        <v>111757.25</v>
      </c>
    </row>
    <row r="1329" spans="1:7" ht="15.75" customHeight="1" x14ac:dyDescent="0.25">
      <c r="A1329" s="8" t="s">
        <v>1542</v>
      </c>
      <c r="B1329" s="8" t="s">
        <v>1192</v>
      </c>
      <c r="C1329" s="8" t="s">
        <v>1561</v>
      </c>
      <c r="D1329" s="8" t="s">
        <v>1522</v>
      </c>
      <c r="E1329" s="25">
        <v>-100297</v>
      </c>
      <c r="F1329" s="25">
        <v>0</v>
      </c>
      <c r="G1329" s="25">
        <v>-100297</v>
      </c>
    </row>
    <row r="1330" spans="1:7" ht="15.75" customHeight="1" x14ac:dyDescent="0.25">
      <c r="A1330" s="8" t="s">
        <v>1542</v>
      </c>
      <c r="B1330" s="8" t="s">
        <v>1221</v>
      </c>
      <c r="C1330" s="8" t="s">
        <v>1561</v>
      </c>
      <c r="D1330" s="8" t="s">
        <v>1522</v>
      </c>
      <c r="E1330" s="25">
        <v>100297</v>
      </c>
      <c r="F1330" s="25">
        <v>0</v>
      </c>
      <c r="G1330" s="25">
        <v>100297</v>
      </c>
    </row>
    <row r="1331" spans="1:7" ht="15.75" customHeight="1" x14ac:dyDescent="0.25">
      <c r="A1331" s="8" t="s">
        <v>1145</v>
      </c>
      <c r="B1331" s="8" t="s">
        <v>1192</v>
      </c>
      <c r="C1331" s="8" t="s">
        <v>1562</v>
      </c>
      <c r="D1331" s="8" t="s">
        <v>1563</v>
      </c>
      <c r="E1331" s="25">
        <v>104431</v>
      </c>
      <c r="F1331" s="25">
        <v>0</v>
      </c>
      <c r="G1331" s="25">
        <v>104431</v>
      </c>
    </row>
    <row r="1332" spans="1:7" ht="15.75" customHeight="1" x14ac:dyDescent="0.25">
      <c r="A1332" s="8" t="s">
        <v>1145</v>
      </c>
      <c r="B1332" s="8" t="s">
        <v>1221</v>
      </c>
      <c r="C1332" s="8" t="s">
        <v>1562</v>
      </c>
      <c r="D1332" s="8" t="s">
        <v>1563</v>
      </c>
      <c r="E1332" s="25">
        <v>-104431</v>
      </c>
      <c r="F1332" s="25">
        <v>0</v>
      </c>
      <c r="G1332" s="25">
        <v>-104431</v>
      </c>
    </row>
    <row r="1333" spans="1:7" ht="15.75" customHeight="1" x14ac:dyDescent="0.25">
      <c r="A1333" s="8" t="s">
        <v>1145</v>
      </c>
      <c r="B1333" s="8" t="s">
        <v>1279</v>
      </c>
      <c r="C1333" s="8" t="s">
        <v>1564</v>
      </c>
      <c r="D1333" s="8" t="s">
        <v>1281</v>
      </c>
      <c r="E1333" s="25">
        <v>32500</v>
      </c>
      <c r="F1333" s="25">
        <v>0</v>
      </c>
      <c r="G1333" s="25">
        <v>32500</v>
      </c>
    </row>
    <row r="1334" spans="1:7" ht="15.75" customHeight="1" x14ac:dyDescent="0.25">
      <c r="A1334" s="8" t="s">
        <v>1145</v>
      </c>
      <c r="B1334" s="8" t="s">
        <v>1207</v>
      </c>
      <c r="C1334" s="8" t="s">
        <v>1564</v>
      </c>
      <c r="D1334" s="8" t="s">
        <v>1281</v>
      </c>
      <c r="E1334" s="25">
        <v>-32500</v>
      </c>
      <c r="F1334" s="25">
        <v>0</v>
      </c>
      <c r="G1334" s="25">
        <v>-32500</v>
      </c>
    </row>
    <row r="1335" spans="1:7" ht="15.75" customHeight="1" x14ac:dyDescent="0.25">
      <c r="A1335" s="8" t="s">
        <v>1145</v>
      </c>
      <c r="B1335" s="8" t="s">
        <v>1282</v>
      </c>
      <c r="C1335" s="8" t="s">
        <v>1564</v>
      </c>
      <c r="D1335" s="8" t="s">
        <v>1281</v>
      </c>
      <c r="E1335" s="25">
        <v>3250</v>
      </c>
      <c r="F1335" s="25">
        <v>0</v>
      </c>
      <c r="G1335" s="25">
        <v>3250</v>
      </c>
    </row>
    <row r="1336" spans="1:7" ht="15.75" customHeight="1" x14ac:dyDescent="0.25">
      <c r="A1336" s="8" t="s">
        <v>1145</v>
      </c>
      <c r="B1336" s="8" t="s">
        <v>1234</v>
      </c>
      <c r="C1336" s="8" t="s">
        <v>1564</v>
      </c>
      <c r="D1336" s="8" t="s">
        <v>1281</v>
      </c>
      <c r="E1336" s="25">
        <v>-3250</v>
      </c>
      <c r="F1336" s="25">
        <v>0</v>
      </c>
      <c r="G1336" s="25">
        <v>-3250</v>
      </c>
    </row>
    <row r="1337" spans="1:7" ht="15.75" customHeight="1" x14ac:dyDescent="0.25">
      <c r="A1337" s="8" t="s">
        <v>1145</v>
      </c>
      <c r="B1337" s="8" t="s">
        <v>939</v>
      </c>
      <c r="C1337" s="8" t="s">
        <v>1565</v>
      </c>
      <c r="D1337" s="8" t="s">
        <v>1566</v>
      </c>
      <c r="E1337" s="25">
        <v>19264</v>
      </c>
      <c r="F1337" s="25">
        <v>0</v>
      </c>
      <c r="G1337" s="25">
        <v>19264</v>
      </c>
    </row>
    <row r="1338" spans="1:7" ht="15.75" customHeight="1" x14ac:dyDescent="0.25">
      <c r="A1338" s="8" t="s">
        <v>1145</v>
      </c>
      <c r="B1338" s="8" t="s">
        <v>950</v>
      </c>
      <c r="C1338" s="8" t="s">
        <v>1565</v>
      </c>
      <c r="D1338" s="8" t="s">
        <v>1567</v>
      </c>
      <c r="E1338" s="25">
        <v>-7575.75</v>
      </c>
      <c r="F1338" s="25">
        <v>0</v>
      </c>
      <c r="G1338" s="25">
        <v>-7575.75</v>
      </c>
    </row>
    <row r="1339" spans="1:7" ht="15.75" customHeight="1" x14ac:dyDescent="0.25">
      <c r="A1339" s="8" t="s">
        <v>1145</v>
      </c>
      <c r="B1339" s="8" t="s">
        <v>950</v>
      </c>
      <c r="C1339" s="8" t="s">
        <v>1565</v>
      </c>
      <c r="D1339" s="8" t="s">
        <v>1568</v>
      </c>
      <c r="E1339" s="25">
        <v>600</v>
      </c>
      <c r="F1339" s="25">
        <v>0</v>
      </c>
      <c r="G1339" s="25">
        <v>600</v>
      </c>
    </row>
    <row r="1340" spans="1:7" ht="15.75" customHeight="1" x14ac:dyDescent="0.25">
      <c r="A1340" s="8" t="s">
        <v>1145</v>
      </c>
      <c r="B1340" s="8" t="s">
        <v>1074</v>
      </c>
      <c r="C1340" s="8" t="s">
        <v>1565</v>
      </c>
      <c r="D1340" s="8" t="s">
        <v>1569</v>
      </c>
      <c r="E1340" s="25">
        <v>20000</v>
      </c>
      <c r="F1340" s="25">
        <v>0</v>
      </c>
      <c r="G1340" s="25">
        <v>20000</v>
      </c>
    </row>
    <row r="1341" spans="1:7" ht="15.75" customHeight="1" x14ac:dyDescent="0.25">
      <c r="A1341" s="8" t="s">
        <v>1145</v>
      </c>
      <c r="B1341" s="8" t="s">
        <v>1074</v>
      </c>
      <c r="C1341" s="8" t="s">
        <v>1565</v>
      </c>
      <c r="D1341" s="8" t="s">
        <v>1570</v>
      </c>
      <c r="E1341" s="25">
        <v>10</v>
      </c>
      <c r="F1341" s="25">
        <v>0</v>
      </c>
      <c r="G1341" s="25">
        <v>10</v>
      </c>
    </row>
    <row r="1342" spans="1:7" ht="15.75" customHeight="1" x14ac:dyDescent="0.25">
      <c r="A1342" s="8" t="s">
        <v>1145</v>
      </c>
      <c r="B1342" s="8" t="s">
        <v>932</v>
      </c>
      <c r="C1342" s="8" t="s">
        <v>1565</v>
      </c>
      <c r="D1342" s="8" t="s">
        <v>1571</v>
      </c>
      <c r="E1342" s="25">
        <v>17500</v>
      </c>
      <c r="F1342" s="25">
        <v>0</v>
      </c>
      <c r="G1342" s="25">
        <v>17500</v>
      </c>
    </row>
    <row r="1343" spans="1:7" ht="15.75" customHeight="1" x14ac:dyDescent="0.25">
      <c r="A1343" s="8" t="s">
        <v>1145</v>
      </c>
      <c r="B1343" s="8" t="s">
        <v>936</v>
      </c>
      <c r="C1343" s="8" t="s">
        <v>1565</v>
      </c>
      <c r="D1343" s="8" t="s">
        <v>1572</v>
      </c>
      <c r="E1343" s="25">
        <v>4000</v>
      </c>
      <c r="F1343" s="25">
        <v>0</v>
      </c>
      <c r="G1343" s="25">
        <v>4000</v>
      </c>
    </row>
    <row r="1344" spans="1:7" ht="15.75" customHeight="1" x14ac:dyDescent="0.25">
      <c r="A1344" s="8" t="s">
        <v>1145</v>
      </c>
      <c r="B1344" s="8" t="s">
        <v>1204</v>
      </c>
      <c r="C1344" s="8" t="s">
        <v>1565</v>
      </c>
      <c r="D1344" s="8" t="s">
        <v>1573</v>
      </c>
      <c r="E1344" s="25">
        <v>5500</v>
      </c>
      <c r="F1344" s="25">
        <v>0</v>
      </c>
      <c r="G1344" s="25">
        <v>5500</v>
      </c>
    </row>
    <row r="1345" spans="1:7" ht="15.75" customHeight="1" x14ac:dyDescent="0.25">
      <c r="A1345" s="8" t="s">
        <v>1145</v>
      </c>
      <c r="B1345" s="8" t="s">
        <v>953</v>
      </c>
      <c r="C1345" s="8" t="s">
        <v>1565</v>
      </c>
      <c r="D1345" s="8" t="s">
        <v>1574</v>
      </c>
      <c r="E1345" s="25">
        <v>4000</v>
      </c>
      <c r="F1345" s="25">
        <v>0</v>
      </c>
      <c r="G1345" s="25">
        <v>4000</v>
      </c>
    </row>
    <row r="1346" spans="1:7" ht="15.75" customHeight="1" x14ac:dyDescent="0.25">
      <c r="A1346" s="8" t="s">
        <v>1145</v>
      </c>
      <c r="B1346" s="8" t="s">
        <v>1207</v>
      </c>
      <c r="C1346" s="8" t="s">
        <v>1565</v>
      </c>
      <c r="D1346" s="8" t="s">
        <v>1575</v>
      </c>
      <c r="E1346" s="25">
        <v>4899</v>
      </c>
      <c r="F1346" s="25">
        <v>0</v>
      </c>
      <c r="G1346" s="25">
        <v>4899</v>
      </c>
    </row>
    <row r="1347" spans="1:7" ht="15.75" customHeight="1" x14ac:dyDescent="0.25">
      <c r="A1347" s="8" t="s">
        <v>1145</v>
      </c>
      <c r="B1347" s="8" t="s">
        <v>1209</v>
      </c>
      <c r="C1347" s="8" t="s">
        <v>1565</v>
      </c>
      <c r="D1347" s="8" t="s">
        <v>1576</v>
      </c>
      <c r="E1347" s="25">
        <v>15000</v>
      </c>
      <c r="F1347" s="25">
        <v>0</v>
      </c>
      <c r="G1347" s="25">
        <v>15000</v>
      </c>
    </row>
    <row r="1348" spans="1:7" ht="15.75" customHeight="1" x14ac:dyDescent="0.25">
      <c r="A1348" s="8" t="s">
        <v>1145</v>
      </c>
      <c r="B1348" s="8" t="s">
        <v>985</v>
      </c>
      <c r="C1348" s="8" t="s">
        <v>1565</v>
      </c>
      <c r="D1348" s="8" t="s">
        <v>1577</v>
      </c>
      <c r="E1348" s="25">
        <v>2000</v>
      </c>
      <c r="F1348" s="25">
        <v>0</v>
      </c>
      <c r="G1348" s="25">
        <v>2000</v>
      </c>
    </row>
    <row r="1349" spans="1:7" ht="15.75" customHeight="1" x14ac:dyDescent="0.25">
      <c r="A1349" s="8" t="s">
        <v>1145</v>
      </c>
      <c r="B1349" s="8" t="s">
        <v>1141</v>
      </c>
      <c r="C1349" s="8" t="s">
        <v>1565</v>
      </c>
      <c r="D1349" s="8" t="s">
        <v>1578</v>
      </c>
      <c r="E1349" s="25">
        <v>2500</v>
      </c>
      <c r="F1349" s="25">
        <v>0</v>
      </c>
      <c r="G1349" s="25">
        <v>2500</v>
      </c>
    </row>
    <row r="1350" spans="1:7" ht="15.75" customHeight="1" x14ac:dyDescent="0.25">
      <c r="A1350" s="8" t="s">
        <v>1145</v>
      </c>
      <c r="B1350" s="8" t="s">
        <v>1213</v>
      </c>
      <c r="C1350" s="8" t="s">
        <v>1565</v>
      </c>
      <c r="D1350" s="8" t="s">
        <v>1579</v>
      </c>
      <c r="E1350" s="25">
        <v>1040</v>
      </c>
      <c r="F1350" s="25">
        <v>0</v>
      </c>
      <c r="G1350" s="25">
        <v>1040</v>
      </c>
    </row>
    <row r="1351" spans="1:7" ht="15.75" customHeight="1" x14ac:dyDescent="0.25">
      <c r="A1351" s="8" t="s">
        <v>1145</v>
      </c>
      <c r="B1351" s="8" t="s">
        <v>943</v>
      </c>
      <c r="C1351" s="8" t="s">
        <v>1565</v>
      </c>
      <c r="D1351" s="8" t="s">
        <v>1580</v>
      </c>
      <c r="E1351" s="25">
        <v>10</v>
      </c>
      <c r="F1351" s="25">
        <v>0</v>
      </c>
      <c r="G1351" s="25">
        <v>10</v>
      </c>
    </row>
    <row r="1352" spans="1:7" ht="15.75" customHeight="1" x14ac:dyDescent="0.25">
      <c r="A1352" s="8" t="s">
        <v>1145</v>
      </c>
      <c r="B1352" s="8" t="s">
        <v>1013</v>
      </c>
      <c r="C1352" s="8" t="s">
        <v>1565</v>
      </c>
      <c r="D1352" s="8" t="s">
        <v>1581</v>
      </c>
      <c r="E1352" s="25">
        <v>500</v>
      </c>
      <c r="F1352" s="25">
        <v>0</v>
      </c>
      <c r="G1352" s="25">
        <v>500</v>
      </c>
    </row>
    <row r="1353" spans="1:7" ht="15.75" customHeight="1" x14ac:dyDescent="0.25">
      <c r="A1353" s="8" t="s">
        <v>1145</v>
      </c>
      <c r="B1353" s="8" t="s">
        <v>1013</v>
      </c>
      <c r="C1353" s="8" t="s">
        <v>1565</v>
      </c>
      <c r="D1353" s="8" t="s">
        <v>1582</v>
      </c>
      <c r="E1353" s="25">
        <v>-4296</v>
      </c>
      <c r="F1353" s="25">
        <v>0</v>
      </c>
      <c r="G1353" s="25">
        <v>-4296</v>
      </c>
    </row>
    <row r="1354" spans="1:7" ht="15.75" customHeight="1" x14ac:dyDescent="0.25">
      <c r="A1354" s="8" t="s">
        <v>1145</v>
      </c>
      <c r="B1354" s="8" t="s">
        <v>1195</v>
      </c>
      <c r="C1354" s="8" t="s">
        <v>1565</v>
      </c>
      <c r="D1354" s="8" t="s">
        <v>1583</v>
      </c>
      <c r="E1354" s="25">
        <v>-84951.25</v>
      </c>
      <c r="F1354" s="25">
        <v>0</v>
      </c>
      <c r="G1354" s="25">
        <v>-84951.25</v>
      </c>
    </row>
    <row r="1355" spans="1:7" ht="15.75" customHeight="1" x14ac:dyDescent="0.25">
      <c r="A1355" s="8" t="s">
        <v>905</v>
      </c>
      <c r="B1355" s="8" t="s">
        <v>1192</v>
      </c>
      <c r="C1355" s="8" t="s">
        <v>1584</v>
      </c>
      <c r="D1355" s="8" t="s">
        <v>1585</v>
      </c>
      <c r="E1355" s="25">
        <v>-104431</v>
      </c>
      <c r="F1355" s="25">
        <v>0</v>
      </c>
      <c r="G1355" s="25">
        <v>-104431</v>
      </c>
    </row>
    <row r="1356" spans="1:7" ht="15.75" customHeight="1" x14ac:dyDescent="0.25">
      <c r="A1356" s="8" t="s">
        <v>905</v>
      </c>
      <c r="B1356" s="8" t="s">
        <v>1221</v>
      </c>
      <c r="C1356" s="8" t="s">
        <v>1584</v>
      </c>
      <c r="D1356" s="8" t="s">
        <v>1585</v>
      </c>
      <c r="E1356" s="25">
        <v>104431</v>
      </c>
      <c r="F1356" s="25">
        <v>0</v>
      </c>
      <c r="G1356" s="25">
        <v>104431</v>
      </c>
    </row>
    <row r="1357" spans="1:7" ht="15.75" customHeight="1" x14ac:dyDescent="0.25">
      <c r="A1357" s="8" t="s">
        <v>905</v>
      </c>
      <c r="B1357" s="8" t="s">
        <v>939</v>
      </c>
      <c r="C1357" s="8" t="s">
        <v>1586</v>
      </c>
      <c r="D1357" s="8" t="s">
        <v>1587</v>
      </c>
      <c r="E1357" s="25">
        <v>-19264</v>
      </c>
      <c r="F1357" s="25">
        <v>0</v>
      </c>
      <c r="G1357" s="25">
        <v>-19264</v>
      </c>
    </row>
    <row r="1358" spans="1:7" ht="15.75" customHeight="1" x14ac:dyDescent="0.25">
      <c r="A1358" s="8" t="s">
        <v>905</v>
      </c>
      <c r="B1358" s="8" t="s">
        <v>950</v>
      </c>
      <c r="C1358" s="8" t="s">
        <v>1586</v>
      </c>
      <c r="D1358" s="8" t="s">
        <v>1588</v>
      </c>
      <c r="E1358" s="25">
        <v>7575.75</v>
      </c>
      <c r="F1358" s="25">
        <v>0</v>
      </c>
      <c r="G1358" s="25">
        <v>7575.75</v>
      </c>
    </row>
    <row r="1359" spans="1:7" ht="15.75" customHeight="1" x14ac:dyDescent="0.25">
      <c r="A1359" s="8" t="s">
        <v>905</v>
      </c>
      <c r="B1359" s="8" t="s">
        <v>950</v>
      </c>
      <c r="C1359" s="8" t="s">
        <v>1586</v>
      </c>
      <c r="D1359" s="8" t="s">
        <v>1589</v>
      </c>
      <c r="E1359" s="25">
        <v>-600</v>
      </c>
      <c r="F1359" s="25">
        <v>0</v>
      </c>
      <c r="G1359" s="25">
        <v>-600</v>
      </c>
    </row>
    <row r="1360" spans="1:7" ht="15.75" customHeight="1" x14ac:dyDescent="0.25">
      <c r="A1360" s="8" t="s">
        <v>905</v>
      </c>
      <c r="B1360" s="8" t="s">
        <v>1074</v>
      </c>
      <c r="C1360" s="8" t="s">
        <v>1586</v>
      </c>
      <c r="D1360" s="8" t="s">
        <v>1590</v>
      </c>
      <c r="E1360" s="25">
        <v>-20000</v>
      </c>
      <c r="F1360" s="25">
        <v>0</v>
      </c>
      <c r="G1360" s="25">
        <v>-20000</v>
      </c>
    </row>
    <row r="1361" spans="1:7" ht="15.75" customHeight="1" x14ac:dyDescent="0.25">
      <c r="A1361" s="8" t="s">
        <v>905</v>
      </c>
      <c r="B1361" s="8" t="s">
        <v>1074</v>
      </c>
      <c r="C1361" s="8" t="s">
        <v>1586</v>
      </c>
      <c r="D1361" s="8" t="s">
        <v>1591</v>
      </c>
      <c r="E1361" s="25">
        <v>-10</v>
      </c>
      <c r="F1361" s="25">
        <v>0</v>
      </c>
      <c r="G1361" s="25">
        <v>-10</v>
      </c>
    </row>
    <row r="1362" spans="1:7" ht="15.75" customHeight="1" x14ac:dyDescent="0.25">
      <c r="A1362" s="8" t="s">
        <v>905</v>
      </c>
      <c r="B1362" s="8" t="s">
        <v>932</v>
      </c>
      <c r="C1362" s="8" t="s">
        <v>1586</v>
      </c>
      <c r="D1362" s="8" t="s">
        <v>1592</v>
      </c>
      <c r="E1362" s="25">
        <v>-17500</v>
      </c>
      <c r="F1362" s="25">
        <v>0</v>
      </c>
      <c r="G1362" s="25">
        <v>-17500</v>
      </c>
    </row>
    <row r="1363" spans="1:7" ht="15.75" customHeight="1" x14ac:dyDescent="0.25">
      <c r="A1363" s="8" t="s">
        <v>905</v>
      </c>
      <c r="B1363" s="8" t="s">
        <v>936</v>
      </c>
      <c r="C1363" s="8" t="s">
        <v>1586</v>
      </c>
      <c r="D1363" s="8" t="s">
        <v>1593</v>
      </c>
      <c r="E1363" s="25">
        <v>-4000</v>
      </c>
      <c r="F1363" s="25">
        <v>0</v>
      </c>
      <c r="G1363" s="25">
        <v>-4000</v>
      </c>
    </row>
    <row r="1364" spans="1:7" ht="15.75" customHeight="1" x14ac:dyDescent="0.25">
      <c r="A1364" s="8" t="s">
        <v>905</v>
      </c>
      <c r="B1364" s="8" t="s">
        <v>1204</v>
      </c>
      <c r="C1364" s="8" t="s">
        <v>1586</v>
      </c>
      <c r="D1364" s="8" t="s">
        <v>1594</v>
      </c>
      <c r="E1364" s="25">
        <v>-5500</v>
      </c>
      <c r="F1364" s="25">
        <v>0</v>
      </c>
      <c r="G1364" s="25">
        <v>-5500</v>
      </c>
    </row>
    <row r="1365" spans="1:7" ht="15.75" customHeight="1" x14ac:dyDescent="0.25">
      <c r="A1365" s="8" t="s">
        <v>905</v>
      </c>
      <c r="B1365" s="8" t="s">
        <v>953</v>
      </c>
      <c r="C1365" s="8" t="s">
        <v>1586</v>
      </c>
      <c r="D1365" s="8" t="s">
        <v>1595</v>
      </c>
      <c r="E1365" s="25">
        <v>-4000</v>
      </c>
      <c r="F1365" s="25">
        <v>0</v>
      </c>
      <c r="G1365" s="25">
        <v>-4000</v>
      </c>
    </row>
    <row r="1366" spans="1:7" ht="15.75" customHeight="1" x14ac:dyDescent="0.25">
      <c r="A1366" s="8" t="s">
        <v>905</v>
      </c>
      <c r="B1366" s="8" t="s">
        <v>1207</v>
      </c>
      <c r="C1366" s="8" t="s">
        <v>1586</v>
      </c>
      <c r="D1366" s="8" t="s">
        <v>1596</v>
      </c>
      <c r="E1366" s="25">
        <v>-4899</v>
      </c>
      <c r="F1366" s="25">
        <v>0</v>
      </c>
      <c r="G1366" s="25">
        <v>-4899</v>
      </c>
    </row>
    <row r="1367" spans="1:7" ht="15.75" customHeight="1" x14ac:dyDescent="0.25">
      <c r="A1367" s="8" t="s">
        <v>905</v>
      </c>
      <c r="B1367" s="8" t="s">
        <v>1209</v>
      </c>
      <c r="C1367" s="8" t="s">
        <v>1586</v>
      </c>
      <c r="D1367" s="8" t="s">
        <v>1597</v>
      </c>
      <c r="E1367" s="25">
        <v>-15000</v>
      </c>
      <c r="F1367" s="25">
        <v>0</v>
      </c>
      <c r="G1367" s="25">
        <v>-15000</v>
      </c>
    </row>
    <row r="1368" spans="1:7" ht="15.75" customHeight="1" x14ac:dyDescent="0.25">
      <c r="A1368" s="8" t="s">
        <v>905</v>
      </c>
      <c r="B1368" s="8" t="s">
        <v>985</v>
      </c>
      <c r="C1368" s="8" t="s">
        <v>1586</v>
      </c>
      <c r="D1368" s="8" t="s">
        <v>1598</v>
      </c>
      <c r="E1368" s="25">
        <v>-2000</v>
      </c>
      <c r="F1368" s="25">
        <v>0</v>
      </c>
      <c r="G1368" s="25">
        <v>-2000</v>
      </c>
    </row>
    <row r="1369" spans="1:7" ht="15.75" customHeight="1" x14ac:dyDescent="0.25">
      <c r="A1369" s="8" t="s">
        <v>905</v>
      </c>
      <c r="B1369" s="8" t="s">
        <v>1141</v>
      </c>
      <c r="C1369" s="8" t="s">
        <v>1586</v>
      </c>
      <c r="D1369" s="8" t="s">
        <v>1599</v>
      </c>
      <c r="E1369" s="25">
        <v>-2500</v>
      </c>
      <c r="F1369" s="25">
        <v>0</v>
      </c>
      <c r="G1369" s="25">
        <v>-2500</v>
      </c>
    </row>
    <row r="1370" spans="1:7" ht="15.75" customHeight="1" x14ac:dyDescent="0.25">
      <c r="A1370" s="8" t="s">
        <v>905</v>
      </c>
      <c r="B1370" s="8" t="s">
        <v>1213</v>
      </c>
      <c r="C1370" s="8" t="s">
        <v>1586</v>
      </c>
      <c r="D1370" s="8" t="s">
        <v>1600</v>
      </c>
      <c r="E1370" s="25">
        <v>-1040</v>
      </c>
      <c r="F1370" s="25">
        <v>0</v>
      </c>
      <c r="G1370" s="25">
        <v>-1040</v>
      </c>
    </row>
    <row r="1371" spans="1:7" ht="15.75" customHeight="1" x14ac:dyDescent="0.25">
      <c r="A1371" s="8" t="s">
        <v>905</v>
      </c>
      <c r="B1371" s="8" t="s">
        <v>943</v>
      </c>
      <c r="C1371" s="8" t="s">
        <v>1586</v>
      </c>
      <c r="D1371" s="8" t="s">
        <v>1601</v>
      </c>
      <c r="E1371" s="25">
        <v>-10</v>
      </c>
      <c r="F1371" s="25">
        <v>0</v>
      </c>
      <c r="G1371" s="25">
        <v>-10</v>
      </c>
    </row>
    <row r="1372" spans="1:7" ht="15.75" customHeight="1" x14ac:dyDescent="0.25">
      <c r="A1372" s="8" t="s">
        <v>905</v>
      </c>
      <c r="B1372" s="8" t="s">
        <v>1013</v>
      </c>
      <c r="C1372" s="8" t="s">
        <v>1586</v>
      </c>
      <c r="D1372" s="8" t="s">
        <v>1602</v>
      </c>
      <c r="E1372" s="25">
        <v>-500</v>
      </c>
      <c r="F1372" s="25">
        <v>0</v>
      </c>
      <c r="G1372" s="25">
        <v>-500</v>
      </c>
    </row>
    <row r="1373" spans="1:7" ht="15.75" customHeight="1" x14ac:dyDescent="0.25">
      <c r="A1373" s="8" t="s">
        <v>905</v>
      </c>
      <c r="B1373" s="8" t="s">
        <v>1013</v>
      </c>
      <c r="C1373" s="8" t="s">
        <v>1586</v>
      </c>
      <c r="D1373" s="8" t="s">
        <v>1603</v>
      </c>
      <c r="E1373" s="25">
        <v>4296</v>
      </c>
      <c r="F1373" s="25">
        <v>0</v>
      </c>
      <c r="G1373" s="25">
        <v>4296</v>
      </c>
    </row>
    <row r="1374" spans="1:7" ht="15.75" customHeight="1" x14ac:dyDescent="0.25">
      <c r="A1374" s="8" t="s">
        <v>905</v>
      </c>
      <c r="B1374" s="8" t="s">
        <v>1195</v>
      </c>
      <c r="C1374" s="8" t="s">
        <v>1586</v>
      </c>
      <c r="D1374" s="8" t="s">
        <v>1604</v>
      </c>
      <c r="E1374" s="25">
        <v>84951.25</v>
      </c>
      <c r="F1374" s="25">
        <v>0</v>
      </c>
      <c r="G1374" s="25">
        <v>84951.25</v>
      </c>
    </row>
    <row r="1375" spans="1:7" ht="15.75" customHeight="1" x14ac:dyDescent="0.25">
      <c r="A1375" s="8" t="s">
        <v>1605</v>
      </c>
      <c r="B1375" s="8" t="s">
        <v>1279</v>
      </c>
      <c r="C1375" s="8" t="s">
        <v>1606</v>
      </c>
      <c r="D1375" s="8" t="s">
        <v>1281</v>
      </c>
      <c r="E1375" s="25">
        <v>32500</v>
      </c>
      <c r="F1375" s="25">
        <v>0</v>
      </c>
      <c r="G1375" s="25">
        <v>32500</v>
      </c>
    </row>
    <row r="1376" spans="1:7" ht="15.75" customHeight="1" x14ac:dyDescent="0.25">
      <c r="A1376" s="8" t="s">
        <v>1605</v>
      </c>
      <c r="B1376" s="8" t="s">
        <v>1207</v>
      </c>
      <c r="C1376" s="8" t="s">
        <v>1606</v>
      </c>
      <c r="D1376" s="8" t="s">
        <v>1281</v>
      </c>
      <c r="E1376" s="25">
        <v>-32500</v>
      </c>
      <c r="F1376" s="25">
        <v>0</v>
      </c>
      <c r="G1376" s="25">
        <v>-32500</v>
      </c>
    </row>
    <row r="1377" spans="1:7" ht="15.75" customHeight="1" x14ac:dyDescent="0.25">
      <c r="A1377" s="8" t="s">
        <v>1605</v>
      </c>
      <c r="B1377" s="8" t="s">
        <v>1282</v>
      </c>
      <c r="C1377" s="8" t="s">
        <v>1606</v>
      </c>
      <c r="D1377" s="8" t="s">
        <v>1281</v>
      </c>
      <c r="E1377" s="25">
        <v>3250</v>
      </c>
      <c r="F1377" s="25">
        <v>0</v>
      </c>
      <c r="G1377" s="25">
        <v>3250</v>
      </c>
    </row>
    <row r="1378" spans="1:7" ht="15.75" customHeight="1" x14ac:dyDescent="0.25">
      <c r="A1378" s="8" t="s">
        <v>1605</v>
      </c>
      <c r="B1378" s="8" t="s">
        <v>1234</v>
      </c>
      <c r="C1378" s="8" t="s">
        <v>1606</v>
      </c>
      <c r="D1378" s="8" t="s">
        <v>1281</v>
      </c>
      <c r="E1378" s="25">
        <v>-3250</v>
      </c>
      <c r="F1378" s="25">
        <v>0</v>
      </c>
      <c r="G1378" s="25">
        <v>-3250</v>
      </c>
    </row>
    <row r="1379" spans="1:7" ht="15.75" customHeight="1" x14ac:dyDescent="0.25">
      <c r="A1379" s="8" t="s">
        <v>1605</v>
      </c>
      <c r="B1379" s="8" t="s">
        <v>939</v>
      </c>
      <c r="C1379" s="8" t="s">
        <v>1607</v>
      </c>
      <c r="D1379" s="8" t="s">
        <v>1608</v>
      </c>
      <c r="E1379" s="25">
        <v>19229</v>
      </c>
      <c r="F1379" s="25">
        <v>0</v>
      </c>
      <c r="G1379" s="25">
        <v>19229</v>
      </c>
    </row>
    <row r="1380" spans="1:7" ht="15.75" customHeight="1" x14ac:dyDescent="0.25">
      <c r="A1380" s="8" t="s">
        <v>1605</v>
      </c>
      <c r="B1380" s="8" t="s">
        <v>950</v>
      </c>
      <c r="C1380" s="8" t="s">
        <v>1607</v>
      </c>
      <c r="D1380" s="8" t="s">
        <v>1609</v>
      </c>
      <c r="E1380" s="25">
        <v>-7575.75</v>
      </c>
      <c r="F1380" s="25">
        <v>0</v>
      </c>
      <c r="G1380" s="25">
        <v>-7575.75</v>
      </c>
    </row>
    <row r="1381" spans="1:7" ht="15.75" customHeight="1" x14ac:dyDescent="0.25">
      <c r="A1381" s="8" t="s">
        <v>1605</v>
      </c>
      <c r="B1381" s="8" t="s">
        <v>950</v>
      </c>
      <c r="C1381" s="8" t="s">
        <v>1607</v>
      </c>
      <c r="D1381" s="8" t="s">
        <v>1610</v>
      </c>
      <c r="E1381" s="25">
        <v>10</v>
      </c>
      <c r="F1381" s="25">
        <v>0</v>
      </c>
      <c r="G1381" s="25">
        <v>10</v>
      </c>
    </row>
    <row r="1382" spans="1:7" ht="15.75" customHeight="1" x14ac:dyDescent="0.25">
      <c r="A1382" s="8" t="s">
        <v>1605</v>
      </c>
      <c r="B1382" s="8" t="s">
        <v>1074</v>
      </c>
      <c r="C1382" s="8" t="s">
        <v>1607</v>
      </c>
      <c r="D1382" s="8" t="s">
        <v>1611</v>
      </c>
      <c r="E1382" s="25">
        <v>17000</v>
      </c>
      <c r="F1382" s="25">
        <v>0</v>
      </c>
      <c r="G1382" s="25">
        <v>17000</v>
      </c>
    </row>
    <row r="1383" spans="1:7" ht="15.75" customHeight="1" x14ac:dyDescent="0.25">
      <c r="A1383" s="8" t="s">
        <v>1605</v>
      </c>
      <c r="B1383" s="8" t="s">
        <v>1074</v>
      </c>
      <c r="C1383" s="8" t="s">
        <v>1607</v>
      </c>
      <c r="D1383" s="8" t="s">
        <v>1612</v>
      </c>
      <c r="E1383" s="25">
        <v>10</v>
      </c>
      <c r="F1383" s="25">
        <v>0</v>
      </c>
      <c r="G1383" s="25">
        <v>10</v>
      </c>
    </row>
    <row r="1384" spans="1:7" ht="15.75" customHeight="1" x14ac:dyDescent="0.25">
      <c r="A1384" s="8" t="s">
        <v>1605</v>
      </c>
      <c r="B1384" s="8" t="s">
        <v>932</v>
      </c>
      <c r="C1384" s="8" t="s">
        <v>1607</v>
      </c>
      <c r="D1384" s="8" t="s">
        <v>1613</v>
      </c>
      <c r="E1384" s="25">
        <v>10000</v>
      </c>
      <c r="F1384" s="25">
        <v>0</v>
      </c>
      <c r="G1384" s="25">
        <v>10000</v>
      </c>
    </row>
    <row r="1385" spans="1:7" ht="15.75" customHeight="1" x14ac:dyDescent="0.25">
      <c r="A1385" s="8" t="s">
        <v>1605</v>
      </c>
      <c r="B1385" s="8" t="s">
        <v>936</v>
      </c>
      <c r="C1385" s="8" t="s">
        <v>1607</v>
      </c>
      <c r="D1385" s="8" t="s">
        <v>1614</v>
      </c>
      <c r="E1385" s="25">
        <v>2000</v>
      </c>
      <c r="F1385" s="25">
        <v>0</v>
      </c>
      <c r="G1385" s="25">
        <v>2000</v>
      </c>
    </row>
    <row r="1386" spans="1:7" ht="15.75" customHeight="1" x14ac:dyDescent="0.25">
      <c r="A1386" s="8" t="s">
        <v>1605</v>
      </c>
      <c r="B1386" s="8" t="s">
        <v>1204</v>
      </c>
      <c r="C1386" s="8" t="s">
        <v>1607</v>
      </c>
      <c r="D1386" s="8" t="s">
        <v>1615</v>
      </c>
      <c r="E1386" s="25">
        <v>5500</v>
      </c>
      <c r="F1386" s="25">
        <v>0</v>
      </c>
      <c r="G1386" s="25">
        <v>5500</v>
      </c>
    </row>
    <row r="1387" spans="1:7" ht="15.75" customHeight="1" x14ac:dyDescent="0.25">
      <c r="A1387" s="8" t="s">
        <v>1605</v>
      </c>
      <c r="B1387" s="8" t="s">
        <v>953</v>
      </c>
      <c r="C1387" s="8" t="s">
        <v>1607</v>
      </c>
      <c r="D1387" s="8" t="s">
        <v>1616</v>
      </c>
      <c r="E1387" s="25">
        <v>1000</v>
      </c>
      <c r="F1387" s="25">
        <v>0</v>
      </c>
      <c r="G1387" s="25">
        <v>1000</v>
      </c>
    </row>
    <row r="1388" spans="1:7" ht="15.75" customHeight="1" x14ac:dyDescent="0.25">
      <c r="A1388" s="8" t="s">
        <v>1605</v>
      </c>
      <c r="B1388" s="8" t="s">
        <v>1207</v>
      </c>
      <c r="C1388" s="8" t="s">
        <v>1607</v>
      </c>
      <c r="D1388" s="8" t="s">
        <v>1617</v>
      </c>
      <c r="E1388" s="25">
        <v>10000</v>
      </c>
      <c r="F1388" s="25">
        <v>0</v>
      </c>
      <c r="G1388" s="25">
        <v>10000</v>
      </c>
    </row>
    <row r="1389" spans="1:7" ht="15.75" customHeight="1" x14ac:dyDescent="0.25">
      <c r="A1389" s="8" t="s">
        <v>1605</v>
      </c>
      <c r="B1389" s="8" t="s">
        <v>1209</v>
      </c>
      <c r="C1389" s="8" t="s">
        <v>1607</v>
      </c>
      <c r="D1389" s="8" t="s">
        <v>1618</v>
      </c>
      <c r="E1389" s="25">
        <v>15000</v>
      </c>
      <c r="F1389" s="25">
        <v>0</v>
      </c>
      <c r="G1389" s="25">
        <v>15000</v>
      </c>
    </row>
    <row r="1390" spans="1:7" ht="15.75" customHeight="1" x14ac:dyDescent="0.25">
      <c r="A1390" s="8" t="s">
        <v>1605</v>
      </c>
      <c r="B1390" s="8" t="s">
        <v>985</v>
      </c>
      <c r="C1390" s="8" t="s">
        <v>1607</v>
      </c>
      <c r="D1390" s="8" t="s">
        <v>1619</v>
      </c>
      <c r="E1390" s="25">
        <v>2000</v>
      </c>
      <c r="F1390" s="25">
        <v>0</v>
      </c>
      <c r="G1390" s="25">
        <v>2000</v>
      </c>
    </row>
    <row r="1391" spans="1:7" ht="15.75" customHeight="1" x14ac:dyDescent="0.25">
      <c r="A1391" s="8" t="s">
        <v>1605</v>
      </c>
      <c r="B1391" s="8" t="s">
        <v>1141</v>
      </c>
      <c r="C1391" s="8" t="s">
        <v>1607</v>
      </c>
      <c r="D1391" s="8" t="s">
        <v>1620</v>
      </c>
      <c r="E1391" s="25">
        <v>1000</v>
      </c>
      <c r="F1391" s="25">
        <v>0</v>
      </c>
      <c r="G1391" s="25">
        <v>1000</v>
      </c>
    </row>
    <row r="1392" spans="1:7" ht="15.75" customHeight="1" x14ac:dyDescent="0.25">
      <c r="A1392" s="8" t="s">
        <v>1605</v>
      </c>
      <c r="B1392" s="8" t="s">
        <v>1213</v>
      </c>
      <c r="C1392" s="8" t="s">
        <v>1607</v>
      </c>
      <c r="D1392" s="8" t="s">
        <v>1621</v>
      </c>
      <c r="E1392" s="25">
        <v>1248</v>
      </c>
      <c r="F1392" s="25">
        <v>0</v>
      </c>
      <c r="G1392" s="25">
        <v>1248</v>
      </c>
    </row>
    <row r="1393" spans="1:7" ht="15.75" customHeight="1" x14ac:dyDescent="0.25">
      <c r="A1393" s="8" t="s">
        <v>1605</v>
      </c>
      <c r="B1393" s="8" t="s">
        <v>1013</v>
      </c>
      <c r="C1393" s="8" t="s">
        <v>1607</v>
      </c>
      <c r="D1393" s="8" t="s">
        <v>1622</v>
      </c>
      <c r="E1393" s="25">
        <v>5</v>
      </c>
      <c r="F1393" s="25">
        <v>0</v>
      </c>
      <c r="G1393" s="25">
        <v>5</v>
      </c>
    </row>
    <row r="1394" spans="1:7" ht="15.75" customHeight="1" x14ac:dyDescent="0.25">
      <c r="A1394" s="8" t="s">
        <v>1605</v>
      </c>
      <c r="B1394" s="8" t="s">
        <v>1013</v>
      </c>
      <c r="C1394" s="8" t="s">
        <v>1607</v>
      </c>
      <c r="D1394" s="8" t="s">
        <v>1623</v>
      </c>
      <c r="E1394" s="25">
        <v>-2864</v>
      </c>
      <c r="F1394" s="25">
        <v>0</v>
      </c>
      <c r="G1394" s="25">
        <v>-2864</v>
      </c>
    </row>
    <row r="1395" spans="1:7" ht="15.75" customHeight="1" x14ac:dyDescent="0.25">
      <c r="A1395" s="8" t="s">
        <v>1605</v>
      </c>
      <c r="B1395" s="8" t="s">
        <v>1195</v>
      </c>
      <c r="C1395" s="8" t="s">
        <v>1607</v>
      </c>
      <c r="D1395" s="8" t="s">
        <v>1624</v>
      </c>
      <c r="E1395" s="25">
        <v>-74462.25</v>
      </c>
      <c r="F1395" s="25">
        <v>0</v>
      </c>
      <c r="G1395" s="25">
        <v>-74462.25</v>
      </c>
    </row>
    <row r="1396" spans="1:7" ht="15.75" customHeight="1" x14ac:dyDescent="0.25">
      <c r="A1396" s="8" t="s">
        <v>1605</v>
      </c>
      <c r="B1396" s="8" t="s">
        <v>1043</v>
      </c>
      <c r="C1396" s="8" t="s">
        <v>1607</v>
      </c>
      <c r="D1396" s="8" t="s">
        <v>1625</v>
      </c>
      <c r="E1396" s="25">
        <v>900</v>
      </c>
      <c r="F1396" s="25">
        <v>0</v>
      </c>
      <c r="G1396" s="25">
        <v>900</v>
      </c>
    </row>
    <row r="1397" spans="1:7" ht="15.75" customHeight="1" x14ac:dyDescent="0.25">
      <c r="A1397" s="8" t="s">
        <v>1605</v>
      </c>
      <c r="B1397" s="8" t="s">
        <v>1192</v>
      </c>
      <c r="C1397" s="8" t="s">
        <v>1626</v>
      </c>
      <c r="D1397" s="8" t="s">
        <v>1627</v>
      </c>
      <c r="E1397" s="25">
        <v>-10000</v>
      </c>
      <c r="F1397" s="25">
        <v>0</v>
      </c>
      <c r="G1397" s="25">
        <v>-10000</v>
      </c>
    </row>
    <row r="1398" spans="1:7" ht="15.75" customHeight="1" x14ac:dyDescent="0.25">
      <c r="A1398" s="8" t="s">
        <v>1605</v>
      </c>
      <c r="B1398" s="8" t="s">
        <v>1195</v>
      </c>
      <c r="C1398" s="8" t="s">
        <v>1626</v>
      </c>
      <c r="D1398" s="8" t="s">
        <v>1627</v>
      </c>
      <c r="E1398" s="25">
        <v>10000</v>
      </c>
      <c r="F1398" s="25">
        <v>0</v>
      </c>
      <c r="G1398" s="25">
        <v>10000</v>
      </c>
    </row>
    <row r="1399" spans="1:7" ht="15.75" customHeight="1" x14ac:dyDescent="0.25">
      <c r="A1399" s="8" t="s">
        <v>1605</v>
      </c>
      <c r="B1399" s="8" t="s">
        <v>1192</v>
      </c>
      <c r="C1399" s="8" t="s">
        <v>1628</v>
      </c>
      <c r="D1399" s="8" t="s">
        <v>1629</v>
      </c>
      <c r="E1399" s="25">
        <v>106879</v>
      </c>
      <c r="F1399" s="25">
        <v>0</v>
      </c>
      <c r="G1399" s="25">
        <v>106879</v>
      </c>
    </row>
    <row r="1400" spans="1:7" ht="15.75" customHeight="1" x14ac:dyDescent="0.25">
      <c r="A1400" s="8" t="s">
        <v>1605</v>
      </c>
      <c r="B1400" s="8" t="s">
        <v>1221</v>
      </c>
      <c r="C1400" s="8" t="s">
        <v>1628</v>
      </c>
      <c r="D1400" s="8" t="s">
        <v>1629</v>
      </c>
      <c r="E1400" s="25">
        <v>-106879</v>
      </c>
      <c r="F1400" s="25">
        <v>0</v>
      </c>
      <c r="G1400" s="25">
        <v>-106879</v>
      </c>
    </row>
    <row r="1401" spans="1:7" ht="15.75" customHeight="1" x14ac:dyDescent="0.25">
      <c r="A1401" s="116" t="s">
        <v>1630</v>
      </c>
      <c r="B1401" s="11"/>
      <c r="C1401" s="11"/>
      <c r="D1401" s="11"/>
      <c r="E1401" s="117">
        <v>0</v>
      </c>
      <c r="F1401" s="117">
        <v>0</v>
      </c>
      <c r="G1401" s="117">
        <v>0</v>
      </c>
    </row>
    <row r="7678" spans="8:8" ht="15.75" customHeight="1" x14ac:dyDescent="0.25">
      <c r="H7678" s="116"/>
    </row>
    <row r="7679" spans="8:8" ht="15.75" customHeight="1" x14ac:dyDescent="0.25">
      <c r="H7679" s="116"/>
    </row>
    <row r="7680" spans="8:8" ht="15.75" customHeight="1" x14ac:dyDescent="0.25">
      <c r="H7680" s="116"/>
    </row>
    <row r="7681" spans="8:8" ht="15.75" customHeight="1" x14ac:dyDescent="0.25">
      <c r="H7681" s="116"/>
    </row>
    <row r="7682" spans="8:8" ht="15.75" customHeight="1" x14ac:dyDescent="0.25">
      <c r="H7682" s="116"/>
    </row>
    <row r="7683" spans="8:8" ht="15.75" customHeight="1" x14ac:dyDescent="0.25">
      <c r="H7683" s="116"/>
    </row>
    <row r="7684" spans="8:8" ht="15.75" customHeight="1" x14ac:dyDescent="0.25">
      <c r="H7684" s="116"/>
    </row>
    <row r="7685" spans="8:8" ht="15.75" customHeight="1" x14ac:dyDescent="0.25">
      <c r="H7685" s="116"/>
    </row>
    <row r="7686" spans="8:8" ht="15.75" customHeight="1" x14ac:dyDescent="0.25">
      <c r="H7686" s="116"/>
    </row>
    <row r="7687" spans="8:8" ht="15.75" customHeight="1" x14ac:dyDescent="0.25">
      <c r="H7687" s="116"/>
    </row>
    <row r="7688" spans="8:8" ht="15.75" customHeight="1" x14ac:dyDescent="0.25">
      <c r="H7688" s="116"/>
    </row>
    <row r="7689" spans="8:8" ht="15.75" customHeight="1" x14ac:dyDescent="0.25">
      <c r="H7689" s="116"/>
    </row>
    <row r="7690" spans="8:8" ht="15.75" customHeight="1" x14ac:dyDescent="0.25">
      <c r="H7690" s="116"/>
    </row>
    <row r="7691" spans="8:8" ht="15.75" customHeight="1" x14ac:dyDescent="0.25">
      <c r="H7691" s="116"/>
    </row>
    <row r="7692" spans="8:8" ht="15.75" customHeight="1" x14ac:dyDescent="0.25">
      <c r="H7692" s="116"/>
    </row>
    <row r="7693" spans="8:8" ht="15.75" customHeight="1" x14ac:dyDescent="0.25">
      <c r="H7693" s="116"/>
    </row>
    <row r="7694" spans="8:8" ht="15.75" customHeight="1" x14ac:dyDescent="0.25">
      <c r="H7694" s="116"/>
    </row>
    <row r="7695" spans="8:8" ht="15.75" customHeight="1" x14ac:dyDescent="0.25">
      <c r="H7695" s="116"/>
    </row>
    <row r="7696" spans="8:8" ht="15.75" customHeight="1" x14ac:dyDescent="0.25">
      <c r="H7696" s="116"/>
    </row>
    <row r="7697" spans="8:8" ht="15.75" customHeight="1" x14ac:dyDescent="0.25">
      <c r="H7697" s="116"/>
    </row>
    <row r="7698" spans="8:8" ht="15.75" customHeight="1" x14ac:dyDescent="0.25">
      <c r="H7698" s="116"/>
    </row>
    <row r="7699" spans="8:8" ht="15.75" customHeight="1" x14ac:dyDescent="0.25">
      <c r="H7699" s="116"/>
    </row>
    <row r="7700" spans="8:8" ht="15.75" customHeight="1" x14ac:dyDescent="0.25">
      <c r="H7700" s="116"/>
    </row>
    <row r="7701" spans="8:8" ht="15.75" customHeight="1" x14ac:dyDescent="0.25">
      <c r="H7701" s="116"/>
    </row>
    <row r="7702" spans="8:8" ht="15.75" customHeight="1" x14ac:dyDescent="0.25">
      <c r="H7702" s="116"/>
    </row>
    <row r="7703" spans="8:8" ht="15.75" customHeight="1" x14ac:dyDescent="0.25">
      <c r="H7703" s="116"/>
    </row>
    <row r="7704" spans="8:8" ht="15.75" customHeight="1" x14ac:dyDescent="0.25">
      <c r="H7704" s="116"/>
    </row>
    <row r="7705" spans="8:8" ht="15.75" customHeight="1" x14ac:dyDescent="0.25">
      <c r="H7705" s="116"/>
    </row>
    <row r="7706" spans="8:8" ht="15.75" customHeight="1" x14ac:dyDescent="0.25">
      <c r="H7706" s="116"/>
    </row>
    <row r="7707" spans="8:8" ht="15.75" customHeight="1" x14ac:dyDescent="0.25">
      <c r="H7707" s="116"/>
    </row>
    <row r="7708" spans="8:8" ht="15.75" customHeight="1" x14ac:dyDescent="0.25">
      <c r="H7708" s="116"/>
    </row>
    <row r="7709" spans="8:8" ht="15.75" customHeight="1" x14ac:dyDescent="0.25">
      <c r="H7709" s="116"/>
    </row>
    <row r="7710" spans="8:8" ht="15.75" customHeight="1" x14ac:dyDescent="0.25">
      <c r="H7710" s="116"/>
    </row>
    <row r="7711" spans="8:8" ht="15.75" customHeight="1" x14ac:dyDescent="0.25">
      <c r="H7711" s="116"/>
    </row>
    <row r="7712" spans="8:8" ht="15.75" customHeight="1" x14ac:dyDescent="0.25">
      <c r="H7712" s="116"/>
    </row>
    <row r="7713" spans="8:8" ht="15.75" customHeight="1" x14ac:dyDescent="0.25">
      <c r="H7713" s="116"/>
    </row>
    <row r="7714" spans="8:8" ht="15.75" customHeight="1" x14ac:dyDescent="0.25">
      <c r="H7714" s="116"/>
    </row>
    <row r="7715" spans="8:8" ht="15.75" customHeight="1" x14ac:dyDescent="0.25">
      <c r="H7715" s="116"/>
    </row>
    <row r="7716" spans="8:8" ht="15.75" customHeight="1" x14ac:dyDescent="0.25">
      <c r="H7716" s="116"/>
    </row>
    <row r="7717" spans="8:8" ht="15.75" customHeight="1" x14ac:dyDescent="0.25">
      <c r="H7717" s="116"/>
    </row>
    <row r="7718" spans="8:8" ht="15.75" customHeight="1" x14ac:dyDescent="0.25">
      <c r="H7718" s="116"/>
    </row>
    <row r="7719" spans="8:8" ht="15.75" customHeight="1" x14ac:dyDescent="0.25">
      <c r="H7719" s="116"/>
    </row>
    <row r="7720" spans="8:8" ht="15.75" customHeight="1" x14ac:dyDescent="0.25">
      <c r="H7720" s="116"/>
    </row>
    <row r="7721" spans="8:8" ht="15.75" customHeight="1" x14ac:dyDescent="0.25">
      <c r="H7721" s="116"/>
    </row>
    <row r="7722" spans="8:8" ht="15.75" customHeight="1" x14ac:dyDescent="0.25">
      <c r="H7722" s="116"/>
    </row>
    <row r="7723" spans="8:8" ht="15.75" customHeight="1" x14ac:dyDescent="0.25">
      <c r="H7723" s="116"/>
    </row>
    <row r="7724" spans="8:8" ht="15.75" customHeight="1" x14ac:dyDescent="0.25">
      <c r="H7724" s="116"/>
    </row>
    <row r="7725" spans="8:8" ht="15.75" customHeight="1" x14ac:dyDescent="0.25">
      <c r="H7725" s="116"/>
    </row>
    <row r="7726" spans="8:8" ht="15.75" customHeight="1" x14ac:dyDescent="0.25">
      <c r="H7726" s="116"/>
    </row>
    <row r="7727" spans="8:8" ht="15.75" customHeight="1" x14ac:dyDescent="0.25">
      <c r="H7727" s="116"/>
    </row>
    <row r="7728" spans="8:8" ht="15.75" customHeight="1" x14ac:dyDescent="0.25">
      <c r="H7728" s="116"/>
    </row>
    <row r="7729" spans="8:8" ht="15.75" customHeight="1" x14ac:dyDescent="0.25">
      <c r="H7729" s="116"/>
    </row>
    <row r="7730" spans="8:8" ht="15.75" customHeight="1" x14ac:dyDescent="0.25">
      <c r="H7730" s="116"/>
    </row>
    <row r="7731" spans="8:8" ht="15.75" customHeight="1" x14ac:dyDescent="0.25">
      <c r="H7731" s="116"/>
    </row>
    <row r="7732" spans="8:8" ht="15.75" customHeight="1" x14ac:dyDescent="0.25">
      <c r="H7732" s="116"/>
    </row>
    <row r="7733" spans="8:8" ht="15.75" customHeight="1" x14ac:dyDescent="0.25">
      <c r="H7733" s="116"/>
    </row>
    <row r="7734" spans="8:8" ht="15.75" customHeight="1" x14ac:dyDescent="0.25">
      <c r="H7734" s="116"/>
    </row>
    <row r="7735" spans="8:8" ht="15.75" customHeight="1" x14ac:dyDescent="0.25">
      <c r="H7735" s="116"/>
    </row>
    <row r="7736" spans="8:8" ht="15.75" customHeight="1" x14ac:dyDescent="0.25">
      <c r="H7736" s="116"/>
    </row>
    <row r="7737" spans="8:8" ht="15.75" customHeight="1" x14ac:dyDescent="0.25">
      <c r="H7737" s="116"/>
    </row>
    <row r="7738" spans="8:8" ht="15.75" customHeight="1" x14ac:dyDescent="0.25">
      <c r="H7738" s="116"/>
    </row>
    <row r="7739" spans="8:8" ht="15.75" customHeight="1" x14ac:dyDescent="0.25">
      <c r="H7739" s="116"/>
    </row>
    <row r="7740" spans="8:8" ht="15.75" customHeight="1" x14ac:dyDescent="0.25">
      <c r="H7740" s="116"/>
    </row>
    <row r="7741" spans="8:8" ht="15.75" customHeight="1" x14ac:dyDescent="0.25">
      <c r="H7741" s="116"/>
    </row>
    <row r="7742" spans="8:8" ht="15.75" customHeight="1" x14ac:dyDescent="0.25">
      <c r="H7742" s="116"/>
    </row>
    <row r="7743" spans="8:8" ht="15.75" customHeight="1" x14ac:dyDescent="0.25">
      <c r="H7743" s="116"/>
    </row>
    <row r="7744" spans="8:8" ht="15.75" customHeight="1" x14ac:dyDescent="0.25">
      <c r="H7744" s="116"/>
    </row>
    <row r="7745" spans="8:8" ht="15.75" customHeight="1" x14ac:dyDescent="0.25">
      <c r="H7745" s="116"/>
    </row>
    <row r="7746" spans="8:8" ht="15.75" customHeight="1" x14ac:dyDescent="0.25">
      <c r="H7746" s="116"/>
    </row>
    <row r="7747" spans="8:8" ht="15.75" customHeight="1" x14ac:dyDescent="0.25">
      <c r="H7747" s="116"/>
    </row>
    <row r="7748" spans="8:8" ht="15.75" customHeight="1" x14ac:dyDescent="0.25">
      <c r="H7748" s="116"/>
    </row>
    <row r="7749" spans="8:8" ht="15.75" customHeight="1" x14ac:dyDescent="0.25">
      <c r="H7749" s="116"/>
    </row>
    <row r="7750" spans="8:8" ht="15.75" customHeight="1" x14ac:dyDescent="0.25">
      <c r="H7750" s="116"/>
    </row>
    <row r="7751" spans="8:8" ht="15.75" customHeight="1" x14ac:dyDescent="0.25">
      <c r="H7751" s="116"/>
    </row>
    <row r="7752" spans="8:8" ht="15.75" customHeight="1" x14ac:dyDescent="0.25">
      <c r="H7752" s="116"/>
    </row>
    <row r="7753" spans="8:8" ht="15.75" customHeight="1" x14ac:dyDescent="0.25">
      <c r="H7753" s="116"/>
    </row>
    <row r="7754" spans="8:8" ht="15.75" customHeight="1" x14ac:dyDescent="0.25">
      <c r="H7754" s="116"/>
    </row>
    <row r="7755" spans="8:8" ht="15.75" customHeight="1" x14ac:dyDescent="0.25">
      <c r="H7755" s="116"/>
    </row>
    <row r="7756" spans="8:8" ht="15.75" customHeight="1" x14ac:dyDescent="0.25">
      <c r="H7756" s="116"/>
    </row>
    <row r="7757" spans="8:8" ht="15.75" customHeight="1" x14ac:dyDescent="0.25">
      <c r="H7757" s="116"/>
    </row>
    <row r="7758" spans="8:8" ht="15.75" customHeight="1" x14ac:dyDescent="0.25">
      <c r="H7758" s="116"/>
    </row>
    <row r="7759" spans="8:8" ht="15.75" customHeight="1" x14ac:dyDescent="0.25">
      <c r="H7759" s="116"/>
    </row>
    <row r="7760" spans="8:8" ht="15.75" customHeight="1" x14ac:dyDescent="0.25">
      <c r="H7760" s="116"/>
    </row>
    <row r="7761" spans="8:8" ht="15.75" customHeight="1" x14ac:dyDescent="0.25">
      <c r="H7761" s="116"/>
    </row>
    <row r="7762" spans="8:8" ht="15.75" customHeight="1" x14ac:dyDescent="0.25">
      <c r="H7762" s="116"/>
    </row>
    <row r="7763" spans="8:8" ht="15.75" customHeight="1" x14ac:dyDescent="0.25">
      <c r="H7763" s="116"/>
    </row>
    <row r="7764" spans="8:8" ht="15.75" customHeight="1" x14ac:dyDescent="0.25">
      <c r="H7764" s="116"/>
    </row>
    <row r="7765" spans="8:8" ht="15.75" customHeight="1" x14ac:dyDescent="0.25">
      <c r="H7765" s="116"/>
    </row>
    <row r="7766" spans="8:8" ht="15.75" customHeight="1" x14ac:dyDescent="0.25">
      <c r="H7766" s="116"/>
    </row>
    <row r="7767" spans="8:8" ht="15.75" customHeight="1" x14ac:dyDescent="0.25">
      <c r="H7767" s="116"/>
    </row>
    <row r="7768" spans="8:8" ht="15.75" customHeight="1" x14ac:dyDescent="0.25">
      <c r="H7768" s="116"/>
    </row>
    <row r="7769" spans="8:8" ht="15.75" customHeight="1" x14ac:dyDescent="0.25">
      <c r="H7769" s="116"/>
    </row>
    <row r="7770" spans="8:8" ht="15.75" customHeight="1" x14ac:dyDescent="0.25">
      <c r="H7770" s="116"/>
    </row>
    <row r="7771" spans="8:8" ht="15.75" customHeight="1" x14ac:dyDescent="0.25">
      <c r="H7771" s="116"/>
    </row>
    <row r="7772" spans="8:8" ht="15.75" customHeight="1" x14ac:dyDescent="0.25">
      <c r="H7772" s="116"/>
    </row>
    <row r="7773" spans="8:8" ht="15.75" customHeight="1" x14ac:dyDescent="0.25">
      <c r="H7773" s="116"/>
    </row>
    <row r="7774" spans="8:8" ht="15.75" customHeight="1" x14ac:dyDescent="0.25">
      <c r="H7774" s="116"/>
    </row>
    <row r="7775" spans="8:8" ht="15.75" customHeight="1" x14ac:dyDescent="0.25">
      <c r="H7775" s="116"/>
    </row>
    <row r="7776" spans="8:8" ht="15.75" customHeight="1" x14ac:dyDescent="0.25">
      <c r="H7776" s="116"/>
    </row>
    <row r="7777" spans="8:8" ht="15.75" customHeight="1" x14ac:dyDescent="0.25">
      <c r="H7777" s="116"/>
    </row>
    <row r="7778" spans="8:8" ht="15.75" customHeight="1" x14ac:dyDescent="0.25">
      <c r="H7778" s="116"/>
    </row>
    <row r="7779" spans="8:8" ht="15.75" customHeight="1" x14ac:dyDescent="0.25">
      <c r="H7779" s="116"/>
    </row>
    <row r="7780" spans="8:8" ht="15.75" customHeight="1" x14ac:dyDescent="0.25">
      <c r="H7780" s="116"/>
    </row>
    <row r="7781" spans="8:8" ht="15.75" customHeight="1" x14ac:dyDescent="0.25">
      <c r="H7781" s="116"/>
    </row>
    <row r="7782" spans="8:8" ht="15.75" customHeight="1" x14ac:dyDescent="0.25">
      <c r="H7782" s="116"/>
    </row>
    <row r="7783" spans="8:8" ht="15.75" customHeight="1" x14ac:dyDescent="0.25">
      <c r="H7783" s="116"/>
    </row>
    <row r="7784" spans="8:8" ht="15.75" customHeight="1" x14ac:dyDescent="0.25">
      <c r="H7784" s="116"/>
    </row>
    <row r="7785" spans="8:8" ht="15.75" customHeight="1" x14ac:dyDescent="0.25">
      <c r="H7785" s="116"/>
    </row>
    <row r="7786" spans="8:8" ht="15.75" customHeight="1" x14ac:dyDescent="0.25">
      <c r="H7786" s="116"/>
    </row>
    <row r="7787" spans="8:8" ht="15.75" customHeight="1" x14ac:dyDescent="0.25">
      <c r="H7787" s="116"/>
    </row>
    <row r="7788" spans="8:8" ht="15.75" customHeight="1" x14ac:dyDescent="0.25">
      <c r="H7788" s="116"/>
    </row>
    <row r="7789" spans="8:8" ht="15.75" customHeight="1" x14ac:dyDescent="0.25">
      <c r="H7789" s="116"/>
    </row>
    <row r="7790" spans="8:8" ht="15.75" customHeight="1" x14ac:dyDescent="0.25">
      <c r="H7790" s="116"/>
    </row>
    <row r="7791" spans="8:8" ht="15.75" customHeight="1" x14ac:dyDescent="0.25">
      <c r="H7791" s="116"/>
    </row>
    <row r="7792" spans="8:8" ht="15.75" customHeight="1" x14ac:dyDescent="0.25">
      <c r="H7792" s="116"/>
    </row>
    <row r="7793" spans="8:8" ht="15.75" customHeight="1" x14ac:dyDescent="0.25">
      <c r="H7793" s="116"/>
    </row>
    <row r="7794" spans="8:8" ht="15.75" customHeight="1" x14ac:dyDescent="0.25">
      <c r="H7794" s="116"/>
    </row>
    <row r="7795" spans="8:8" ht="15.75" customHeight="1" x14ac:dyDescent="0.25">
      <c r="H7795" s="116"/>
    </row>
    <row r="7796" spans="8:8" ht="15.75" customHeight="1" x14ac:dyDescent="0.25">
      <c r="H7796" s="116"/>
    </row>
    <row r="7797" spans="8:8" ht="15.75" customHeight="1" x14ac:dyDescent="0.25">
      <c r="H7797" s="116"/>
    </row>
    <row r="7798" spans="8:8" ht="15.75" customHeight="1" x14ac:dyDescent="0.25">
      <c r="H7798" s="116"/>
    </row>
    <row r="7799" spans="8:8" ht="15.75" customHeight="1" x14ac:dyDescent="0.25">
      <c r="H7799" s="116"/>
    </row>
    <row r="7800" spans="8:8" ht="15.75" customHeight="1" x14ac:dyDescent="0.25">
      <c r="H7800" s="116"/>
    </row>
    <row r="7801" spans="8:8" ht="15.75" customHeight="1" x14ac:dyDescent="0.25">
      <c r="H7801" s="116"/>
    </row>
    <row r="7802" spans="8:8" ht="15.75" customHeight="1" x14ac:dyDescent="0.25">
      <c r="H7802" s="116"/>
    </row>
    <row r="7803" spans="8:8" ht="15.75" customHeight="1" x14ac:dyDescent="0.25">
      <c r="H7803" s="116"/>
    </row>
    <row r="7804" spans="8:8" ht="15.75" customHeight="1" x14ac:dyDescent="0.25">
      <c r="H7804" s="116"/>
    </row>
    <row r="7805" spans="8:8" ht="15.75" customHeight="1" x14ac:dyDescent="0.25">
      <c r="H7805" s="116"/>
    </row>
    <row r="7806" spans="8:8" ht="15.75" customHeight="1" x14ac:dyDescent="0.25">
      <c r="H7806" s="116"/>
    </row>
    <row r="7807" spans="8:8" ht="15.75" customHeight="1" x14ac:dyDescent="0.25">
      <c r="H7807" s="116"/>
    </row>
    <row r="7808" spans="8:8" ht="15.75" customHeight="1" x14ac:dyDescent="0.25">
      <c r="H7808" s="116"/>
    </row>
    <row r="7809" spans="8:8" ht="15.75" customHeight="1" x14ac:dyDescent="0.25">
      <c r="H7809" s="116"/>
    </row>
    <row r="7810" spans="8:8" ht="15.75" customHeight="1" x14ac:dyDescent="0.25">
      <c r="H7810" s="116"/>
    </row>
    <row r="7811" spans="8:8" ht="15.75" customHeight="1" x14ac:dyDescent="0.25">
      <c r="H7811" s="116"/>
    </row>
    <row r="7812" spans="8:8" ht="15.75" customHeight="1" x14ac:dyDescent="0.25">
      <c r="H7812" s="116"/>
    </row>
    <row r="7813" spans="8:8" ht="15.75" customHeight="1" x14ac:dyDescent="0.25">
      <c r="H7813" s="116"/>
    </row>
    <row r="7814" spans="8:8" ht="15.75" customHeight="1" x14ac:dyDescent="0.25">
      <c r="H7814" s="116"/>
    </row>
    <row r="7815" spans="8:8" ht="15.75" customHeight="1" x14ac:dyDescent="0.25">
      <c r="H7815" s="116"/>
    </row>
    <row r="7816" spans="8:8" ht="15.75" customHeight="1" x14ac:dyDescent="0.25">
      <c r="H7816" s="116"/>
    </row>
    <row r="7817" spans="8:8" ht="15.75" customHeight="1" x14ac:dyDescent="0.25">
      <c r="H7817" s="116"/>
    </row>
    <row r="7818" spans="8:8" ht="15.75" customHeight="1" x14ac:dyDescent="0.25">
      <c r="H7818" s="116"/>
    </row>
    <row r="7819" spans="8:8" ht="15.75" customHeight="1" x14ac:dyDescent="0.25">
      <c r="H7819" s="116"/>
    </row>
    <row r="7820" spans="8:8" ht="15.75" customHeight="1" x14ac:dyDescent="0.25">
      <c r="H7820" s="116"/>
    </row>
    <row r="7821" spans="8:8" ht="15.75" customHeight="1" x14ac:dyDescent="0.25">
      <c r="H7821" s="116"/>
    </row>
    <row r="7822" spans="8:8" ht="15.75" customHeight="1" x14ac:dyDescent="0.25">
      <c r="H7822" s="116"/>
    </row>
    <row r="7823" spans="8:8" ht="15.75" customHeight="1" x14ac:dyDescent="0.25">
      <c r="H7823" s="116"/>
    </row>
    <row r="7824" spans="8:8" ht="15.75" customHeight="1" x14ac:dyDescent="0.25">
      <c r="H7824" s="116"/>
    </row>
    <row r="7825" spans="8:8" ht="15.75" customHeight="1" x14ac:dyDescent="0.25">
      <c r="H7825" s="116"/>
    </row>
    <row r="7826" spans="8:8" ht="15.75" customHeight="1" x14ac:dyDescent="0.25">
      <c r="H7826" s="116"/>
    </row>
    <row r="7827" spans="8:8" ht="15.75" customHeight="1" x14ac:dyDescent="0.25">
      <c r="H7827" s="116"/>
    </row>
    <row r="7828" spans="8:8" ht="15.75" customHeight="1" x14ac:dyDescent="0.25">
      <c r="H7828" s="116"/>
    </row>
    <row r="7829" spans="8:8" ht="15.75" customHeight="1" x14ac:dyDescent="0.25">
      <c r="H7829" s="116"/>
    </row>
    <row r="7830" spans="8:8" ht="15.75" customHeight="1" x14ac:dyDescent="0.25">
      <c r="H7830" s="116"/>
    </row>
    <row r="7831" spans="8:8" ht="15.75" customHeight="1" x14ac:dyDescent="0.25">
      <c r="H7831" s="116"/>
    </row>
    <row r="7832" spans="8:8" ht="15.75" customHeight="1" x14ac:dyDescent="0.25">
      <c r="H7832" s="116"/>
    </row>
    <row r="7833" spans="8:8" ht="15.75" customHeight="1" x14ac:dyDescent="0.25">
      <c r="H7833" s="116"/>
    </row>
    <row r="7834" spans="8:8" ht="15.75" customHeight="1" x14ac:dyDescent="0.25">
      <c r="H7834" s="116"/>
    </row>
    <row r="7835" spans="8:8" ht="15.75" customHeight="1" x14ac:dyDescent="0.25">
      <c r="H7835" s="116"/>
    </row>
    <row r="7836" spans="8:8" ht="15.75" customHeight="1" x14ac:dyDescent="0.25">
      <c r="H7836" s="116"/>
    </row>
    <row r="7837" spans="8:8" ht="15.75" customHeight="1" x14ac:dyDescent="0.25">
      <c r="H7837" s="116"/>
    </row>
    <row r="7838" spans="8:8" ht="15.75" customHeight="1" x14ac:dyDescent="0.25">
      <c r="H7838" s="116"/>
    </row>
    <row r="7839" spans="8:8" ht="15.75" customHeight="1" x14ac:dyDescent="0.25">
      <c r="H7839" s="116"/>
    </row>
    <row r="7840" spans="8:8" ht="15.75" customHeight="1" x14ac:dyDescent="0.25">
      <c r="H7840" s="116"/>
    </row>
    <row r="7841" spans="8:8" ht="15.75" customHeight="1" x14ac:dyDescent="0.25">
      <c r="H7841" s="116"/>
    </row>
    <row r="7842" spans="8:8" ht="15.75" customHeight="1" x14ac:dyDescent="0.25">
      <c r="H7842" s="116"/>
    </row>
    <row r="7843" spans="8:8" ht="15.75" customHeight="1" x14ac:dyDescent="0.25">
      <c r="H7843" s="116"/>
    </row>
    <row r="7844" spans="8:8" ht="15.75" customHeight="1" x14ac:dyDescent="0.25">
      <c r="H7844" s="116"/>
    </row>
    <row r="7845" spans="8:8" ht="15.75" customHeight="1" x14ac:dyDescent="0.25">
      <c r="H7845" s="116"/>
    </row>
    <row r="7846" spans="8:8" ht="15.75" customHeight="1" x14ac:dyDescent="0.25">
      <c r="H7846" s="116"/>
    </row>
    <row r="7847" spans="8:8" ht="15.75" customHeight="1" x14ac:dyDescent="0.25">
      <c r="H7847" s="116"/>
    </row>
    <row r="7848" spans="8:8" ht="15.75" customHeight="1" x14ac:dyDescent="0.25">
      <c r="H7848" s="116"/>
    </row>
    <row r="7849" spans="8:8" ht="15.75" customHeight="1" x14ac:dyDescent="0.25">
      <c r="H7849" s="116"/>
    </row>
    <row r="7850" spans="8:8" ht="15.75" customHeight="1" x14ac:dyDescent="0.25">
      <c r="H7850" s="116"/>
    </row>
    <row r="7851" spans="8:8" ht="15.75" customHeight="1" x14ac:dyDescent="0.25">
      <c r="H7851" s="116"/>
    </row>
    <row r="7852" spans="8:8" ht="15.75" customHeight="1" x14ac:dyDescent="0.25">
      <c r="H7852" s="116"/>
    </row>
    <row r="7853" spans="8:8" ht="15.75" customHeight="1" x14ac:dyDescent="0.25">
      <c r="H7853" s="116"/>
    </row>
    <row r="7854" spans="8:8" ht="15.75" customHeight="1" x14ac:dyDescent="0.25">
      <c r="H7854" s="116"/>
    </row>
    <row r="7855" spans="8:8" ht="15.75" customHeight="1" x14ac:dyDescent="0.25">
      <c r="H7855" s="116"/>
    </row>
    <row r="7856" spans="8:8" ht="15.75" customHeight="1" x14ac:dyDescent="0.25">
      <c r="H7856" s="116"/>
    </row>
    <row r="7857" spans="8:8" ht="15.75" customHeight="1" x14ac:dyDescent="0.25">
      <c r="H7857" s="116"/>
    </row>
    <row r="7858" spans="8:8" ht="15.75" customHeight="1" x14ac:dyDescent="0.25">
      <c r="H7858" s="116"/>
    </row>
    <row r="7859" spans="8:8" ht="15.75" customHeight="1" x14ac:dyDescent="0.25">
      <c r="H7859" s="116"/>
    </row>
    <row r="7860" spans="8:8" ht="15.75" customHeight="1" x14ac:dyDescent="0.25">
      <c r="H7860" s="116"/>
    </row>
    <row r="7861" spans="8:8" ht="15.75" customHeight="1" x14ac:dyDescent="0.25">
      <c r="H7861" s="116"/>
    </row>
    <row r="7862" spans="8:8" ht="15.75" customHeight="1" x14ac:dyDescent="0.25">
      <c r="H7862" s="116"/>
    </row>
    <row r="7863" spans="8:8" ht="15.75" customHeight="1" x14ac:dyDescent="0.25">
      <c r="H7863" s="116"/>
    </row>
    <row r="7864" spans="8:8" ht="15.75" customHeight="1" x14ac:dyDescent="0.25">
      <c r="H7864" s="116"/>
    </row>
    <row r="7865" spans="8:8" ht="15.75" customHeight="1" x14ac:dyDescent="0.25">
      <c r="H7865" s="116"/>
    </row>
    <row r="7866" spans="8:8" ht="15.75" customHeight="1" x14ac:dyDescent="0.25">
      <c r="H7866" s="116"/>
    </row>
    <row r="7867" spans="8:8" ht="15.75" customHeight="1" x14ac:dyDescent="0.25">
      <c r="H7867" s="116"/>
    </row>
    <row r="7868" spans="8:8" ht="15.75" customHeight="1" x14ac:dyDescent="0.25">
      <c r="H7868" s="116"/>
    </row>
    <row r="7869" spans="8:8" ht="15.75" customHeight="1" x14ac:dyDescent="0.25">
      <c r="H7869" s="116"/>
    </row>
    <row r="7870" spans="8:8" ht="15.75" customHeight="1" x14ac:dyDescent="0.25">
      <c r="H7870" s="116"/>
    </row>
    <row r="7871" spans="8:8" ht="15.75" customHeight="1" x14ac:dyDescent="0.25">
      <c r="H7871" s="116"/>
    </row>
    <row r="7872" spans="8:8" ht="15.75" customHeight="1" x14ac:dyDescent="0.25">
      <c r="H7872" s="116"/>
    </row>
    <row r="7873" spans="8:8" ht="15.75" customHeight="1" x14ac:dyDescent="0.25">
      <c r="H7873" s="116"/>
    </row>
    <row r="7874" spans="8:8" ht="15.75" customHeight="1" x14ac:dyDescent="0.25">
      <c r="H7874" s="116"/>
    </row>
    <row r="7875" spans="8:8" ht="15.75" customHeight="1" x14ac:dyDescent="0.25">
      <c r="H7875" s="116"/>
    </row>
    <row r="7876" spans="8:8" ht="15.75" customHeight="1" x14ac:dyDescent="0.25">
      <c r="H7876" s="116"/>
    </row>
    <row r="7877" spans="8:8" ht="15.75" customHeight="1" x14ac:dyDescent="0.25">
      <c r="H7877" s="116"/>
    </row>
    <row r="7878" spans="8:8" ht="15.75" customHeight="1" x14ac:dyDescent="0.25">
      <c r="H7878" s="116"/>
    </row>
    <row r="7879" spans="8:8" ht="15.75" customHeight="1" x14ac:dyDescent="0.25">
      <c r="H7879" s="116"/>
    </row>
    <row r="7880" spans="8:8" ht="15.75" customHeight="1" x14ac:dyDescent="0.25">
      <c r="H7880" s="116"/>
    </row>
    <row r="7881" spans="8:8" ht="15.75" customHeight="1" x14ac:dyDescent="0.25">
      <c r="H7881" s="116"/>
    </row>
    <row r="7882" spans="8:8" ht="15.75" customHeight="1" x14ac:dyDescent="0.25">
      <c r="H7882" s="116"/>
    </row>
    <row r="7883" spans="8:8" ht="15.75" customHeight="1" x14ac:dyDescent="0.25">
      <c r="H7883" s="116"/>
    </row>
    <row r="7884" spans="8:8" ht="15.75" customHeight="1" x14ac:dyDescent="0.25">
      <c r="H7884" s="116"/>
    </row>
    <row r="7885" spans="8:8" ht="15.75" customHeight="1" x14ac:dyDescent="0.25">
      <c r="H7885" s="116"/>
    </row>
    <row r="7886" spans="8:8" ht="15.75" customHeight="1" x14ac:dyDescent="0.25">
      <c r="H7886" s="116"/>
    </row>
    <row r="7887" spans="8:8" ht="15.75" customHeight="1" x14ac:dyDescent="0.25">
      <c r="H7887" s="116"/>
    </row>
    <row r="7888" spans="8:8" ht="15.75" customHeight="1" x14ac:dyDescent="0.25">
      <c r="H7888" s="116"/>
    </row>
    <row r="7889" spans="8:8" ht="15.75" customHeight="1" x14ac:dyDescent="0.25">
      <c r="H7889" s="116"/>
    </row>
    <row r="7890" spans="8:8" ht="15.75" customHeight="1" x14ac:dyDescent="0.25">
      <c r="H7890" s="116"/>
    </row>
    <row r="7891" spans="8:8" ht="15.75" customHeight="1" x14ac:dyDescent="0.25">
      <c r="H7891" s="116"/>
    </row>
    <row r="7892" spans="8:8" ht="15.75" customHeight="1" x14ac:dyDescent="0.25">
      <c r="H7892" s="116"/>
    </row>
    <row r="7893" spans="8:8" ht="15.75" customHeight="1" x14ac:dyDescent="0.25">
      <c r="H7893" s="116"/>
    </row>
    <row r="7894" spans="8:8" ht="15.75" customHeight="1" x14ac:dyDescent="0.25">
      <c r="H7894" s="116"/>
    </row>
    <row r="7895" spans="8:8" ht="15.75" customHeight="1" x14ac:dyDescent="0.25">
      <c r="H7895" s="116"/>
    </row>
    <row r="7896" spans="8:8" ht="15.75" customHeight="1" x14ac:dyDescent="0.25">
      <c r="H7896" s="116"/>
    </row>
    <row r="7897" spans="8:8" ht="15.75" customHeight="1" x14ac:dyDescent="0.25">
      <c r="H7897" s="116"/>
    </row>
    <row r="7898" spans="8:8" ht="15.75" customHeight="1" x14ac:dyDescent="0.25">
      <c r="H7898" s="116"/>
    </row>
    <row r="7899" spans="8:8" ht="15.75" customHeight="1" x14ac:dyDescent="0.25">
      <c r="H7899" s="116"/>
    </row>
    <row r="7900" spans="8:8" ht="15.75" customHeight="1" x14ac:dyDescent="0.25">
      <c r="H7900" s="116"/>
    </row>
    <row r="7901" spans="8:8" ht="15.75" customHeight="1" x14ac:dyDescent="0.25">
      <c r="H7901" s="116"/>
    </row>
    <row r="7902" spans="8:8" ht="15.75" customHeight="1" x14ac:dyDescent="0.25">
      <c r="H7902" s="116"/>
    </row>
    <row r="7903" spans="8:8" ht="15.75" customHeight="1" x14ac:dyDescent="0.25">
      <c r="H7903" s="116"/>
    </row>
    <row r="7904" spans="8:8" ht="15.75" customHeight="1" x14ac:dyDescent="0.25">
      <c r="H7904" s="116"/>
    </row>
    <row r="7905" spans="8:8" ht="15.75" customHeight="1" x14ac:dyDescent="0.25">
      <c r="H7905" s="116"/>
    </row>
    <row r="7906" spans="8:8" ht="15.75" customHeight="1" x14ac:dyDescent="0.25">
      <c r="H7906" s="116"/>
    </row>
    <row r="7907" spans="8:8" ht="15.75" customHeight="1" x14ac:dyDescent="0.25">
      <c r="H7907" s="116"/>
    </row>
    <row r="7908" spans="8:8" ht="15.75" customHeight="1" x14ac:dyDescent="0.25">
      <c r="H7908" s="116"/>
    </row>
    <row r="7909" spans="8:8" ht="15.75" customHeight="1" x14ac:dyDescent="0.25">
      <c r="H7909" s="116"/>
    </row>
    <row r="7910" spans="8:8" ht="15.75" customHeight="1" x14ac:dyDescent="0.25">
      <c r="H7910" s="116"/>
    </row>
    <row r="7911" spans="8:8" ht="15.75" customHeight="1" x14ac:dyDescent="0.25">
      <c r="H7911" s="116"/>
    </row>
    <row r="7912" spans="8:8" ht="15.75" customHeight="1" x14ac:dyDescent="0.25">
      <c r="H7912" s="116"/>
    </row>
    <row r="7913" spans="8:8" ht="15.75" customHeight="1" x14ac:dyDescent="0.25">
      <c r="H7913" s="116"/>
    </row>
    <row r="7914" spans="8:8" ht="15.75" customHeight="1" x14ac:dyDescent="0.25">
      <c r="H7914" s="116"/>
    </row>
    <row r="7915" spans="8:8" ht="15.75" customHeight="1" x14ac:dyDescent="0.25">
      <c r="H7915" s="116"/>
    </row>
    <row r="7916" spans="8:8" ht="15.75" customHeight="1" x14ac:dyDescent="0.25">
      <c r="H7916" s="116"/>
    </row>
    <row r="7917" spans="8:8" ht="15.75" customHeight="1" x14ac:dyDescent="0.25">
      <c r="H7917" s="116"/>
    </row>
    <row r="7918" spans="8:8" ht="15.75" customHeight="1" x14ac:dyDescent="0.25">
      <c r="H7918" s="116"/>
    </row>
    <row r="7919" spans="8:8" ht="15.75" customHeight="1" x14ac:dyDescent="0.25">
      <c r="H7919" s="116"/>
    </row>
    <row r="7920" spans="8:8" ht="15.75" customHeight="1" x14ac:dyDescent="0.25">
      <c r="H7920" s="116"/>
    </row>
    <row r="7921" spans="8:8" ht="15.75" customHeight="1" x14ac:dyDescent="0.25">
      <c r="H7921" s="116"/>
    </row>
    <row r="7922" spans="8:8" ht="15.75" customHeight="1" x14ac:dyDescent="0.25">
      <c r="H7922" s="116"/>
    </row>
    <row r="7923" spans="8:8" ht="15.75" customHeight="1" x14ac:dyDescent="0.25">
      <c r="H7923" s="116"/>
    </row>
    <row r="7924" spans="8:8" ht="15.75" customHeight="1" x14ac:dyDescent="0.25">
      <c r="H7924" s="116"/>
    </row>
    <row r="7925" spans="8:8" ht="15.75" customHeight="1" x14ac:dyDescent="0.25">
      <c r="H7925" s="116"/>
    </row>
    <row r="7926" spans="8:8" ht="15.75" customHeight="1" x14ac:dyDescent="0.25">
      <c r="H7926" s="116"/>
    </row>
    <row r="7927" spans="8:8" ht="15.75" customHeight="1" x14ac:dyDescent="0.25">
      <c r="H7927" s="116"/>
    </row>
    <row r="7928" spans="8:8" ht="15.75" customHeight="1" x14ac:dyDescent="0.25">
      <c r="H7928" s="116"/>
    </row>
    <row r="7929" spans="8:8" ht="15.75" customHeight="1" x14ac:dyDescent="0.25">
      <c r="H7929" s="116"/>
    </row>
    <row r="7930" spans="8:8" ht="15.75" customHeight="1" x14ac:dyDescent="0.25">
      <c r="H7930" s="116"/>
    </row>
    <row r="7931" spans="8:8" ht="15.75" customHeight="1" x14ac:dyDescent="0.25">
      <c r="H7931" s="116"/>
    </row>
    <row r="7932" spans="8:8" ht="15.75" customHeight="1" x14ac:dyDescent="0.25">
      <c r="H7932" s="116"/>
    </row>
    <row r="7933" spans="8:8" ht="15.75" customHeight="1" x14ac:dyDescent="0.25">
      <c r="H7933" s="116"/>
    </row>
    <row r="7934" spans="8:8" ht="15.75" customHeight="1" x14ac:dyDescent="0.25">
      <c r="H7934" s="116"/>
    </row>
    <row r="7935" spans="8:8" ht="15.75" customHeight="1" x14ac:dyDescent="0.25">
      <c r="H7935" s="116"/>
    </row>
    <row r="7936" spans="8:8" ht="15.75" customHeight="1" x14ac:dyDescent="0.25">
      <c r="H7936" s="116"/>
    </row>
    <row r="7937" spans="8:8" ht="15.75" customHeight="1" x14ac:dyDescent="0.25">
      <c r="H7937" s="116"/>
    </row>
    <row r="7938" spans="8:8" ht="15.75" customHeight="1" x14ac:dyDescent="0.25">
      <c r="H7938" s="116"/>
    </row>
    <row r="7939" spans="8:8" ht="15.75" customHeight="1" x14ac:dyDescent="0.25">
      <c r="H7939" s="116"/>
    </row>
    <row r="7940" spans="8:8" ht="15.75" customHeight="1" x14ac:dyDescent="0.25">
      <c r="H7940" s="116"/>
    </row>
    <row r="7941" spans="8:8" ht="15.75" customHeight="1" x14ac:dyDescent="0.25">
      <c r="H7941" s="116"/>
    </row>
    <row r="7942" spans="8:8" ht="15.75" customHeight="1" x14ac:dyDescent="0.25">
      <c r="H7942" s="116"/>
    </row>
    <row r="7943" spans="8:8" ht="15.75" customHeight="1" x14ac:dyDescent="0.25">
      <c r="H7943" s="116"/>
    </row>
    <row r="7944" spans="8:8" ht="15.75" customHeight="1" x14ac:dyDescent="0.25">
      <c r="H7944" s="116"/>
    </row>
    <row r="7945" spans="8:8" ht="15.75" customHeight="1" x14ac:dyDescent="0.25">
      <c r="H7945" s="116"/>
    </row>
    <row r="7946" spans="8:8" ht="15.75" customHeight="1" x14ac:dyDescent="0.25">
      <c r="H7946" s="116"/>
    </row>
    <row r="7947" spans="8:8" ht="15.75" customHeight="1" x14ac:dyDescent="0.25">
      <c r="H7947" s="116"/>
    </row>
    <row r="7948" spans="8:8" ht="15.75" customHeight="1" x14ac:dyDescent="0.25">
      <c r="H7948" s="116"/>
    </row>
    <row r="7949" spans="8:8" ht="15.75" customHeight="1" x14ac:dyDescent="0.25">
      <c r="H7949" s="116"/>
    </row>
    <row r="7950" spans="8:8" ht="15.75" customHeight="1" x14ac:dyDescent="0.25">
      <c r="H7950" s="116"/>
    </row>
    <row r="7951" spans="8:8" ht="15.75" customHeight="1" x14ac:dyDescent="0.25">
      <c r="H7951" s="116"/>
    </row>
    <row r="7952" spans="8:8" ht="15.75" customHeight="1" x14ac:dyDescent="0.25">
      <c r="H7952" s="116"/>
    </row>
    <row r="7953" spans="8:8" ht="15.75" customHeight="1" x14ac:dyDescent="0.25">
      <c r="H7953" s="116"/>
    </row>
    <row r="7954" spans="8:8" ht="15.75" customHeight="1" x14ac:dyDescent="0.25">
      <c r="H7954" s="116"/>
    </row>
    <row r="7955" spans="8:8" ht="15.75" customHeight="1" x14ac:dyDescent="0.25">
      <c r="H7955" s="116"/>
    </row>
    <row r="7956" spans="8:8" ht="15.75" customHeight="1" x14ac:dyDescent="0.25">
      <c r="H7956" s="116"/>
    </row>
    <row r="7957" spans="8:8" ht="15.75" customHeight="1" x14ac:dyDescent="0.25">
      <c r="H7957" s="116"/>
    </row>
    <row r="7958" spans="8:8" ht="15.75" customHeight="1" x14ac:dyDescent="0.25">
      <c r="H7958" s="116"/>
    </row>
    <row r="7959" spans="8:8" ht="15.75" customHeight="1" x14ac:dyDescent="0.25">
      <c r="H7959" s="116"/>
    </row>
    <row r="7960" spans="8:8" ht="15.75" customHeight="1" x14ac:dyDescent="0.25">
      <c r="H7960" s="116"/>
    </row>
    <row r="7961" spans="8:8" ht="15.75" customHeight="1" x14ac:dyDescent="0.25">
      <c r="H7961" s="116"/>
    </row>
    <row r="7962" spans="8:8" ht="15.75" customHeight="1" x14ac:dyDescent="0.25">
      <c r="H7962" s="116"/>
    </row>
    <row r="7963" spans="8:8" ht="15.75" customHeight="1" x14ac:dyDescent="0.25">
      <c r="H7963" s="116"/>
    </row>
    <row r="7964" spans="8:8" ht="15.75" customHeight="1" x14ac:dyDescent="0.25">
      <c r="H7964" s="116"/>
    </row>
    <row r="7965" spans="8:8" ht="15.75" customHeight="1" x14ac:dyDescent="0.25">
      <c r="H7965" s="116"/>
    </row>
    <row r="7966" spans="8:8" ht="15.75" customHeight="1" x14ac:dyDescent="0.25">
      <c r="H7966" s="116"/>
    </row>
    <row r="7967" spans="8:8" ht="15.75" customHeight="1" x14ac:dyDescent="0.25">
      <c r="H7967" s="116"/>
    </row>
    <row r="7968" spans="8:8" ht="15.75" customHeight="1" x14ac:dyDescent="0.25">
      <c r="H7968" s="116"/>
    </row>
    <row r="7969" spans="8:8" ht="15.75" customHeight="1" x14ac:dyDescent="0.25">
      <c r="H7969" s="116"/>
    </row>
    <row r="7970" spans="8:8" ht="15.75" customHeight="1" x14ac:dyDescent="0.25">
      <c r="H7970" s="116"/>
    </row>
    <row r="7971" spans="8:8" ht="15.75" customHeight="1" x14ac:dyDescent="0.25">
      <c r="H7971" s="116"/>
    </row>
    <row r="7972" spans="8:8" ht="15.75" customHeight="1" x14ac:dyDescent="0.25">
      <c r="H7972" s="116"/>
    </row>
    <row r="7973" spans="8:8" ht="15.75" customHeight="1" x14ac:dyDescent="0.25">
      <c r="H7973" s="116"/>
    </row>
    <row r="7974" spans="8:8" ht="15.75" customHeight="1" x14ac:dyDescent="0.25">
      <c r="H7974" s="116"/>
    </row>
    <row r="7975" spans="8:8" ht="15.75" customHeight="1" x14ac:dyDescent="0.25">
      <c r="H7975" s="116"/>
    </row>
    <row r="7976" spans="8:8" ht="15.75" customHeight="1" x14ac:dyDescent="0.25">
      <c r="H7976" s="116"/>
    </row>
    <row r="7977" spans="8:8" ht="15.75" customHeight="1" x14ac:dyDescent="0.25">
      <c r="H7977" s="116"/>
    </row>
    <row r="7978" spans="8:8" ht="15.75" customHeight="1" x14ac:dyDescent="0.25">
      <c r="H7978" s="116"/>
    </row>
    <row r="7979" spans="8:8" ht="15.75" customHeight="1" x14ac:dyDescent="0.25">
      <c r="H7979" s="116"/>
    </row>
    <row r="7980" spans="8:8" ht="15.75" customHeight="1" x14ac:dyDescent="0.25">
      <c r="H7980" s="116"/>
    </row>
    <row r="7981" spans="8:8" ht="15.75" customHeight="1" x14ac:dyDescent="0.25">
      <c r="H7981" s="116"/>
    </row>
    <row r="7982" spans="8:8" ht="15.75" customHeight="1" x14ac:dyDescent="0.25">
      <c r="H7982" s="116"/>
    </row>
    <row r="7983" spans="8:8" ht="15.75" customHeight="1" x14ac:dyDescent="0.25">
      <c r="H7983" s="116"/>
    </row>
    <row r="7984" spans="8:8" ht="15.75" customHeight="1" x14ac:dyDescent="0.25">
      <c r="H7984" s="116"/>
    </row>
    <row r="7985" spans="8:8" ht="15.75" customHeight="1" x14ac:dyDescent="0.25">
      <c r="H7985" s="116"/>
    </row>
    <row r="7986" spans="8:8" ht="15.75" customHeight="1" x14ac:dyDescent="0.25">
      <c r="H7986" s="116"/>
    </row>
    <row r="7987" spans="8:8" ht="15.75" customHeight="1" x14ac:dyDescent="0.25">
      <c r="H7987" s="116"/>
    </row>
    <row r="7988" spans="8:8" ht="15.75" customHeight="1" x14ac:dyDescent="0.25">
      <c r="H7988" s="116"/>
    </row>
    <row r="7989" spans="8:8" ht="15.75" customHeight="1" x14ac:dyDescent="0.25">
      <c r="H7989" s="116"/>
    </row>
    <row r="7990" spans="8:8" ht="15.75" customHeight="1" x14ac:dyDescent="0.25">
      <c r="H7990" s="116"/>
    </row>
    <row r="7991" spans="8:8" ht="15.75" customHeight="1" x14ac:dyDescent="0.25">
      <c r="H7991" s="116"/>
    </row>
    <row r="7992" spans="8:8" ht="15.75" customHeight="1" x14ac:dyDescent="0.25">
      <c r="H7992" s="116"/>
    </row>
    <row r="7993" spans="8:8" ht="15.75" customHeight="1" x14ac:dyDescent="0.25">
      <c r="H7993" s="116"/>
    </row>
    <row r="7994" spans="8:8" ht="15.75" customHeight="1" x14ac:dyDescent="0.25">
      <c r="H7994" s="116"/>
    </row>
    <row r="7995" spans="8:8" ht="15.75" customHeight="1" x14ac:dyDescent="0.25">
      <c r="H7995" s="116"/>
    </row>
    <row r="7996" spans="8:8" ht="15.75" customHeight="1" x14ac:dyDescent="0.25">
      <c r="H7996" s="116"/>
    </row>
    <row r="7997" spans="8:8" ht="15.75" customHeight="1" x14ac:dyDescent="0.25">
      <c r="H7997" s="116"/>
    </row>
    <row r="7998" spans="8:8" ht="15.75" customHeight="1" x14ac:dyDescent="0.25">
      <c r="H7998" s="116"/>
    </row>
    <row r="7999" spans="8:8" ht="15.75" customHeight="1" x14ac:dyDescent="0.25">
      <c r="H7999" s="116"/>
    </row>
    <row r="8000" spans="8:8" ht="15.75" customHeight="1" x14ac:dyDescent="0.25">
      <c r="H8000" s="116"/>
    </row>
    <row r="8001" spans="8:8" ht="15.75" customHeight="1" x14ac:dyDescent="0.25">
      <c r="H8001" s="116"/>
    </row>
    <row r="8002" spans="8:8" ht="15.75" customHeight="1" x14ac:dyDescent="0.25">
      <c r="H8002" s="116"/>
    </row>
    <row r="8003" spans="8:8" ht="15.75" customHeight="1" x14ac:dyDescent="0.25">
      <c r="H8003" s="116"/>
    </row>
    <row r="8004" spans="8:8" ht="15.75" customHeight="1" x14ac:dyDescent="0.25">
      <c r="H8004" s="116"/>
    </row>
    <row r="8005" spans="8:8" ht="15.75" customHeight="1" x14ac:dyDescent="0.25">
      <c r="H8005" s="116"/>
    </row>
    <row r="8006" spans="8:8" ht="15.75" customHeight="1" x14ac:dyDescent="0.25">
      <c r="H8006" s="116"/>
    </row>
    <row r="8007" spans="8:8" ht="15.75" customHeight="1" x14ac:dyDescent="0.25">
      <c r="H8007" s="116"/>
    </row>
    <row r="8008" spans="8:8" ht="15.75" customHeight="1" x14ac:dyDescent="0.25">
      <c r="H8008" s="116"/>
    </row>
    <row r="8009" spans="8:8" ht="15.75" customHeight="1" x14ac:dyDescent="0.25">
      <c r="H8009" s="116"/>
    </row>
    <row r="8010" spans="8:8" ht="15.75" customHeight="1" x14ac:dyDescent="0.25">
      <c r="H8010" s="116"/>
    </row>
    <row r="8011" spans="8:8" ht="15.75" customHeight="1" x14ac:dyDescent="0.25">
      <c r="H8011" s="116"/>
    </row>
    <row r="8012" spans="8:8" ht="15.75" customHeight="1" x14ac:dyDescent="0.25">
      <c r="H8012" s="116"/>
    </row>
    <row r="8013" spans="8:8" ht="15.75" customHeight="1" x14ac:dyDescent="0.25">
      <c r="H8013" s="116"/>
    </row>
    <row r="8014" spans="8:8" ht="15.75" customHeight="1" x14ac:dyDescent="0.25">
      <c r="H8014" s="116"/>
    </row>
    <row r="8015" spans="8:8" ht="15.75" customHeight="1" x14ac:dyDescent="0.25">
      <c r="H8015" s="116"/>
    </row>
    <row r="8016" spans="8:8" ht="15.75" customHeight="1" x14ac:dyDescent="0.25">
      <c r="H8016" s="116"/>
    </row>
    <row r="8017" spans="8:8" ht="15.75" customHeight="1" x14ac:dyDescent="0.25">
      <c r="H8017" s="116"/>
    </row>
    <row r="8018" spans="8:8" ht="15.75" customHeight="1" x14ac:dyDescent="0.25">
      <c r="H8018" s="116"/>
    </row>
    <row r="8019" spans="8:8" ht="15.75" customHeight="1" x14ac:dyDescent="0.25">
      <c r="H8019" s="116"/>
    </row>
    <row r="8020" spans="8:8" ht="15.75" customHeight="1" x14ac:dyDescent="0.25">
      <c r="H8020" s="116"/>
    </row>
    <row r="8021" spans="8:8" ht="15.75" customHeight="1" x14ac:dyDescent="0.25">
      <c r="H8021" s="116"/>
    </row>
    <row r="8022" spans="8:8" ht="15.75" customHeight="1" x14ac:dyDescent="0.25">
      <c r="H8022" s="116"/>
    </row>
    <row r="8023" spans="8:8" ht="15.75" customHeight="1" x14ac:dyDescent="0.25">
      <c r="H8023" s="116"/>
    </row>
    <row r="8024" spans="8:8" ht="15.75" customHeight="1" x14ac:dyDescent="0.25">
      <c r="H8024" s="116"/>
    </row>
    <row r="8025" spans="8:8" ht="15.75" customHeight="1" x14ac:dyDescent="0.25">
      <c r="H8025" s="116"/>
    </row>
    <row r="8026" spans="8:8" ht="15.75" customHeight="1" x14ac:dyDescent="0.25">
      <c r="H8026" s="116"/>
    </row>
    <row r="8027" spans="8:8" ht="15.75" customHeight="1" x14ac:dyDescent="0.25">
      <c r="H8027" s="116"/>
    </row>
    <row r="8028" spans="8:8" ht="15.75" customHeight="1" x14ac:dyDescent="0.25">
      <c r="H8028" s="116"/>
    </row>
    <row r="8029" spans="8:8" ht="15.75" customHeight="1" x14ac:dyDescent="0.25">
      <c r="H8029" s="116"/>
    </row>
    <row r="8030" spans="8:8" ht="15.75" customHeight="1" x14ac:dyDescent="0.25">
      <c r="H8030" s="116"/>
    </row>
    <row r="8031" spans="8:8" ht="15.75" customHeight="1" x14ac:dyDescent="0.25">
      <c r="H8031" s="116"/>
    </row>
    <row r="8032" spans="8:8" ht="15.75" customHeight="1" x14ac:dyDescent="0.25">
      <c r="H8032" s="116"/>
    </row>
    <row r="8033" spans="8:8" ht="15.75" customHeight="1" x14ac:dyDescent="0.25">
      <c r="H8033" s="116"/>
    </row>
    <row r="8034" spans="8:8" ht="15.75" customHeight="1" x14ac:dyDescent="0.25">
      <c r="H8034" s="116"/>
    </row>
    <row r="8035" spans="8:8" ht="15.75" customHeight="1" x14ac:dyDescent="0.25">
      <c r="H8035" s="116"/>
    </row>
    <row r="8036" spans="8:8" ht="15.75" customHeight="1" x14ac:dyDescent="0.25">
      <c r="H8036" s="116"/>
    </row>
    <row r="8037" spans="8:8" ht="15.75" customHeight="1" x14ac:dyDescent="0.25">
      <c r="H8037" s="116"/>
    </row>
    <row r="8038" spans="8:8" ht="15.75" customHeight="1" x14ac:dyDescent="0.25">
      <c r="H8038" s="116"/>
    </row>
    <row r="8039" spans="8:8" ht="15.75" customHeight="1" x14ac:dyDescent="0.25">
      <c r="H8039" s="116"/>
    </row>
    <row r="8040" spans="8:8" ht="15.75" customHeight="1" x14ac:dyDescent="0.25">
      <c r="H8040" s="116"/>
    </row>
    <row r="8041" spans="8:8" ht="15.75" customHeight="1" x14ac:dyDescent="0.25">
      <c r="H8041" s="116"/>
    </row>
    <row r="8042" spans="8:8" ht="15.75" customHeight="1" x14ac:dyDescent="0.25">
      <c r="H8042" s="116"/>
    </row>
    <row r="8043" spans="8:8" ht="15.75" customHeight="1" x14ac:dyDescent="0.25">
      <c r="H8043" s="116"/>
    </row>
    <row r="8044" spans="8:8" ht="15.75" customHeight="1" x14ac:dyDescent="0.25">
      <c r="H8044" s="116"/>
    </row>
    <row r="8045" spans="8:8" ht="15.75" customHeight="1" x14ac:dyDescent="0.25">
      <c r="H8045" s="116"/>
    </row>
    <row r="8046" spans="8:8" ht="15.75" customHeight="1" x14ac:dyDescent="0.25">
      <c r="H8046" s="116"/>
    </row>
    <row r="8047" spans="8:8" ht="15.75" customHeight="1" x14ac:dyDescent="0.25">
      <c r="H8047" s="116"/>
    </row>
    <row r="8048" spans="8:8" ht="15.75" customHeight="1" x14ac:dyDescent="0.25">
      <c r="H8048" s="116"/>
    </row>
    <row r="8049" spans="8:8" ht="15.75" customHeight="1" x14ac:dyDescent="0.25">
      <c r="H8049" s="116"/>
    </row>
    <row r="8050" spans="8:8" ht="15.75" customHeight="1" x14ac:dyDescent="0.25">
      <c r="H8050" s="116"/>
    </row>
    <row r="8051" spans="8:8" ht="15.75" customHeight="1" x14ac:dyDescent="0.25">
      <c r="H8051" s="116"/>
    </row>
    <row r="8052" spans="8:8" ht="15.75" customHeight="1" x14ac:dyDescent="0.25">
      <c r="H8052" s="116"/>
    </row>
    <row r="8053" spans="8:8" ht="15.75" customHeight="1" x14ac:dyDescent="0.25">
      <c r="H8053" s="116"/>
    </row>
    <row r="8054" spans="8:8" ht="15.75" customHeight="1" x14ac:dyDescent="0.25">
      <c r="H8054" s="116"/>
    </row>
    <row r="8055" spans="8:8" ht="15.75" customHeight="1" x14ac:dyDescent="0.25">
      <c r="H8055" s="116"/>
    </row>
    <row r="8056" spans="8:8" ht="15.75" customHeight="1" x14ac:dyDescent="0.25">
      <c r="H8056" s="116"/>
    </row>
    <row r="8057" spans="8:8" ht="15.75" customHeight="1" x14ac:dyDescent="0.25">
      <c r="H8057" s="116"/>
    </row>
    <row r="8058" spans="8:8" ht="15.75" customHeight="1" x14ac:dyDescent="0.25">
      <c r="H8058" s="116"/>
    </row>
    <row r="8059" spans="8:8" ht="15.75" customHeight="1" x14ac:dyDescent="0.25">
      <c r="H8059" s="116"/>
    </row>
    <row r="8060" spans="8:8" ht="15.75" customHeight="1" x14ac:dyDescent="0.25">
      <c r="H8060" s="116"/>
    </row>
    <row r="8061" spans="8:8" ht="15.75" customHeight="1" x14ac:dyDescent="0.25">
      <c r="H8061" s="116"/>
    </row>
    <row r="8062" spans="8:8" ht="15.75" customHeight="1" x14ac:dyDescent="0.25">
      <c r="H8062" s="116"/>
    </row>
    <row r="8063" spans="8:8" ht="15.75" customHeight="1" x14ac:dyDescent="0.25">
      <c r="H8063" s="116"/>
    </row>
    <row r="8064" spans="8:8" ht="15.75" customHeight="1" x14ac:dyDescent="0.25">
      <c r="H8064" s="116"/>
    </row>
    <row r="8065" spans="8:8" ht="15.75" customHeight="1" x14ac:dyDescent="0.25">
      <c r="H8065" s="116"/>
    </row>
    <row r="8066" spans="8:8" ht="15.75" customHeight="1" x14ac:dyDescent="0.25">
      <c r="H8066" s="116"/>
    </row>
    <row r="8067" spans="8:8" ht="15.75" customHeight="1" x14ac:dyDescent="0.25">
      <c r="H8067" s="116"/>
    </row>
    <row r="8068" spans="8:8" ht="15.75" customHeight="1" x14ac:dyDescent="0.25">
      <c r="H8068" s="116"/>
    </row>
    <row r="8069" spans="8:8" ht="15.75" customHeight="1" x14ac:dyDescent="0.25">
      <c r="H8069" s="116"/>
    </row>
    <row r="8070" spans="8:8" ht="15.75" customHeight="1" x14ac:dyDescent="0.25">
      <c r="H8070" s="116"/>
    </row>
    <row r="8071" spans="8:8" ht="15.75" customHeight="1" x14ac:dyDescent="0.25">
      <c r="H8071" s="116"/>
    </row>
    <row r="8072" spans="8:8" ht="15.75" customHeight="1" x14ac:dyDescent="0.25">
      <c r="H8072" s="116"/>
    </row>
    <row r="8073" spans="8:8" ht="15.75" customHeight="1" x14ac:dyDescent="0.25">
      <c r="H8073" s="116"/>
    </row>
    <row r="8074" spans="8:8" ht="15.75" customHeight="1" x14ac:dyDescent="0.25">
      <c r="H8074" s="116"/>
    </row>
    <row r="8075" spans="8:8" ht="15.75" customHeight="1" x14ac:dyDescent="0.25">
      <c r="H8075" s="116"/>
    </row>
    <row r="8076" spans="8:8" ht="15.75" customHeight="1" x14ac:dyDescent="0.25">
      <c r="H8076" s="116"/>
    </row>
    <row r="8077" spans="8:8" ht="15.75" customHeight="1" x14ac:dyDescent="0.25">
      <c r="H8077" s="116"/>
    </row>
    <row r="8078" spans="8:8" ht="15.75" customHeight="1" x14ac:dyDescent="0.25">
      <c r="H8078" s="116"/>
    </row>
    <row r="8079" spans="8:8" ht="15.75" customHeight="1" x14ac:dyDescent="0.25">
      <c r="H8079" s="116"/>
    </row>
    <row r="8080" spans="8:8" ht="15.75" customHeight="1" x14ac:dyDescent="0.25">
      <c r="H8080" s="116"/>
    </row>
    <row r="8081" spans="8:8" ht="15.75" customHeight="1" x14ac:dyDescent="0.25">
      <c r="H8081" s="116"/>
    </row>
    <row r="8082" spans="8:8" ht="15.75" customHeight="1" x14ac:dyDescent="0.25">
      <c r="H8082" s="116"/>
    </row>
    <row r="8083" spans="8:8" ht="15.75" customHeight="1" x14ac:dyDescent="0.25">
      <c r="H8083" s="116"/>
    </row>
    <row r="8084" spans="8:8" ht="15.75" customHeight="1" x14ac:dyDescent="0.25">
      <c r="H8084" s="116"/>
    </row>
    <row r="8085" spans="8:8" ht="15.75" customHeight="1" x14ac:dyDescent="0.25">
      <c r="H8085" s="116"/>
    </row>
    <row r="8086" spans="8:8" ht="15.75" customHeight="1" x14ac:dyDescent="0.25">
      <c r="H8086" s="116"/>
    </row>
    <row r="8087" spans="8:8" ht="15.75" customHeight="1" x14ac:dyDescent="0.25">
      <c r="H8087" s="116"/>
    </row>
    <row r="8088" spans="8:8" ht="15.75" customHeight="1" x14ac:dyDescent="0.25">
      <c r="H8088" s="116"/>
    </row>
    <row r="8089" spans="8:8" ht="15.75" customHeight="1" x14ac:dyDescent="0.25">
      <c r="H8089" s="116"/>
    </row>
    <row r="8090" spans="8:8" ht="15.75" customHeight="1" x14ac:dyDescent="0.25">
      <c r="H8090" s="116"/>
    </row>
    <row r="8091" spans="8:8" ht="15.75" customHeight="1" x14ac:dyDescent="0.25">
      <c r="H8091" s="116"/>
    </row>
    <row r="8092" spans="8:8" ht="15.75" customHeight="1" x14ac:dyDescent="0.25">
      <c r="H8092" s="116"/>
    </row>
    <row r="8093" spans="8:8" ht="15.75" customHeight="1" x14ac:dyDescent="0.25">
      <c r="H8093" s="116"/>
    </row>
    <row r="8094" spans="8:8" ht="15.75" customHeight="1" x14ac:dyDescent="0.25">
      <c r="H8094" s="116"/>
    </row>
    <row r="8095" spans="8:8" ht="15.75" customHeight="1" x14ac:dyDescent="0.25">
      <c r="H8095" s="116"/>
    </row>
    <row r="8096" spans="8:8" ht="15.75" customHeight="1" x14ac:dyDescent="0.25">
      <c r="H8096" s="116"/>
    </row>
    <row r="8097" spans="8:8" ht="15.75" customHeight="1" x14ac:dyDescent="0.25">
      <c r="H8097" s="116"/>
    </row>
    <row r="8098" spans="8:8" ht="15.75" customHeight="1" x14ac:dyDescent="0.25">
      <c r="H8098" s="116"/>
    </row>
    <row r="8099" spans="8:8" ht="15.75" customHeight="1" x14ac:dyDescent="0.25">
      <c r="H8099" s="116"/>
    </row>
    <row r="8100" spans="8:8" ht="15.75" customHeight="1" x14ac:dyDescent="0.25">
      <c r="H8100" s="116"/>
    </row>
    <row r="8101" spans="8:8" ht="15.75" customHeight="1" x14ac:dyDescent="0.25">
      <c r="H8101" s="116"/>
    </row>
    <row r="8102" spans="8:8" ht="15.75" customHeight="1" x14ac:dyDescent="0.25">
      <c r="H8102" s="116"/>
    </row>
    <row r="8103" spans="8:8" ht="15.75" customHeight="1" x14ac:dyDescent="0.25">
      <c r="H8103" s="116"/>
    </row>
    <row r="8104" spans="8:8" ht="15.75" customHeight="1" x14ac:dyDescent="0.25">
      <c r="H8104" s="116"/>
    </row>
    <row r="8105" spans="8:8" ht="15.75" customHeight="1" x14ac:dyDescent="0.25">
      <c r="H8105" s="116"/>
    </row>
    <row r="8106" spans="8:8" ht="15.75" customHeight="1" x14ac:dyDescent="0.25">
      <c r="H8106" s="116"/>
    </row>
    <row r="8107" spans="8:8" ht="15.75" customHeight="1" x14ac:dyDescent="0.25">
      <c r="H8107" s="116"/>
    </row>
    <row r="8108" spans="8:8" ht="15.75" customHeight="1" x14ac:dyDescent="0.25">
      <c r="H8108" s="116"/>
    </row>
    <row r="8109" spans="8:8" ht="15.75" customHeight="1" x14ac:dyDescent="0.25">
      <c r="H8109" s="116"/>
    </row>
    <row r="8110" spans="8:8" ht="15.75" customHeight="1" x14ac:dyDescent="0.25">
      <c r="H8110" s="116"/>
    </row>
    <row r="8111" spans="8:8" ht="15.75" customHeight="1" x14ac:dyDescent="0.25">
      <c r="H8111" s="116"/>
    </row>
    <row r="8112" spans="8:8" ht="15.75" customHeight="1" x14ac:dyDescent="0.25">
      <c r="H8112" s="116"/>
    </row>
    <row r="8113" spans="8:8" ht="15.75" customHeight="1" x14ac:dyDescent="0.25">
      <c r="H8113" s="116"/>
    </row>
    <row r="8114" spans="8:8" ht="15.75" customHeight="1" x14ac:dyDescent="0.25">
      <c r="H8114" s="116"/>
    </row>
    <row r="8115" spans="8:8" ht="15.75" customHeight="1" x14ac:dyDescent="0.25">
      <c r="H8115" s="116"/>
    </row>
    <row r="8116" spans="8:8" ht="15.75" customHeight="1" x14ac:dyDescent="0.25">
      <c r="H8116" s="116"/>
    </row>
    <row r="8117" spans="8:8" ht="15.75" customHeight="1" x14ac:dyDescent="0.25">
      <c r="H8117" s="116"/>
    </row>
    <row r="8118" spans="8:8" ht="15.75" customHeight="1" x14ac:dyDescent="0.25">
      <c r="H8118" s="116"/>
    </row>
    <row r="8119" spans="8:8" ht="15.75" customHeight="1" x14ac:dyDescent="0.25">
      <c r="H8119" s="116"/>
    </row>
    <row r="8120" spans="8:8" ht="15.75" customHeight="1" x14ac:dyDescent="0.25">
      <c r="H8120" s="116"/>
    </row>
    <row r="8121" spans="8:8" ht="15.75" customHeight="1" x14ac:dyDescent="0.25">
      <c r="H8121" s="116"/>
    </row>
    <row r="8122" spans="8:8" ht="15.75" customHeight="1" x14ac:dyDescent="0.25">
      <c r="H8122" s="116"/>
    </row>
    <row r="8123" spans="8:8" ht="15.75" customHeight="1" x14ac:dyDescent="0.25">
      <c r="H8123" s="116"/>
    </row>
    <row r="8124" spans="8:8" ht="15.75" customHeight="1" x14ac:dyDescent="0.25">
      <c r="H8124" s="116"/>
    </row>
    <row r="8125" spans="8:8" ht="15.75" customHeight="1" x14ac:dyDescent="0.25">
      <c r="H8125" s="116"/>
    </row>
    <row r="8126" spans="8:8" ht="15.75" customHeight="1" x14ac:dyDescent="0.25">
      <c r="H8126" s="116"/>
    </row>
    <row r="8127" spans="8:8" ht="15.75" customHeight="1" x14ac:dyDescent="0.25">
      <c r="H8127" s="116"/>
    </row>
    <row r="8128" spans="8:8" ht="15.75" customHeight="1" x14ac:dyDescent="0.25">
      <c r="H8128" s="116"/>
    </row>
    <row r="8129" spans="8:8" ht="15.75" customHeight="1" x14ac:dyDescent="0.25">
      <c r="H8129" s="116"/>
    </row>
    <row r="8130" spans="8:8" ht="15.75" customHeight="1" x14ac:dyDescent="0.25">
      <c r="H8130" s="116"/>
    </row>
    <row r="8131" spans="8:8" ht="15.75" customHeight="1" x14ac:dyDescent="0.25">
      <c r="H8131" s="116"/>
    </row>
    <row r="8132" spans="8:8" ht="15.75" customHeight="1" x14ac:dyDescent="0.25">
      <c r="H8132" s="116"/>
    </row>
    <row r="8133" spans="8:8" ht="15.75" customHeight="1" x14ac:dyDescent="0.25">
      <c r="H8133" s="116"/>
    </row>
    <row r="8134" spans="8:8" ht="15.75" customHeight="1" x14ac:dyDescent="0.25">
      <c r="H8134" s="116"/>
    </row>
    <row r="8135" spans="8:8" ht="15.75" customHeight="1" x14ac:dyDescent="0.25">
      <c r="H8135" s="116"/>
    </row>
    <row r="8136" spans="8:8" ht="15.75" customHeight="1" x14ac:dyDescent="0.25">
      <c r="H8136" s="116"/>
    </row>
    <row r="8137" spans="8:8" ht="15.75" customHeight="1" x14ac:dyDescent="0.25">
      <c r="H8137" s="116"/>
    </row>
    <row r="8138" spans="8:8" ht="15.75" customHeight="1" x14ac:dyDescent="0.25">
      <c r="H8138" s="116"/>
    </row>
    <row r="8139" spans="8:8" ht="15.75" customHeight="1" x14ac:dyDescent="0.25">
      <c r="H8139" s="116"/>
    </row>
    <row r="8140" spans="8:8" ht="15.75" customHeight="1" x14ac:dyDescent="0.25">
      <c r="H8140" s="116"/>
    </row>
    <row r="8141" spans="8:8" ht="15.75" customHeight="1" x14ac:dyDescent="0.25">
      <c r="H8141" s="116"/>
    </row>
    <row r="8142" spans="8:8" ht="15.75" customHeight="1" x14ac:dyDescent="0.25">
      <c r="H8142" s="116"/>
    </row>
    <row r="8143" spans="8:8" ht="15.75" customHeight="1" x14ac:dyDescent="0.25">
      <c r="H8143" s="116"/>
    </row>
    <row r="8144" spans="8:8" ht="15.75" customHeight="1" x14ac:dyDescent="0.25">
      <c r="H8144" s="116"/>
    </row>
    <row r="8145" spans="8:8" ht="15.75" customHeight="1" x14ac:dyDescent="0.25">
      <c r="H8145" s="116"/>
    </row>
    <row r="8146" spans="8:8" ht="15.75" customHeight="1" x14ac:dyDescent="0.25">
      <c r="H8146" s="116"/>
    </row>
    <row r="8147" spans="8:8" ht="15.75" customHeight="1" x14ac:dyDescent="0.25">
      <c r="H8147" s="116"/>
    </row>
    <row r="8148" spans="8:8" ht="15.75" customHeight="1" x14ac:dyDescent="0.25">
      <c r="H8148" s="116"/>
    </row>
    <row r="8149" spans="8:8" ht="15.75" customHeight="1" x14ac:dyDescent="0.25">
      <c r="H8149" s="116"/>
    </row>
    <row r="8150" spans="8:8" ht="15.75" customHeight="1" x14ac:dyDescent="0.25">
      <c r="H8150" s="116"/>
    </row>
    <row r="8151" spans="8:8" ht="15.75" customHeight="1" x14ac:dyDescent="0.25">
      <c r="H8151" s="116"/>
    </row>
    <row r="8152" spans="8:8" ht="15.75" customHeight="1" x14ac:dyDescent="0.25">
      <c r="H8152" s="116"/>
    </row>
    <row r="8153" spans="8:8" ht="15.75" customHeight="1" x14ac:dyDescent="0.25">
      <c r="H8153" s="116"/>
    </row>
    <row r="8154" spans="8:8" ht="15.75" customHeight="1" x14ac:dyDescent="0.25">
      <c r="H8154" s="116"/>
    </row>
    <row r="8155" spans="8:8" ht="15.75" customHeight="1" x14ac:dyDescent="0.25">
      <c r="H8155" s="116"/>
    </row>
    <row r="8156" spans="8:8" ht="15.75" customHeight="1" x14ac:dyDescent="0.25">
      <c r="H8156" s="116"/>
    </row>
    <row r="8157" spans="8:8" ht="15.75" customHeight="1" x14ac:dyDescent="0.25">
      <c r="H8157" s="116"/>
    </row>
    <row r="8158" spans="8:8" ht="15.75" customHeight="1" x14ac:dyDescent="0.25">
      <c r="H8158" s="116"/>
    </row>
    <row r="8159" spans="8:8" ht="15.75" customHeight="1" x14ac:dyDescent="0.25">
      <c r="H8159" s="116"/>
    </row>
    <row r="8160" spans="8:8" ht="15.75" customHeight="1" x14ac:dyDescent="0.25">
      <c r="H8160" s="116"/>
    </row>
    <row r="8161" spans="8:8" ht="15.75" customHeight="1" x14ac:dyDescent="0.25">
      <c r="H8161" s="116"/>
    </row>
    <row r="8162" spans="8:8" ht="15.75" customHeight="1" x14ac:dyDescent="0.25">
      <c r="H8162" s="116"/>
    </row>
    <row r="8163" spans="8:8" ht="15.75" customHeight="1" x14ac:dyDescent="0.25">
      <c r="H8163" s="116"/>
    </row>
    <row r="8164" spans="8:8" ht="15.75" customHeight="1" x14ac:dyDescent="0.25">
      <c r="H8164" s="116"/>
    </row>
    <row r="8165" spans="8:8" ht="15.75" customHeight="1" x14ac:dyDescent="0.25">
      <c r="H8165" s="116"/>
    </row>
    <row r="8166" spans="8:8" ht="15.75" customHeight="1" x14ac:dyDescent="0.25">
      <c r="H8166" s="116"/>
    </row>
    <row r="8167" spans="8:8" ht="15.75" customHeight="1" x14ac:dyDescent="0.25">
      <c r="H8167" s="116"/>
    </row>
    <row r="8168" spans="8:8" ht="15.75" customHeight="1" x14ac:dyDescent="0.25">
      <c r="H8168" s="116"/>
    </row>
    <row r="8169" spans="8:8" ht="15.75" customHeight="1" x14ac:dyDescent="0.25">
      <c r="H8169" s="116"/>
    </row>
    <row r="8170" spans="8:8" ht="15.75" customHeight="1" x14ac:dyDescent="0.25">
      <c r="H8170" s="116"/>
    </row>
    <row r="8171" spans="8:8" ht="15.75" customHeight="1" x14ac:dyDescent="0.25">
      <c r="H8171" s="116"/>
    </row>
    <row r="8172" spans="8:8" ht="15.75" customHeight="1" x14ac:dyDescent="0.25">
      <c r="H8172" s="116"/>
    </row>
    <row r="8173" spans="8:8" ht="15.75" customHeight="1" x14ac:dyDescent="0.25">
      <c r="H8173" s="116"/>
    </row>
    <row r="8174" spans="8:8" ht="15.75" customHeight="1" x14ac:dyDescent="0.25">
      <c r="H8174" s="116"/>
    </row>
    <row r="8175" spans="8:8" ht="15.75" customHeight="1" x14ac:dyDescent="0.25">
      <c r="H8175" s="116"/>
    </row>
    <row r="8176" spans="8:8" ht="15.75" customHeight="1" x14ac:dyDescent="0.25">
      <c r="H8176" s="116"/>
    </row>
    <row r="8177" spans="8:8" ht="15.75" customHeight="1" x14ac:dyDescent="0.25">
      <c r="H8177" s="116"/>
    </row>
    <row r="8178" spans="8:8" ht="15.75" customHeight="1" x14ac:dyDescent="0.25">
      <c r="H8178" s="116"/>
    </row>
    <row r="8179" spans="8:8" ht="15.75" customHeight="1" x14ac:dyDescent="0.25">
      <c r="H8179" s="116"/>
    </row>
    <row r="8180" spans="8:8" ht="15.75" customHeight="1" x14ac:dyDescent="0.25">
      <c r="H8180" s="116"/>
    </row>
    <row r="8181" spans="8:8" ht="15.75" customHeight="1" x14ac:dyDescent="0.25">
      <c r="H8181" s="116"/>
    </row>
    <row r="8182" spans="8:8" ht="15.75" customHeight="1" x14ac:dyDescent="0.25">
      <c r="H8182" s="116"/>
    </row>
    <row r="8183" spans="8:8" ht="15.75" customHeight="1" x14ac:dyDescent="0.25">
      <c r="H8183" s="116"/>
    </row>
    <row r="8184" spans="8:8" ht="15.75" customHeight="1" x14ac:dyDescent="0.25">
      <c r="H8184" s="116"/>
    </row>
    <row r="8185" spans="8:8" ht="15.75" customHeight="1" x14ac:dyDescent="0.25">
      <c r="H8185" s="116"/>
    </row>
    <row r="8186" spans="8:8" ht="15.75" customHeight="1" x14ac:dyDescent="0.25">
      <c r="H8186" s="116"/>
    </row>
    <row r="8187" spans="8:8" ht="15.75" customHeight="1" x14ac:dyDescent="0.25">
      <c r="H8187" s="116"/>
    </row>
    <row r="8188" spans="8:8" ht="15.75" customHeight="1" x14ac:dyDescent="0.25">
      <c r="H8188" s="116"/>
    </row>
    <row r="8189" spans="8:8" ht="15.75" customHeight="1" x14ac:dyDescent="0.25">
      <c r="H8189" s="116"/>
    </row>
    <row r="8190" spans="8:8" ht="15.75" customHeight="1" x14ac:dyDescent="0.25">
      <c r="H8190" s="116"/>
    </row>
    <row r="8191" spans="8:8" ht="15.75" customHeight="1" x14ac:dyDescent="0.25">
      <c r="H8191" s="116"/>
    </row>
    <row r="8192" spans="8:8" ht="15.75" customHeight="1" x14ac:dyDescent="0.25">
      <c r="H8192" s="116"/>
    </row>
    <row r="8193" spans="8:8" ht="15.75" customHeight="1" x14ac:dyDescent="0.25">
      <c r="H8193" s="116"/>
    </row>
    <row r="8194" spans="8:8" ht="15.75" customHeight="1" x14ac:dyDescent="0.25">
      <c r="H8194" s="116"/>
    </row>
    <row r="8195" spans="8:8" ht="15.75" customHeight="1" x14ac:dyDescent="0.25">
      <c r="H8195" s="116"/>
    </row>
    <row r="8196" spans="8:8" ht="15.75" customHeight="1" x14ac:dyDescent="0.25">
      <c r="H8196" s="116"/>
    </row>
    <row r="8197" spans="8:8" ht="15.75" customHeight="1" x14ac:dyDescent="0.25">
      <c r="H8197" s="116"/>
    </row>
    <row r="8198" spans="8:8" ht="15.75" customHeight="1" x14ac:dyDescent="0.25">
      <c r="H8198" s="116"/>
    </row>
    <row r="8199" spans="8:8" ht="15.75" customHeight="1" x14ac:dyDescent="0.25">
      <c r="H8199" s="116"/>
    </row>
    <row r="8200" spans="8:8" ht="15.75" customHeight="1" x14ac:dyDescent="0.25">
      <c r="H8200" s="116"/>
    </row>
    <row r="8201" spans="8:8" ht="15.75" customHeight="1" x14ac:dyDescent="0.25">
      <c r="H8201" s="116"/>
    </row>
    <row r="8202" spans="8:8" ht="15.75" customHeight="1" x14ac:dyDescent="0.25">
      <c r="H8202" s="116"/>
    </row>
    <row r="8203" spans="8:8" ht="15.75" customHeight="1" x14ac:dyDescent="0.25">
      <c r="H8203" s="116"/>
    </row>
    <row r="8204" spans="8:8" ht="15.75" customHeight="1" x14ac:dyDescent="0.25">
      <c r="H8204" s="116"/>
    </row>
    <row r="8205" spans="8:8" ht="15.75" customHeight="1" x14ac:dyDescent="0.25">
      <c r="H8205" s="116"/>
    </row>
    <row r="8206" spans="8:8" ht="15.75" customHeight="1" x14ac:dyDescent="0.25">
      <c r="H8206" s="116"/>
    </row>
    <row r="8207" spans="8:8" ht="15.75" customHeight="1" x14ac:dyDescent="0.25">
      <c r="H8207" s="116"/>
    </row>
    <row r="8208" spans="8:8" ht="15.75" customHeight="1" x14ac:dyDescent="0.25">
      <c r="H8208" s="116"/>
    </row>
    <row r="8209" spans="8:8" ht="15.75" customHeight="1" x14ac:dyDescent="0.25">
      <c r="H8209" s="116"/>
    </row>
    <row r="8210" spans="8:8" ht="15.75" customHeight="1" x14ac:dyDescent="0.25">
      <c r="H8210" s="116"/>
    </row>
    <row r="8211" spans="8:8" ht="15.75" customHeight="1" x14ac:dyDescent="0.25">
      <c r="H8211" s="116"/>
    </row>
    <row r="8212" spans="8:8" ht="15.75" customHeight="1" x14ac:dyDescent="0.25">
      <c r="H8212" s="116"/>
    </row>
    <row r="8213" spans="8:8" ht="15.75" customHeight="1" x14ac:dyDescent="0.25">
      <c r="H8213" s="116"/>
    </row>
    <row r="8214" spans="8:8" ht="15.75" customHeight="1" x14ac:dyDescent="0.25">
      <c r="H8214" s="116"/>
    </row>
    <row r="8215" spans="8:8" ht="15.75" customHeight="1" x14ac:dyDescent="0.25">
      <c r="H8215" s="116"/>
    </row>
    <row r="8216" spans="8:8" ht="15.75" customHeight="1" x14ac:dyDescent="0.25">
      <c r="H8216" s="116"/>
    </row>
    <row r="8217" spans="8:8" ht="15.75" customHeight="1" x14ac:dyDescent="0.25">
      <c r="H8217" s="116"/>
    </row>
    <row r="8218" spans="8:8" ht="15.75" customHeight="1" x14ac:dyDescent="0.25">
      <c r="H8218" s="116"/>
    </row>
    <row r="8219" spans="8:8" ht="15.75" customHeight="1" x14ac:dyDescent="0.25">
      <c r="H8219" s="116"/>
    </row>
    <row r="8220" spans="8:8" ht="15.75" customHeight="1" x14ac:dyDescent="0.25">
      <c r="H8220" s="116"/>
    </row>
    <row r="8221" spans="8:8" ht="15.75" customHeight="1" x14ac:dyDescent="0.25">
      <c r="H8221" s="116"/>
    </row>
    <row r="8222" spans="8:8" ht="15.75" customHeight="1" x14ac:dyDescent="0.25">
      <c r="H8222" s="116"/>
    </row>
    <row r="8223" spans="8:8" ht="15.75" customHeight="1" x14ac:dyDescent="0.25">
      <c r="H8223" s="116"/>
    </row>
    <row r="8224" spans="8:8" ht="15.75" customHeight="1" x14ac:dyDescent="0.25">
      <c r="H8224" s="116"/>
    </row>
    <row r="8225" spans="8:8" ht="15.75" customHeight="1" x14ac:dyDescent="0.25">
      <c r="H8225" s="116"/>
    </row>
    <row r="8226" spans="8:8" ht="15.75" customHeight="1" x14ac:dyDescent="0.25">
      <c r="H8226" s="116"/>
    </row>
    <row r="8227" spans="8:8" ht="15.75" customHeight="1" x14ac:dyDescent="0.25">
      <c r="H8227" s="116"/>
    </row>
    <row r="8228" spans="8:8" ht="15.75" customHeight="1" x14ac:dyDescent="0.25">
      <c r="H8228" s="116"/>
    </row>
    <row r="8229" spans="8:8" ht="15.75" customHeight="1" x14ac:dyDescent="0.25">
      <c r="H8229" s="116"/>
    </row>
    <row r="8230" spans="8:8" ht="15.75" customHeight="1" x14ac:dyDescent="0.25">
      <c r="H8230" s="116"/>
    </row>
    <row r="8231" spans="8:8" ht="15.75" customHeight="1" x14ac:dyDescent="0.25">
      <c r="H8231" s="116"/>
    </row>
    <row r="8232" spans="8:8" ht="15.75" customHeight="1" x14ac:dyDescent="0.25">
      <c r="H8232" s="116"/>
    </row>
    <row r="8233" spans="8:8" ht="15.75" customHeight="1" x14ac:dyDescent="0.25">
      <c r="H8233" s="116"/>
    </row>
    <row r="8234" spans="8:8" ht="15.75" customHeight="1" x14ac:dyDescent="0.25">
      <c r="H8234" s="116"/>
    </row>
    <row r="8235" spans="8:8" ht="15.75" customHeight="1" x14ac:dyDescent="0.25">
      <c r="H8235" s="116"/>
    </row>
    <row r="8236" spans="8:8" ht="15.75" customHeight="1" x14ac:dyDescent="0.25">
      <c r="H8236" s="116"/>
    </row>
    <row r="8237" spans="8:8" ht="15.75" customHeight="1" x14ac:dyDescent="0.25">
      <c r="H8237" s="116"/>
    </row>
    <row r="8238" spans="8:8" ht="15.75" customHeight="1" x14ac:dyDescent="0.25">
      <c r="H8238" s="116"/>
    </row>
    <row r="8239" spans="8:8" ht="15.75" customHeight="1" x14ac:dyDescent="0.25">
      <c r="H8239" s="116"/>
    </row>
    <row r="8240" spans="8:8" ht="15.75" customHeight="1" x14ac:dyDescent="0.25">
      <c r="H8240" s="116"/>
    </row>
    <row r="8241" spans="8:8" ht="15.75" customHeight="1" x14ac:dyDescent="0.25">
      <c r="H8241" s="116"/>
    </row>
    <row r="8242" spans="8:8" ht="15.75" customHeight="1" x14ac:dyDescent="0.25">
      <c r="H8242" s="116"/>
    </row>
    <row r="8243" spans="8:8" ht="15.75" customHeight="1" x14ac:dyDescent="0.25">
      <c r="H8243" s="116"/>
    </row>
    <row r="8244" spans="8:8" ht="15.75" customHeight="1" x14ac:dyDescent="0.25">
      <c r="H8244" s="116"/>
    </row>
    <row r="8245" spans="8:8" ht="15.75" customHeight="1" x14ac:dyDescent="0.25">
      <c r="H8245" s="116"/>
    </row>
    <row r="8246" spans="8:8" ht="15.75" customHeight="1" x14ac:dyDescent="0.25">
      <c r="H8246" s="116"/>
    </row>
    <row r="8247" spans="8:8" ht="15.75" customHeight="1" x14ac:dyDescent="0.25">
      <c r="H8247" s="116"/>
    </row>
    <row r="8248" spans="8:8" ht="15.75" customHeight="1" x14ac:dyDescent="0.25">
      <c r="H8248" s="116"/>
    </row>
    <row r="8249" spans="8:8" ht="15.75" customHeight="1" x14ac:dyDescent="0.25">
      <c r="H8249" s="116"/>
    </row>
    <row r="8250" spans="8:8" ht="15.75" customHeight="1" x14ac:dyDescent="0.25">
      <c r="H8250" s="116"/>
    </row>
    <row r="8251" spans="8:8" ht="15.75" customHeight="1" x14ac:dyDescent="0.25">
      <c r="H8251" s="116"/>
    </row>
    <row r="8252" spans="8:8" ht="15.75" customHeight="1" x14ac:dyDescent="0.25">
      <c r="H8252" s="116"/>
    </row>
    <row r="8253" spans="8:8" ht="15.75" customHeight="1" x14ac:dyDescent="0.25">
      <c r="H8253" s="116"/>
    </row>
    <row r="8254" spans="8:8" ht="15.75" customHeight="1" x14ac:dyDescent="0.25">
      <c r="H8254" s="116"/>
    </row>
    <row r="8255" spans="8:8" ht="15.75" customHeight="1" x14ac:dyDescent="0.25">
      <c r="H8255" s="116"/>
    </row>
    <row r="8256" spans="8:8" ht="15.75" customHeight="1" x14ac:dyDescent="0.25">
      <c r="H8256" s="116"/>
    </row>
    <row r="8257" spans="8:8" ht="15.75" customHeight="1" x14ac:dyDescent="0.25">
      <c r="H8257" s="116"/>
    </row>
    <row r="8258" spans="8:8" ht="15.75" customHeight="1" x14ac:dyDescent="0.25">
      <c r="H8258" s="116"/>
    </row>
    <row r="8259" spans="8:8" ht="15.75" customHeight="1" x14ac:dyDescent="0.25">
      <c r="H8259" s="116"/>
    </row>
    <row r="8260" spans="8:8" ht="15.75" customHeight="1" x14ac:dyDescent="0.25">
      <c r="H8260" s="116"/>
    </row>
    <row r="8261" spans="8:8" ht="15.75" customHeight="1" x14ac:dyDescent="0.25">
      <c r="H8261" s="116"/>
    </row>
    <row r="8262" spans="8:8" ht="15.75" customHeight="1" x14ac:dyDescent="0.25">
      <c r="H8262" s="116"/>
    </row>
    <row r="8263" spans="8:8" ht="15.75" customHeight="1" x14ac:dyDescent="0.25">
      <c r="H8263" s="116"/>
    </row>
    <row r="8264" spans="8:8" ht="15.75" customHeight="1" x14ac:dyDescent="0.25">
      <c r="H8264" s="116"/>
    </row>
    <row r="8265" spans="8:8" ht="15.75" customHeight="1" x14ac:dyDescent="0.25">
      <c r="H8265" s="116"/>
    </row>
    <row r="8266" spans="8:8" ht="15.75" customHeight="1" x14ac:dyDescent="0.25">
      <c r="H8266" s="116"/>
    </row>
    <row r="8267" spans="8:8" ht="15.75" customHeight="1" x14ac:dyDescent="0.25">
      <c r="H8267" s="116"/>
    </row>
    <row r="8268" spans="8:8" ht="15.75" customHeight="1" x14ac:dyDescent="0.25">
      <c r="H8268" s="116"/>
    </row>
    <row r="8269" spans="8:8" ht="15.75" customHeight="1" x14ac:dyDescent="0.25">
      <c r="H8269" s="116"/>
    </row>
    <row r="8270" spans="8:8" ht="15.75" customHeight="1" x14ac:dyDescent="0.25">
      <c r="H8270" s="116"/>
    </row>
    <row r="8271" spans="8:8" ht="15.75" customHeight="1" x14ac:dyDescent="0.25">
      <c r="H8271" s="116"/>
    </row>
    <row r="8272" spans="8:8" ht="15.75" customHeight="1" x14ac:dyDescent="0.25">
      <c r="H8272" s="116"/>
    </row>
    <row r="8273" spans="8:8" ht="15.75" customHeight="1" x14ac:dyDescent="0.25">
      <c r="H8273" s="116"/>
    </row>
    <row r="8274" spans="8:8" ht="15.75" customHeight="1" x14ac:dyDescent="0.25">
      <c r="H8274" s="116"/>
    </row>
    <row r="8275" spans="8:8" ht="15.75" customHeight="1" x14ac:dyDescent="0.25">
      <c r="H8275" s="116"/>
    </row>
    <row r="8276" spans="8:8" ht="15.75" customHeight="1" x14ac:dyDescent="0.25">
      <c r="H8276" s="116"/>
    </row>
    <row r="8277" spans="8:8" ht="15.75" customHeight="1" x14ac:dyDescent="0.25">
      <c r="H8277" s="116"/>
    </row>
    <row r="8278" spans="8:8" ht="15.75" customHeight="1" x14ac:dyDescent="0.25">
      <c r="H8278" s="116"/>
    </row>
    <row r="8279" spans="8:8" ht="15.75" customHeight="1" x14ac:dyDescent="0.25">
      <c r="H8279" s="116"/>
    </row>
    <row r="8280" spans="8:8" ht="15.75" customHeight="1" x14ac:dyDescent="0.25">
      <c r="H8280" s="116"/>
    </row>
    <row r="8281" spans="8:8" ht="15.75" customHeight="1" x14ac:dyDescent="0.25">
      <c r="H8281" s="116"/>
    </row>
    <row r="8282" spans="8:8" ht="15.75" customHeight="1" x14ac:dyDescent="0.25">
      <c r="H8282" s="116"/>
    </row>
    <row r="8283" spans="8:8" ht="15.75" customHeight="1" x14ac:dyDescent="0.25">
      <c r="H8283" s="116"/>
    </row>
    <row r="8284" spans="8:8" ht="15.75" customHeight="1" x14ac:dyDescent="0.25">
      <c r="H8284" s="116"/>
    </row>
    <row r="8285" spans="8:8" ht="15.75" customHeight="1" x14ac:dyDescent="0.25">
      <c r="H8285" s="116"/>
    </row>
    <row r="8286" spans="8:8" ht="15.75" customHeight="1" x14ac:dyDescent="0.25">
      <c r="H8286" s="116"/>
    </row>
    <row r="8287" spans="8:8" ht="15.75" customHeight="1" x14ac:dyDescent="0.25">
      <c r="H8287" s="116"/>
    </row>
    <row r="8288" spans="8:8" ht="15.75" customHeight="1" x14ac:dyDescent="0.25">
      <c r="H8288" s="116"/>
    </row>
    <row r="8289" spans="8:8" ht="15.75" customHeight="1" x14ac:dyDescent="0.25">
      <c r="H8289" s="116"/>
    </row>
    <row r="8290" spans="8:8" ht="15.75" customHeight="1" x14ac:dyDescent="0.25">
      <c r="H8290" s="116"/>
    </row>
    <row r="8291" spans="8:8" ht="15.75" customHeight="1" x14ac:dyDescent="0.25">
      <c r="H8291" s="116"/>
    </row>
    <row r="8292" spans="8:8" ht="15.75" customHeight="1" x14ac:dyDescent="0.25">
      <c r="H8292" s="116"/>
    </row>
    <row r="8293" spans="8:8" ht="15.75" customHeight="1" x14ac:dyDescent="0.25">
      <c r="H8293" s="116"/>
    </row>
    <row r="8294" spans="8:8" ht="15.75" customHeight="1" x14ac:dyDescent="0.25">
      <c r="H8294" s="116"/>
    </row>
    <row r="8295" spans="8:8" ht="15.75" customHeight="1" x14ac:dyDescent="0.25">
      <c r="H8295" s="116"/>
    </row>
    <row r="8296" spans="8:8" ht="15.75" customHeight="1" x14ac:dyDescent="0.25">
      <c r="H8296" s="116"/>
    </row>
    <row r="8297" spans="8:8" ht="15.75" customHeight="1" x14ac:dyDescent="0.25">
      <c r="H8297" s="116"/>
    </row>
    <row r="8298" spans="8:8" ht="15.75" customHeight="1" x14ac:dyDescent="0.25">
      <c r="H8298" s="116"/>
    </row>
    <row r="8299" spans="8:8" ht="15.75" customHeight="1" x14ac:dyDescent="0.25">
      <c r="H8299" s="116"/>
    </row>
    <row r="8300" spans="8:8" ht="15.75" customHeight="1" x14ac:dyDescent="0.25">
      <c r="H8300" s="116"/>
    </row>
    <row r="8301" spans="8:8" ht="15.75" customHeight="1" x14ac:dyDescent="0.25">
      <c r="H8301" s="116"/>
    </row>
    <row r="8302" spans="8:8" ht="15.75" customHeight="1" x14ac:dyDescent="0.25">
      <c r="H8302" s="116"/>
    </row>
    <row r="8303" spans="8:8" ht="15.75" customHeight="1" x14ac:dyDescent="0.25">
      <c r="H8303" s="116"/>
    </row>
    <row r="8304" spans="8:8" ht="15.75" customHeight="1" x14ac:dyDescent="0.25">
      <c r="H8304" s="116"/>
    </row>
    <row r="8305" spans="8:8" ht="15.75" customHeight="1" x14ac:dyDescent="0.25">
      <c r="H8305" s="116"/>
    </row>
    <row r="8306" spans="8:8" ht="15.75" customHeight="1" x14ac:dyDescent="0.25">
      <c r="H8306" s="116"/>
    </row>
    <row r="8307" spans="8:8" ht="15.75" customHeight="1" x14ac:dyDescent="0.25">
      <c r="H8307" s="116"/>
    </row>
    <row r="8308" spans="8:8" ht="15.75" customHeight="1" x14ac:dyDescent="0.25">
      <c r="H8308" s="116"/>
    </row>
    <row r="8309" spans="8:8" ht="15.75" customHeight="1" x14ac:dyDescent="0.25">
      <c r="H8309" s="116"/>
    </row>
    <row r="8310" spans="8:8" ht="15.75" customHeight="1" x14ac:dyDescent="0.25">
      <c r="H8310" s="116"/>
    </row>
    <row r="8311" spans="8:8" ht="15.75" customHeight="1" x14ac:dyDescent="0.25">
      <c r="H8311" s="116"/>
    </row>
    <row r="8312" spans="8:8" ht="15.75" customHeight="1" x14ac:dyDescent="0.25">
      <c r="H8312" s="116"/>
    </row>
    <row r="8313" spans="8:8" ht="15.75" customHeight="1" x14ac:dyDescent="0.25">
      <c r="H8313" s="116"/>
    </row>
    <row r="8314" spans="8:8" ht="15.75" customHeight="1" x14ac:dyDescent="0.25">
      <c r="H8314" s="116"/>
    </row>
    <row r="8315" spans="8:8" ht="15.75" customHeight="1" x14ac:dyDescent="0.25">
      <c r="H8315" s="116"/>
    </row>
    <row r="8316" spans="8:8" ht="15.75" customHeight="1" x14ac:dyDescent="0.25">
      <c r="H8316" s="116"/>
    </row>
    <row r="8317" spans="8:8" ht="15.75" customHeight="1" x14ac:dyDescent="0.25">
      <c r="H8317" s="116"/>
    </row>
    <row r="8318" spans="8:8" ht="15.75" customHeight="1" x14ac:dyDescent="0.25">
      <c r="H8318" s="116"/>
    </row>
    <row r="8319" spans="8:8" ht="15.75" customHeight="1" x14ac:dyDescent="0.25">
      <c r="H8319" s="116"/>
    </row>
    <row r="8320" spans="8:8" ht="15.75" customHeight="1" x14ac:dyDescent="0.25">
      <c r="H8320" s="116"/>
    </row>
    <row r="8321" spans="8:8" ht="15.75" customHeight="1" x14ac:dyDescent="0.25">
      <c r="H8321" s="116"/>
    </row>
    <row r="8322" spans="8:8" ht="15.75" customHeight="1" x14ac:dyDescent="0.25">
      <c r="H8322" s="116"/>
    </row>
    <row r="8323" spans="8:8" ht="15.75" customHeight="1" x14ac:dyDescent="0.25">
      <c r="H8323" s="116"/>
    </row>
    <row r="8324" spans="8:8" ht="15.75" customHeight="1" x14ac:dyDescent="0.25">
      <c r="H8324" s="116"/>
    </row>
    <row r="8325" spans="8:8" ht="15.75" customHeight="1" x14ac:dyDescent="0.25">
      <c r="H8325" s="116"/>
    </row>
    <row r="8326" spans="8:8" ht="15.75" customHeight="1" x14ac:dyDescent="0.25">
      <c r="H8326" s="116"/>
    </row>
    <row r="8327" spans="8:8" ht="15.75" customHeight="1" x14ac:dyDescent="0.25">
      <c r="H8327" s="116"/>
    </row>
    <row r="8328" spans="8:8" ht="15.75" customHeight="1" x14ac:dyDescent="0.25">
      <c r="H8328" s="116"/>
    </row>
    <row r="8329" spans="8:8" ht="15.75" customHeight="1" x14ac:dyDescent="0.25">
      <c r="H8329" s="116"/>
    </row>
    <row r="8330" spans="8:8" ht="15.75" customHeight="1" x14ac:dyDescent="0.25">
      <c r="H8330" s="116"/>
    </row>
    <row r="8331" spans="8:8" ht="15.75" customHeight="1" x14ac:dyDescent="0.25">
      <c r="H8331" s="116"/>
    </row>
    <row r="8332" spans="8:8" ht="15.75" customHeight="1" x14ac:dyDescent="0.25">
      <c r="H8332" s="116"/>
    </row>
    <row r="8333" spans="8:8" ht="15.75" customHeight="1" x14ac:dyDescent="0.25">
      <c r="H8333" s="116"/>
    </row>
    <row r="8334" spans="8:8" ht="15.75" customHeight="1" x14ac:dyDescent="0.25">
      <c r="H8334" s="116"/>
    </row>
    <row r="8335" spans="8:8" ht="15.75" customHeight="1" x14ac:dyDescent="0.25">
      <c r="H8335" s="116"/>
    </row>
    <row r="8336" spans="8:8" ht="15.75" customHeight="1" x14ac:dyDescent="0.25">
      <c r="H8336" s="116"/>
    </row>
    <row r="8337" spans="8:8" ht="15.75" customHeight="1" x14ac:dyDescent="0.25">
      <c r="H8337" s="116"/>
    </row>
    <row r="8338" spans="8:8" ht="15.75" customHeight="1" x14ac:dyDescent="0.25">
      <c r="H8338" s="116"/>
    </row>
    <row r="8339" spans="8:8" ht="15.75" customHeight="1" x14ac:dyDescent="0.25">
      <c r="H8339" s="116"/>
    </row>
    <row r="8340" spans="8:8" ht="15.75" customHeight="1" x14ac:dyDescent="0.25">
      <c r="H8340" s="116"/>
    </row>
    <row r="8341" spans="8:8" ht="15.75" customHeight="1" x14ac:dyDescent="0.25">
      <c r="H8341" s="116"/>
    </row>
    <row r="8342" spans="8:8" ht="15.75" customHeight="1" x14ac:dyDescent="0.25">
      <c r="H8342" s="116"/>
    </row>
    <row r="8343" spans="8:8" ht="15.75" customHeight="1" x14ac:dyDescent="0.25">
      <c r="H8343" s="116"/>
    </row>
    <row r="8344" spans="8:8" ht="15.75" customHeight="1" x14ac:dyDescent="0.25">
      <c r="H8344" s="116"/>
    </row>
    <row r="8345" spans="8:8" ht="15.75" customHeight="1" x14ac:dyDescent="0.25">
      <c r="H8345" s="116"/>
    </row>
    <row r="8346" spans="8:8" ht="15.75" customHeight="1" x14ac:dyDescent="0.25">
      <c r="H8346" s="116"/>
    </row>
    <row r="8347" spans="8:8" ht="15.75" customHeight="1" x14ac:dyDescent="0.25">
      <c r="H8347" s="116"/>
    </row>
    <row r="8348" spans="8:8" ht="15.75" customHeight="1" x14ac:dyDescent="0.25">
      <c r="H8348" s="116"/>
    </row>
    <row r="8349" spans="8:8" ht="15.75" customHeight="1" x14ac:dyDescent="0.25">
      <c r="H8349" s="116"/>
    </row>
    <row r="8350" spans="8:8" ht="15.75" customHeight="1" x14ac:dyDescent="0.25">
      <c r="H8350" s="116"/>
    </row>
    <row r="8351" spans="8:8" ht="15.75" customHeight="1" x14ac:dyDescent="0.25">
      <c r="H8351" s="116"/>
    </row>
    <row r="8352" spans="8:8" ht="15.75" customHeight="1" x14ac:dyDescent="0.25">
      <c r="H8352" s="116"/>
    </row>
    <row r="8353" spans="8:8" ht="15.75" customHeight="1" x14ac:dyDescent="0.25">
      <c r="H8353" s="116"/>
    </row>
    <row r="8354" spans="8:8" ht="15.75" customHeight="1" x14ac:dyDescent="0.25">
      <c r="H8354" s="116"/>
    </row>
    <row r="8355" spans="8:8" ht="15.75" customHeight="1" x14ac:dyDescent="0.25">
      <c r="H8355" s="116"/>
    </row>
    <row r="8356" spans="8:8" ht="15.75" customHeight="1" x14ac:dyDescent="0.25">
      <c r="H8356" s="116"/>
    </row>
    <row r="8357" spans="8:8" ht="15.75" customHeight="1" x14ac:dyDescent="0.25">
      <c r="H8357" s="116"/>
    </row>
    <row r="8358" spans="8:8" ht="15.75" customHeight="1" x14ac:dyDescent="0.25">
      <c r="H8358" s="116"/>
    </row>
    <row r="8359" spans="8:8" ht="15.75" customHeight="1" x14ac:dyDescent="0.25">
      <c r="H8359" s="116"/>
    </row>
    <row r="8360" spans="8:8" ht="15.75" customHeight="1" x14ac:dyDescent="0.25">
      <c r="H8360" s="116"/>
    </row>
    <row r="8361" spans="8:8" ht="15.75" customHeight="1" x14ac:dyDescent="0.25">
      <c r="H8361" s="116"/>
    </row>
    <row r="8362" spans="8:8" ht="15.75" customHeight="1" x14ac:dyDescent="0.25">
      <c r="H8362" s="116"/>
    </row>
    <row r="8363" spans="8:8" ht="15.75" customHeight="1" x14ac:dyDescent="0.25">
      <c r="H8363" s="116"/>
    </row>
    <row r="8364" spans="8:8" ht="15.75" customHeight="1" x14ac:dyDescent="0.25">
      <c r="H8364" s="116"/>
    </row>
    <row r="8365" spans="8:8" ht="15.75" customHeight="1" x14ac:dyDescent="0.25">
      <c r="H8365" s="116"/>
    </row>
    <row r="8366" spans="8:8" ht="15.75" customHeight="1" x14ac:dyDescent="0.25">
      <c r="H8366" s="116"/>
    </row>
    <row r="8367" spans="8:8" ht="15.75" customHeight="1" x14ac:dyDescent="0.25">
      <c r="H8367" s="116"/>
    </row>
    <row r="8368" spans="8:8" ht="15.75" customHeight="1" x14ac:dyDescent="0.25">
      <c r="H8368" s="116"/>
    </row>
    <row r="8369" spans="8:8" ht="15.75" customHeight="1" x14ac:dyDescent="0.25">
      <c r="H8369" s="116"/>
    </row>
    <row r="8370" spans="8:8" ht="15.75" customHeight="1" x14ac:dyDescent="0.25">
      <c r="H8370" s="116"/>
    </row>
    <row r="8371" spans="8:8" ht="15.75" customHeight="1" x14ac:dyDescent="0.25">
      <c r="H8371" s="116"/>
    </row>
    <row r="8372" spans="8:8" ht="15.75" customHeight="1" x14ac:dyDescent="0.25">
      <c r="H8372" s="116"/>
    </row>
    <row r="8373" spans="8:8" ht="15.75" customHeight="1" x14ac:dyDescent="0.25">
      <c r="H8373" s="116"/>
    </row>
    <row r="8374" spans="8:8" ht="15.75" customHeight="1" x14ac:dyDescent="0.25">
      <c r="H8374" s="116"/>
    </row>
    <row r="8375" spans="8:8" ht="15.75" customHeight="1" x14ac:dyDescent="0.25">
      <c r="H8375" s="116"/>
    </row>
    <row r="8376" spans="8:8" ht="15.75" customHeight="1" x14ac:dyDescent="0.25">
      <c r="H8376" s="116"/>
    </row>
    <row r="8377" spans="8:8" ht="15.75" customHeight="1" x14ac:dyDescent="0.25">
      <c r="H8377" s="116"/>
    </row>
    <row r="8378" spans="8:8" ht="15.75" customHeight="1" x14ac:dyDescent="0.25">
      <c r="H8378" s="116"/>
    </row>
    <row r="8379" spans="8:8" ht="15.75" customHeight="1" x14ac:dyDescent="0.25">
      <c r="H8379" s="116"/>
    </row>
    <row r="8380" spans="8:8" ht="15.75" customHeight="1" x14ac:dyDescent="0.25">
      <c r="H8380" s="116"/>
    </row>
    <row r="8381" spans="8:8" ht="15.75" customHeight="1" x14ac:dyDescent="0.25">
      <c r="H8381" s="116"/>
    </row>
    <row r="8382" spans="8:8" ht="15.75" customHeight="1" x14ac:dyDescent="0.25">
      <c r="H8382" s="116"/>
    </row>
    <row r="8383" spans="8:8" ht="15.75" customHeight="1" x14ac:dyDescent="0.25">
      <c r="H8383" s="116"/>
    </row>
    <row r="8384" spans="8:8" ht="15.75" customHeight="1" x14ac:dyDescent="0.25">
      <c r="H8384" s="116"/>
    </row>
    <row r="8385" spans="8:8" ht="15.75" customHeight="1" x14ac:dyDescent="0.25">
      <c r="H8385" s="116"/>
    </row>
    <row r="8386" spans="8:8" ht="15.75" customHeight="1" x14ac:dyDescent="0.25">
      <c r="H8386" s="116"/>
    </row>
    <row r="8387" spans="8:8" ht="15.75" customHeight="1" x14ac:dyDescent="0.25">
      <c r="H8387" s="116"/>
    </row>
    <row r="8388" spans="8:8" ht="15.75" customHeight="1" x14ac:dyDescent="0.25">
      <c r="H8388" s="116"/>
    </row>
    <row r="8389" spans="8:8" ht="15.75" customHeight="1" x14ac:dyDescent="0.25">
      <c r="H8389" s="116"/>
    </row>
    <row r="8390" spans="8:8" ht="15.75" customHeight="1" x14ac:dyDescent="0.25">
      <c r="H8390" s="116"/>
    </row>
    <row r="8391" spans="8:8" ht="15.75" customHeight="1" x14ac:dyDescent="0.25">
      <c r="H8391" s="116"/>
    </row>
    <row r="8392" spans="8:8" ht="15.75" customHeight="1" x14ac:dyDescent="0.25">
      <c r="H8392" s="116"/>
    </row>
    <row r="8393" spans="8:8" ht="15.75" customHeight="1" x14ac:dyDescent="0.25">
      <c r="H8393" s="116"/>
    </row>
    <row r="8394" spans="8:8" ht="15.75" customHeight="1" x14ac:dyDescent="0.25">
      <c r="H8394" s="116"/>
    </row>
    <row r="8395" spans="8:8" ht="15.75" customHeight="1" x14ac:dyDescent="0.25">
      <c r="H8395" s="116"/>
    </row>
    <row r="8396" spans="8:8" ht="15.75" customHeight="1" x14ac:dyDescent="0.25">
      <c r="H8396" s="116"/>
    </row>
    <row r="8397" spans="8:8" ht="15.75" customHeight="1" x14ac:dyDescent="0.25">
      <c r="H8397" s="116"/>
    </row>
    <row r="8398" spans="8:8" ht="15.75" customHeight="1" x14ac:dyDescent="0.25">
      <c r="H8398" s="116"/>
    </row>
    <row r="8399" spans="8:8" ht="15.75" customHeight="1" x14ac:dyDescent="0.25">
      <c r="H8399" s="116"/>
    </row>
    <row r="8400" spans="8:8" ht="15.75" customHeight="1" x14ac:dyDescent="0.25">
      <c r="H8400" s="116"/>
    </row>
    <row r="8401" spans="8:8" ht="15.75" customHeight="1" x14ac:dyDescent="0.25">
      <c r="H8401" s="116"/>
    </row>
    <row r="8402" spans="8:8" ht="15.75" customHeight="1" x14ac:dyDescent="0.25">
      <c r="H8402" s="116"/>
    </row>
    <row r="8403" spans="8:8" ht="15.75" customHeight="1" x14ac:dyDescent="0.25">
      <c r="H8403" s="116"/>
    </row>
    <row r="8404" spans="8:8" ht="15.75" customHeight="1" x14ac:dyDescent="0.25">
      <c r="H8404" s="116"/>
    </row>
    <row r="8405" spans="8:8" ht="15.75" customHeight="1" x14ac:dyDescent="0.25">
      <c r="H8405" s="116"/>
    </row>
    <row r="8406" spans="8:8" ht="15.75" customHeight="1" x14ac:dyDescent="0.25">
      <c r="H8406" s="116"/>
    </row>
    <row r="8407" spans="8:8" ht="15.75" customHeight="1" x14ac:dyDescent="0.25">
      <c r="H8407" s="116"/>
    </row>
    <row r="8408" spans="8:8" ht="15.75" customHeight="1" x14ac:dyDescent="0.25">
      <c r="H8408" s="116"/>
    </row>
    <row r="8409" spans="8:8" ht="15.75" customHeight="1" x14ac:dyDescent="0.25">
      <c r="H8409" s="116"/>
    </row>
    <row r="8410" spans="8:8" ht="15.75" customHeight="1" x14ac:dyDescent="0.25">
      <c r="H8410" s="116"/>
    </row>
    <row r="8411" spans="8:8" ht="15.75" customHeight="1" x14ac:dyDescent="0.25">
      <c r="H8411" s="116"/>
    </row>
    <row r="8412" spans="8:8" ht="15.75" customHeight="1" x14ac:dyDescent="0.25">
      <c r="H8412" s="116"/>
    </row>
    <row r="8413" spans="8:8" ht="15.75" customHeight="1" x14ac:dyDescent="0.25">
      <c r="H8413" s="116"/>
    </row>
    <row r="8414" spans="8:8" ht="15.75" customHeight="1" x14ac:dyDescent="0.25">
      <c r="H8414" s="116"/>
    </row>
    <row r="8415" spans="8:8" ht="15.75" customHeight="1" x14ac:dyDescent="0.25">
      <c r="H8415" s="116"/>
    </row>
    <row r="8416" spans="8:8" ht="15.75" customHeight="1" x14ac:dyDescent="0.25">
      <c r="H8416" s="116"/>
    </row>
    <row r="8417" spans="8:8" ht="15.75" customHeight="1" x14ac:dyDescent="0.25">
      <c r="H8417" s="116"/>
    </row>
    <row r="8418" spans="8:8" ht="15.75" customHeight="1" x14ac:dyDescent="0.25">
      <c r="H8418" s="116"/>
    </row>
    <row r="8419" spans="8:8" ht="15.75" customHeight="1" x14ac:dyDescent="0.25">
      <c r="H8419" s="116"/>
    </row>
    <row r="8420" spans="8:8" ht="15.75" customHeight="1" x14ac:dyDescent="0.25">
      <c r="H8420" s="116"/>
    </row>
    <row r="8421" spans="8:8" ht="15.75" customHeight="1" x14ac:dyDescent="0.25">
      <c r="H8421" s="116"/>
    </row>
    <row r="8422" spans="8:8" ht="15.75" customHeight="1" x14ac:dyDescent="0.25">
      <c r="H8422" s="116"/>
    </row>
    <row r="8423" spans="8:8" ht="15.75" customHeight="1" x14ac:dyDescent="0.25">
      <c r="H8423" s="116"/>
    </row>
    <row r="8424" spans="8:8" ht="15.75" customHeight="1" x14ac:dyDescent="0.25">
      <c r="H8424" s="116"/>
    </row>
    <row r="8425" spans="8:8" ht="15.75" customHeight="1" x14ac:dyDescent="0.25">
      <c r="H8425" s="116"/>
    </row>
    <row r="8426" spans="8:8" ht="15.75" customHeight="1" x14ac:dyDescent="0.25">
      <c r="H8426" s="116"/>
    </row>
    <row r="8427" spans="8:8" ht="15.75" customHeight="1" x14ac:dyDescent="0.25">
      <c r="H8427" s="116"/>
    </row>
    <row r="8428" spans="8:8" ht="15.75" customHeight="1" x14ac:dyDescent="0.25">
      <c r="H8428" s="116"/>
    </row>
    <row r="8429" spans="8:8" ht="15.75" customHeight="1" x14ac:dyDescent="0.25">
      <c r="H8429" s="116"/>
    </row>
    <row r="8430" spans="8:8" ht="15.75" customHeight="1" x14ac:dyDescent="0.25">
      <c r="H8430" s="116"/>
    </row>
    <row r="8431" spans="8:8" ht="15.75" customHeight="1" x14ac:dyDescent="0.25">
      <c r="H8431" s="116"/>
    </row>
    <row r="8432" spans="8:8" ht="15.75" customHeight="1" x14ac:dyDescent="0.25">
      <c r="H8432" s="116"/>
    </row>
    <row r="8433" spans="8:8" ht="15.75" customHeight="1" x14ac:dyDescent="0.25">
      <c r="H8433" s="116"/>
    </row>
    <row r="8434" spans="8:8" ht="15.75" customHeight="1" x14ac:dyDescent="0.25">
      <c r="H8434" s="116"/>
    </row>
    <row r="8435" spans="8:8" ht="15.75" customHeight="1" x14ac:dyDescent="0.25">
      <c r="H8435" s="116"/>
    </row>
    <row r="8436" spans="8:8" ht="15.75" customHeight="1" x14ac:dyDescent="0.25">
      <c r="H8436" s="116"/>
    </row>
    <row r="8437" spans="8:8" ht="15.75" customHeight="1" x14ac:dyDescent="0.25">
      <c r="H8437" s="116"/>
    </row>
    <row r="8438" spans="8:8" ht="15.75" customHeight="1" x14ac:dyDescent="0.25">
      <c r="H8438" s="116"/>
    </row>
    <row r="8439" spans="8:8" ht="15.75" customHeight="1" x14ac:dyDescent="0.25">
      <c r="H8439" s="116"/>
    </row>
    <row r="8440" spans="8:8" ht="15.75" customHeight="1" x14ac:dyDescent="0.25">
      <c r="H8440" s="116"/>
    </row>
    <row r="8441" spans="8:8" ht="15.75" customHeight="1" x14ac:dyDescent="0.25">
      <c r="H8441" s="116"/>
    </row>
    <row r="8442" spans="8:8" ht="15.75" customHeight="1" x14ac:dyDescent="0.25">
      <c r="H8442" s="116"/>
    </row>
    <row r="8443" spans="8:8" ht="15.75" customHeight="1" x14ac:dyDescent="0.25">
      <c r="H8443" s="116"/>
    </row>
    <row r="8444" spans="8:8" ht="15.75" customHeight="1" x14ac:dyDescent="0.25">
      <c r="H8444" s="116"/>
    </row>
    <row r="8445" spans="8:8" ht="15.75" customHeight="1" x14ac:dyDescent="0.25">
      <c r="H8445" s="116"/>
    </row>
    <row r="8446" spans="8:8" ht="15.75" customHeight="1" x14ac:dyDescent="0.25">
      <c r="H8446" s="116"/>
    </row>
    <row r="8447" spans="8:8" ht="15.75" customHeight="1" x14ac:dyDescent="0.25">
      <c r="H8447" s="116"/>
    </row>
    <row r="8448" spans="8:8" ht="15.75" customHeight="1" x14ac:dyDescent="0.25">
      <c r="H8448" s="116"/>
    </row>
    <row r="8449" spans="8:8" ht="15.75" customHeight="1" x14ac:dyDescent="0.25">
      <c r="H8449" s="116"/>
    </row>
    <row r="8450" spans="8:8" ht="15.75" customHeight="1" x14ac:dyDescent="0.25">
      <c r="H8450" s="116"/>
    </row>
    <row r="8451" spans="8:8" ht="15.75" customHeight="1" x14ac:dyDescent="0.25">
      <c r="H8451" s="116"/>
    </row>
    <row r="8452" spans="8:8" ht="15.75" customHeight="1" x14ac:dyDescent="0.25">
      <c r="H8452" s="116"/>
    </row>
    <row r="8453" spans="8:8" ht="15.75" customHeight="1" x14ac:dyDescent="0.25">
      <c r="H8453" s="116"/>
    </row>
    <row r="8454" spans="8:8" ht="15.75" customHeight="1" x14ac:dyDescent="0.25">
      <c r="H8454" s="116"/>
    </row>
    <row r="8455" spans="8:8" ht="15.75" customHeight="1" x14ac:dyDescent="0.25">
      <c r="H8455" s="116"/>
    </row>
    <row r="8456" spans="8:8" ht="15.75" customHeight="1" x14ac:dyDescent="0.25">
      <c r="H8456" s="116"/>
    </row>
    <row r="8457" spans="8:8" ht="15.75" customHeight="1" x14ac:dyDescent="0.25">
      <c r="H8457" s="116"/>
    </row>
    <row r="8458" spans="8:8" ht="15.75" customHeight="1" x14ac:dyDescent="0.25">
      <c r="H8458" s="116"/>
    </row>
    <row r="8459" spans="8:8" ht="15.75" customHeight="1" x14ac:dyDescent="0.25">
      <c r="H8459" s="116"/>
    </row>
    <row r="8460" spans="8:8" ht="15.75" customHeight="1" x14ac:dyDescent="0.25">
      <c r="H8460" s="116"/>
    </row>
    <row r="8461" spans="8:8" ht="15.75" customHeight="1" x14ac:dyDescent="0.25">
      <c r="H8461" s="116"/>
    </row>
    <row r="8462" spans="8:8" ht="15.75" customHeight="1" x14ac:dyDescent="0.25">
      <c r="H8462" s="116"/>
    </row>
    <row r="8463" spans="8:8" ht="15.75" customHeight="1" x14ac:dyDescent="0.25">
      <c r="H8463" s="116"/>
    </row>
    <row r="8464" spans="8:8" ht="15.75" customHeight="1" x14ac:dyDescent="0.25">
      <c r="H8464" s="116"/>
    </row>
    <row r="8465" spans="8:8" ht="15.75" customHeight="1" x14ac:dyDescent="0.25">
      <c r="H8465" s="116"/>
    </row>
    <row r="8466" spans="8:8" ht="15.75" customHeight="1" x14ac:dyDescent="0.25">
      <c r="H8466" s="116"/>
    </row>
    <row r="8467" spans="8:8" ht="15.75" customHeight="1" x14ac:dyDescent="0.25">
      <c r="H8467" s="116"/>
    </row>
    <row r="8468" spans="8:8" ht="15.75" customHeight="1" x14ac:dyDescent="0.25">
      <c r="H8468" s="116"/>
    </row>
    <row r="8469" spans="8:8" ht="15.75" customHeight="1" x14ac:dyDescent="0.25">
      <c r="H8469" s="116"/>
    </row>
    <row r="8470" spans="8:8" ht="15.75" customHeight="1" x14ac:dyDescent="0.25">
      <c r="H8470" s="116"/>
    </row>
    <row r="8471" spans="8:8" ht="15.75" customHeight="1" x14ac:dyDescent="0.25">
      <c r="H8471" s="116"/>
    </row>
    <row r="8472" spans="8:8" ht="15.75" customHeight="1" x14ac:dyDescent="0.25">
      <c r="H8472" s="116"/>
    </row>
    <row r="8473" spans="8:8" ht="15.75" customHeight="1" x14ac:dyDescent="0.25">
      <c r="H8473" s="116"/>
    </row>
    <row r="8474" spans="8:8" ht="15.75" customHeight="1" x14ac:dyDescent="0.25">
      <c r="H8474" s="116"/>
    </row>
    <row r="8475" spans="8:8" ht="15.75" customHeight="1" x14ac:dyDescent="0.25">
      <c r="H8475" s="116"/>
    </row>
    <row r="8476" spans="8:8" ht="15.75" customHeight="1" x14ac:dyDescent="0.25">
      <c r="H8476" s="116"/>
    </row>
    <row r="8477" spans="8:8" ht="15.75" customHeight="1" x14ac:dyDescent="0.25">
      <c r="H8477" s="116"/>
    </row>
    <row r="8478" spans="8:8" ht="15.75" customHeight="1" x14ac:dyDescent="0.25">
      <c r="H8478" s="116"/>
    </row>
    <row r="8479" spans="8:8" ht="15.75" customHeight="1" x14ac:dyDescent="0.25">
      <c r="H8479" s="116"/>
    </row>
    <row r="8480" spans="8:8" ht="15.75" customHeight="1" x14ac:dyDescent="0.25">
      <c r="H8480" s="116"/>
    </row>
    <row r="8481" spans="8:8" ht="15.75" customHeight="1" x14ac:dyDescent="0.25">
      <c r="H8481" s="116"/>
    </row>
    <row r="8482" spans="8:8" ht="15.75" customHeight="1" x14ac:dyDescent="0.25">
      <c r="H8482" s="116"/>
    </row>
    <row r="8483" spans="8:8" ht="15.75" customHeight="1" x14ac:dyDescent="0.25">
      <c r="H8483" s="116"/>
    </row>
    <row r="8484" spans="8:8" ht="15.75" customHeight="1" x14ac:dyDescent="0.25">
      <c r="H8484" s="116"/>
    </row>
    <row r="8485" spans="8:8" ht="15.75" customHeight="1" x14ac:dyDescent="0.25">
      <c r="H8485" s="116"/>
    </row>
    <row r="8486" spans="8:8" ht="15.75" customHeight="1" x14ac:dyDescent="0.25">
      <c r="H8486" s="116"/>
    </row>
    <row r="8487" spans="8:8" ht="15.75" customHeight="1" x14ac:dyDescent="0.25">
      <c r="H8487" s="116"/>
    </row>
    <row r="8488" spans="8:8" ht="15.75" customHeight="1" x14ac:dyDescent="0.25">
      <c r="H8488" s="116"/>
    </row>
    <row r="8489" spans="8:8" ht="15.75" customHeight="1" x14ac:dyDescent="0.25">
      <c r="H8489" s="116"/>
    </row>
    <row r="8490" spans="8:8" ht="15.75" customHeight="1" x14ac:dyDescent="0.25">
      <c r="H8490" s="116"/>
    </row>
    <row r="8491" spans="8:8" ht="15.75" customHeight="1" x14ac:dyDescent="0.25">
      <c r="H8491" s="116"/>
    </row>
    <row r="8492" spans="8:8" ht="15.75" customHeight="1" x14ac:dyDescent="0.25">
      <c r="H8492" s="116"/>
    </row>
    <row r="8493" spans="8:8" ht="15.75" customHeight="1" x14ac:dyDescent="0.25">
      <c r="H8493" s="116"/>
    </row>
    <row r="8494" spans="8:8" ht="15.75" customHeight="1" x14ac:dyDescent="0.25">
      <c r="H8494" s="116"/>
    </row>
    <row r="8495" spans="8:8" ht="15.75" customHeight="1" x14ac:dyDescent="0.25">
      <c r="H8495" s="116"/>
    </row>
    <row r="8496" spans="8:8" ht="15.75" customHeight="1" x14ac:dyDescent="0.25">
      <c r="H8496" s="116"/>
    </row>
    <row r="8497" spans="8:8" ht="15.75" customHeight="1" x14ac:dyDescent="0.25">
      <c r="H8497" s="116"/>
    </row>
    <row r="8498" spans="8:8" ht="15.75" customHeight="1" x14ac:dyDescent="0.25">
      <c r="H8498" s="116"/>
    </row>
    <row r="8499" spans="8:8" ht="15.75" customHeight="1" x14ac:dyDescent="0.25">
      <c r="H8499" s="116"/>
    </row>
    <row r="8500" spans="8:8" ht="15.75" customHeight="1" x14ac:dyDescent="0.25">
      <c r="H8500" s="116"/>
    </row>
    <row r="8501" spans="8:8" ht="15.75" customHeight="1" x14ac:dyDescent="0.25">
      <c r="H8501" s="116"/>
    </row>
    <row r="8502" spans="8:8" ht="15.75" customHeight="1" x14ac:dyDescent="0.25">
      <c r="H8502" s="116"/>
    </row>
    <row r="8503" spans="8:8" ht="15.75" customHeight="1" x14ac:dyDescent="0.25">
      <c r="H8503" s="116"/>
    </row>
    <row r="8504" spans="8:8" ht="15.75" customHeight="1" x14ac:dyDescent="0.25">
      <c r="H8504" s="116"/>
    </row>
    <row r="8505" spans="8:8" ht="15.75" customHeight="1" x14ac:dyDescent="0.25">
      <c r="H8505" s="116"/>
    </row>
    <row r="8506" spans="8:8" ht="15.75" customHeight="1" x14ac:dyDescent="0.25">
      <c r="H8506" s="116"/>
    </row>
    <row r="8507" spans="8:8" ht="15.75" customHeight="1" x14ac:dyDescent="0.25">
      <c r="H8507" s="116"/>
    </row>
    <row r="8508" spans="8:8" ht="15.75" customHeight="1" x14ac:dyDescent="0.25">
      <c r="H8508" s="116"/>
    </row>
    <row r="8509" spans="8:8" ht="15.75" customHeight="1" x14ac:dyDescent="0.25">
      <c r="H8509" s="116"/>
    </row>
    <row r="8510" spans="8:8" ht="15.75" customHeight="1" x14ac:dyDescent="0.25">
      <c r="H8510" s="116"/>
    </row>
    <row r="8511" spans="8:8" ht="15.75" customHeight="1" x14ac:dyDescent="0.25">
      <c r="H8511" s="116"/>
    </row>
    <row r="8512" spans="8:8" ht="15.75" customHeight="1" x14ac:dyDescent="0.25">
      <c r="H8512" s="116"/>
    </row>
    <row r="8513" spans="8:8" ht="15.75" customHeight="1" x14ac:dyDescent="0.25">
      <c r="H8513" s="116"/>
    </row>
    <row r="8514" spans="8:8" ht="15.75" customHeight="1" x14ac:dyDescent="0.25">
      <c r="H8514" s="116"/>
    </row>
    <row r="8515" spans="8:8" ht="15.75" customHeight="1" x14ac:dyDescent="0.25">
      <c r="H8515" s="116"/>
    </row>
    <row r="8516" spans="8:8" ht="15.75" customHeight="1" x14ac:dyDescent="0.25">
      <c r="H8516" s="116"/>
    </row>
    <row r="8517" spans="8:8" ht="15.75" customHeight="1" x14ac:dyDescent="0.25">
      <c r="H8517" s="116"/>
    </row>
    <row r="8518" spans="8:8" ht="15.75" customHeight="1" x14ac:dyDescent="0.25">
      <c r="H8518" s="116"/>
    </row>
    <row r="8519" spans="8:8" ht="15.75" customHeight="1" x14ac:dyDescent="0.25">
      <c r="H8519" s="116"/>
    </row>
    <row r="8520" spans="8:8" ht="15.75" customHeight="1" x14ac:dyDescent="0.25">
      <c r="H8520" s="116"/>
    </row>
    <row r="8521" spans="8:8" ht="15.75" customHeight="1" x14ac:dyDescent="0.25">
      <c r="H8521" s="116"/>
    </row>
    <row r="8522" spans="8:8" ht="15.75" customHeight="1" x14ac:dyDescent="0.25">
      <c r="H8522" s="116"/>
    </row>
    <row r="8523" spans="8:8" ht="15.75" customHeight="1" x14ac:dyDescent="0.25">
      <c r="H8523" s="116"/>
    </row>
    <row r="8524" spans="8:8" ht="15.75" customHeight="1" x14ac:dyDescent="0.25">
      <c r="H8524" s="116"/>
    </row>
    <row r="8525" spans="8:8" ht="15.75" customHeight="1" x14ac:dyDescent="0.25">
      <c r="H8525" s="116"/>
    </row>
    <row r="8526" spans="8:8" ht="15.75" customHeight="1" x14ac:dyDescent="0.25">
      <c r="H8526" s="116"/>
    </row>
    <row r="8527" spans="8:8" ht="15.75" customHeight="1" x14ac:dyDescent="0.25">
      <c r="H8527" s="116"/>
    </row>
    <row r="8528" spans="8:8" ht="15.75" customHeight="1" x14ac:dyDescent="0.25">
      <c r="H8528" s="116"/>
    </row>
    <row r="8529" spans="8:8" ht="15.75" customHeight="1" x14ac:dyDescent="0.25">
      <c r="H8529" s="116"/>
    </row>
    <row r="8530" spans="8:8" ht="15.75" customHeight="1" x14ac:dyDescent="0.25">
      <c r="H8530" s="116"/>
    </row>
    <row r="8531" spans="8:8" ht="15.75" customHeight="1" x14ac:dyDescent="0.25">
      <c r="H8531" s="116"/>
    </row>
    <row r="8532" spans="8:8" ht="15.75" customHeight="1" x14ac:dyDescent="0.25">
      <c r="H8532" s="116"/>
    </row>
    <row r="8533" spans="8:8" ht="15.75" customHeight="1" x14ac:dyDescent="0.25">
      <c r="H8533" s="116"/>
    </row>
    <row r="8534" spans="8:8" ht="15.75" customHeight="1" x14ac:dyDescent="0.25">
      <c r="H8534" s="116"/>
    </row>
    <row r="8535" spans="8:8" ht="15.75" customHeight="1" x14ac:dyDescent="0.25">
      <c r="H8535" s="116"/>
    </row>
    <row r="8536" spans="8:8" ht="15.75" customHeight="1" x14ac:dyDescent="0.25">
      <c r="H8536" s="116"/>
    </row>
    <row r="8537" spans="8:8" ht="15.75" customHeight="1" x14ac:dyDescent="0.25">
      <c r="H8537" s="116"/>
    </row>
    <row r="8538" spans="8:8" ht="15.75" customHeight="1" x14ac:dyDescent="0.25">
      <c r="H8538" s="116"/>
    </row>
    <row r="8539" spans="8:8" ht="15.75" customHeight="1" x14ac:dyDescent="0.25">
      <c r="H8539" s="116"/>
    </row>
    <row r="8540" spans="8:8" ht="15.75" customHeight="1" x14ac:dyDescent="0.25">
      <c r="H8540" s="116"/>
    </row>
    <row r="8541" spans="8:8" ht="15.75" customHeight="1" x14ac:dyDescent="0.25">
      <c r="H8541" s="116"/>
    </row>
    <row r="8542" spans="8:8" ht="15.75" customHeight="1" x14ac:dyDescent="0.25">
      <c r="H8542" s="116"/>
    </row>
    <row r="8543" spans="8:8" ht="15.75" customHeight="1" x14ac:dyDescent="0.25">
      <c r="H8543" s="116"/>
    </row>
    <row r="8544" spans="8:8" ht="15.75" customHeight="1" x14ac:dyDescent="0.25">
      <c r="H8544" s="116"/>
    </row>
    <row r="8545" spans="8:8" ht="15.75" customHeight="1" x14ac:dyDescent="0.25">
      <c r="H8545" s="116"/>
    </row>
    <row r="8546" spans="8:8" ht="15.75" customHeight="1" x14ac:dyDescent="0.25">
      <c r="H8546" s="116"/>
    </row>
    <row r="8547" spans="8:8" ht="15.75" customHeight="1" x14ac:dyDescent="0.25">
      <c r="H8547" s="116"/>
    </row>
    <row r="8548" spans="8:8" ht="15.75" customHeight="1" x14ac:dyDescent="0.25">
      <c r="H8548" s="116"/>
    </row>
    <row r="8549" spans="8:8" ht="15.75" customHeight="1" x14ac:dyDescent="0.25">
      <c r="H8549" s="116"/>
    </row>
    <row r="8550" spans="8:8" ht="15.75" customHeight="1" x14ac:dyDescent="0.25">
      <c r="H8550" s="116"/>
    </row>
    <row r="8551" spans="8:8" ht="15.75" customHeight="1" x14ac:dyDescent="0.25">
      <c r="H8551" s="116"/>
    </row>
    <row r="8552" spans="8:8" ht="15.75" customHeight="1" x14ac:dyDescent="0.25">
      <c r="H8552" s="116"/>
    </row>
    <row r="8553" spans="8:8" ht="15.75" customHeight="1" x14ac:dyDescent="0.25">
      <c r="H8553" s="116"/>
    </row>
    <row r="8554" spans="8:8" ht="15.75" customHeight="1" x14ac:dyDescent="0.25">
      <c r="H8554" s="116"/>
    </row>
    <row r="8555" spans="8:8" ht="15.75" customHeight="1" x14ac:dyDescent="0.25">
      <c r="H8555" s="116"/>
    </row>
    <row r="8556" spans="8:8" ht="15.75" customHeight="1" x14ac:dyDescent="0.25">
      <c r="H8556" s="116"/>
    </row>
    <row r="8557" spans="8:8" ht="15.75" customHeight="1" x14ac:dyDescent="0.25">
      <c r="H8557" s="116"/>
    </row>
    <row r="8558" spans="8:8" ht="15.75" customHeight="1" x14ac:dyDescent="0.25">
      <c r="H8558" s="116"/>
    </row>
    <row r="8559" spans="8:8" ht="15.75" customHeight="1" x14ac:dyDescent="0.25">
      <c r="H8559" s="116"/>
    </row>
    <row r="8560" spans="8:8" ht="15.75" customHeight="1" x14ac:dyDescent="0.25">
      <c r="H8560" s="116"/>
    </row>
    <row r="8561" spans="8:8" ht="15.75" customHeight="1" x14ac:dyDescent="0.25">
      <c r="H8561" s="116"/>
    </row>
    <row r="8562" spans="8:8" ht="15.75" customHeight="1" x14ac:dyDescent="0.25">
      <c r="H8562" s="116"/>
    </row>
    <row r="8563" spans="8:8" ht="15.75" customHeight="1" x14ac:dyDescent="0.25">
      <c r="H8563" s="116"/>
    </row>
    <row r="8564" spans="8:8" ht="15.75" customHeight="1" x14ac:dyDescent="0.25">
      <c r="H8564" s="116"/>
    </row>
    <row r="8565" spans="8:8" ht="15.75" customHeight="1" x14ac:dyDescent="0.25">
      <c r="H8565" s="116"/>
    </row>
    <row r="8566" spans="8:8" ht="15.75" customHeight="1" x14ac:dyDescent="0.25">
      <c r="H8566" s="116"/>
    </row>
    <row r="8567" spans="8:8" ht="15.75" customHeight="1" x14ac:dyDescent="0.25">
      <c r="H8567" s="116"/>
    </row>
    <row r="8568" spans="8:8" ht="15.75" customHeight="1" x14ac:dyDescent="0.25">
      <c r="H8568" s="116"/>
    </row>
    <row r="8569" spans="8:8" ht="15.75" customHeight="1" x14ac:dyDescent="0.25">
      <c r="H8569" s="116"/>
    </row>
    <row r="8570" spans="8:8" ht="15.75" customHeight="1" x14ac:dyDescent="0.25">
      <c r="H8570" s="116"/>
    </row>
    <row r="8571" spans="8:8" ht="15.75" customHeight="1" x14ac:dyDescent="0.25">
      <c r="H8571" s="116"/>
    </row>
    <row r="8572" spans="8:8" ht="15.75" customHeight="1" x14ac:dyDescent="0.25">
      <c r="H8572" s="116"/>
    </row>
    <row r="8573" spans="8:8" ht="15.75" customHeight="1" x14ac:dyDescent="0.25">
      <c r="H8573" s="116"/>
    </row>
    <row r="8574" spans="8:8" ht="15.75" customHeight="1" x14ac:dyDescent="0.25">
      <c r="H8574" s="116"/>
    </row>
    <row r="8575" spans="8:8" ht="15.75" customHeight="1" x14ac:dyDescent="0.25">
      <c r="H8575" s="116"/>
    </row>
    <row r="8576" spans="8:8" ht="15.75" customHeight="1" x14ac:dyDescent="0.25">
      <c r="H8576" s="116"/>
    </row>
    <row r="8577" spans="8:8" ht="15.75" customHeight="1" x14ac:dyDescent="0.25">
      <c r="H8577" s="116"/>
    </row>
    <row r="8578" spans="8:8" ht="15.75" customHeight="1" x14ac:dyDescent="0.25">
      <c r="H8578" s="116"/>
    </row>
    <row r="8579" spans="8:8" ht="15.75" customHeight="1" x14ac:dyDescent="0.25">
      <c r="H8579" s="116"/>
    </row>
    <row r="8580" spans="8:8" ht="15.75" customHeight="1" x14ac:dyDescent="0.25">
      <c r="H8580" s="116"/>
    </row>
    <row r="8581" spans="8:8" ht="15.75" customHeight="1" x14ac:dyDescent="0.25">
      <c r="H8581" s="116"/>
    </row>
    <row r="8582" spans="8:8" ht="15.75" customHeight="1" x14ac:dyDescent="0.25">
      <c r="H8582" s="116"/>
    </row>
    <row r="8583" spans="8:8" ht="15.75" customHeight="1" x14ac:dyDescent="0.25">
      <c r="H8583" s="116"/>
    </row>
    <row r="8584" spans="8:8" ht="15.75" customHeight="1" x14ac:dyDescent="0.25">
      <c r="H8584" s="116"/>
    </row>
    <row r="8585" spans="8:8" ht="15.75" customHeight="1" x14ac:dyDescent="0.25">
      <c r="H8585" s="116"/>
    </row>
    <row r="8586" spans="8:8" ht="15.75" customHeight="1" x14ac:dyDescent="0.25">
      <c r="H8586" s="116"/>
    </row>
    <row r="8587" spans="8:8" ht="15.75" customHeight="1" x14ac:dyDescent="0.25">
      <c r="H8587" s="116"/>
    </row>
    <row r="8588" spans="8:8" ht="15.75" customHeight="1" x14ac:dyDescent="0.25">
      <c r="H8588" s="116"/>
    </row>
    <row r="8589" spans="8:8" ht="15.75" customHeight="1" x14ac:dyDescent="0.25">
      <c r="H8589" s="116"/>
    </row>
    <row r="8590" spans="8:8" ht="15.75" customHeight="1" x14ac:dyDescent="0.25">
      <c r="H8590" s="116"/>
    </row>
    <row r="8591" spans="8:8" ht="15.75" customHeight="1" x14ac:dyDescent="0.25">
      <c r="H8591" s="116"/>
    </row>
    <row r="8592" spans="8:8" ht="15.75" customHeight="1" x14ac:dyDescent="0.25">
      <c r="H8592" s="116"/>
    </row>
    <row r="8593" spans="8:8" ht="15.75" customHeight="1" x14ac:dyDescent="0.25">
      <c r="H8593" s="116"/>
    </row>
    <row r="8594" spans="8:8" ht="15.75" customHeight="1" x14ac:dyDescent="0.25">
      <c r="H8594" s="116"/>
    </row>
    <row r="8595" spans="8:8" ht="15.75" customHeight="1" x14ac:dyDescent="0.25">
      <c r="H8595" s="116"/>
    </row>
    <row r="8596" spans="8:8" ht="15.75" customHeight="1" x14ac:dyDescent="0.25">
      <c r="H8596" s="116"/>
    </row>
    <row r="8597" spans="8:8" ht="15.75" customHeight="1" x14ac:dyDescent="0.25">
      <c r="H8597" s="116"/>
    </row>
    <row r="8598" spans="8:8" ht="15.75" customHeight="1" x14ac:dyDescent="0.25">
      <c r="H8598" s="116"/>
    </row>
    <row r="8599" spans="8:8" ht="15.75" customHeight="1" x14ac:dyDescent="0.25">
      <c r="H8599" s="116"/>
    </row>
    <row r="8600" spans="8:8" ht="15.75" customHeight="1" x14ac:dyDescent="0.25">
      <c r="H8600" s="116"/>
    </row>
    <row r="8601" spans="8:8" ht="15.75" customHeight="1" x14ac:dyDescent="0.25">
      <c r="H8601" s="116"/>
    </row>
    <row r="8602" spans="8:8" ht="15.75" customHeight="1" x14ac:dyDescent="0.25">
      <c r="H8602" s="116"/>
    </row>
    <row r="8603" spans="8:8" ht="15.75" customHeight="1" x14ac:dyDescent="0.25">
      <c r="H8603" s="116"/>
    </row>
    <row r="8604" spans="8:8" ht="15.75" customHeight="1" x14ac:dyDescent="0.25">
      <c r="H8604" s="116"/>
    </row>
    <row r="8605" spans="8:8" ht="15.75" customHeight="1" x14ac:dyDescent="0.25">
      <c r="H8605" s="116"/>
    </row>
    <row r="8606" spans="8:8" ht="15.75" customHeight="1" x14ac:dyDescent="0.25">
      <c r="H8606" s="116"/>
    </row>
    <row r="8607" spans="8:8" ht="15.75" customHeight="1" x14ac:dyDescent="0.25">
      <c r="H8607" s="116"/>
    </row>
    <row r="8608" spans="8:8" ht="15.75" customHeight="1" x14ac:dyDescent="0.25">
      <c r="H8608" s="116"/>
    </row>
    <row r="8609" spans="8:8" ht="15.75" customHeight="1" x14ac:dyDescent="0.25">
      <c r="H8609" s="116"/>
    </row>
    <row r="8610" spans="8:8" ht="15.75" customHeight="1" x14ac:dyDescent="0.25">
      <c r="H8610" s="116"/>
    </row>
    <row r="8611" spans="8:8" ht="15.75" customHeight="1" x14ac:dyDescent="0.25">
      <c r="H8611" s="116"/>
    </row>
    <row r="8612" spans="8:8" ht="15.75" customHeight="1" x14ac:dyDescent="0.25">
      <c r="H8612" s="116"/>
    </row>
    <row r="8613" spans="8:8" ht="15.75" customHeight="1" x14ac:dyDescent="0.25">
      <c r="H8613" s="116"/>
    </row>
    <row r="8614" spans="8:8" ht="15.75" customHeight="1" x14ac:dyDescent="0.25">
      <c r="H8614" s="116"/>
    </row>
    <row r="8615" spans="8:8" ht="15.75" customHeight="1" x14ac:dyDescent="0.25">
      <c r="H8615" s="116"/>
    </row>
    <row r="8616" spans="8:8" ht="15.75" customHeight="1" x14ac:dyDescent="0.25">
      <c r="H8616" s="116"/>
    </row>
    <row r="8617" spans="8:8" ht="15.75" customHeight="1" x14ac:dyDescent="0.25">
      <c r="H8617" s="116"/>
    </row>
    <row r="8618" spans="8:8" ht="15.75" customHeight="1" x14ac:dyDescent="0.25">
      <c r="H8618" s="116"/>
    </row>
    <row r="8619" spans="8:8" ht="15.75" customHeight="1" x14ac:dyDescent="0.25">
      <c r="H8619" s="116"/>
    </row>
    <row r="8620" spans="8:8" ht="15.75" customHeight="1" x14ac:dyDescent="0.25">
      <c r="H8620" s="116"/>
    </row>
    <row r="8621" spans="8:8" ht="15.75" customHeight="1" x14ac:dyDescent="0.25">
      <c r="H8621" s="116"/>
    </row>
    <row r="8622" spans="8:8" ht="15.75" customHeight="1" x14ac:dyDescent="0.25">
      <c r="H8622" s="116"/>
    </row>
    <row r="8623" spans="8:8" ht="15.75" customHeight="1" x14ac:dyDescent="0.25">
      <c r="H8623" s="116"/>
    </row>
    <row r="8624" spans="8:8" ht="15.75" customHeight="1" x14ac:dyDescent="0.25">
      <c r="H8624" s="116"/>
    </row>
    <row r="8625" spans="8:8" ht="15.75" customHeight="1" x14ac:dyDescent="0.25">
      <c r="H8625" s="116"/>
    </row>
    <row r="8626" spans="8:8" ht="15.75" customHeight="1" x14ac:dyDescent="0.25">
      <c r="H8626" s="116"/>
    </row>
    <row r="8627" spans="8:8" ht="15.75" customHeight="1" x14ac:dyDescent="0.25">
      <c r="H8627" s="116"/>
    </row>
    <row r="8628" spans="8:8" ht="15.75" customHeight="1" x14ac:dyDescent="0.25">
      <c r="H8628" s="116"/>
    </row>
    <row r="8629" spans="8:8" ht="15.75" customHeight="1" x14ac:dyDescent="0.25">
      <c r="H8629" s="116"/>
    </row>
    <row r="8630" spans="8:8" ht="15.75" customHeight="1" x14ac:dyDescent="0.25">
      <c r="H8630" s="116"/>
    </row>
    <row r="8631" spans="8:8" ht="15.75" customHeight="1" x14ac:dyDescent="0.25">
      <c r="H8631" s="116"/>
    </row>
    <row r="8632" spans="8:8" ht="15.75" customHeight="1" x14ac:dyDescent="0.25">
      <c r="H8632" s="116"/>
    </row>
    <row r="8633" spans="8:8" ht="15.75" customHeight="1" x14ac:dyDescent="0.25">
      <c r="H8633" s="116"/>
    </row>
    <row r="8634" spans="8:8" ht="15.75" customHeight="1" x14ac:dyDescent="0.25">
      <c r="H8634" s="116"/>
    </row>
    <row r="8635" spans="8:8" ht="15.75" customHeight="1" x14ac:dyDescent="0.25">
      <c r="H8635" s="116"/>
    </row>
    <row r="8636" spans="8:8" ht="15.75" customHeight="1" x14ac:dyDescent="0.25">
      <c r="H8636" s="116"/>
    </row>
    <row r="8637" spans="8:8" ht="15.75" customHeight="1" x14ac:dyDescent="0.25">
      <c r="H8637" s="116"/>
    </row>
    <row r="8638" spans="8:8" ht="15.75" customHeight="1" x14ac:dyDescent="0.25">
      <c r="H8638" s="116"/>
    </row>
    <row r="8639" spans="8:8" ht="15.75" customHeight="1" x14ac:dyDescent="0.25">
      <c r="H8639" s="116"/>
    </row>
    <row r="8640" spans="8:8" ht="15.75" customHeight="1" x14ac:dyDescent="0.25">
      <c r="H8640" s="116"/>
    </row>
    <row r="8641" spans="8:8" ht="15.75" customHeight="1" x14ac:dyDescent="0.25">
      <c r="H8641" s="116"/>
    </row>
    <row r="8642" spans="8:8" ht="15.75" customHeight="1" x14ac:dyDescent="0.25">
      <c r="H8642" s="116"/>
    </row>
    <row r="8643" spans="8:8" ht="15.75" customHeight="1" x14ac:dyDescent="0.25">
      <c r="H8643" s="116"/>
    </row>
    <row r="8644" spans="8:8" ht="15.75" customHeight="1" x14ac:dyDescent="0.25">
      <c r="H8644" s="116"/>
    </row>
    <row r="8645" spans="8:8" ht="15.75" customHeight="1" x14ac:dyDescent="0.25">
      <c r="H8645" s="116"/>
    </row>
    <row r="8646" spans="8:8" ht="15.75" customHeight="1" x14ac:dyDescent="0.25">
      <c r="H8646" s="116"/>
    </row>
    <row r="8647" spans="8:8" ht="15.75" customHeight="1" x14ac:dyDescent="0.25">
      <c r="H8647" s="116"/>
    </row>
    <row r="8648" spans="8:8" ht="15.75" customHeight="1" x14ac:dyDescent="0.25">
      <c r="H8648" s="116"/>
    </row>
    <row r="8649" spans="8:8" ht="15.75" customHeight="1" x14ac:dyDescent="0.25">
      <c r="H8649" s="116"/>
    </row>
    <row r="8650" spans="8:8" ht="15.75" customHeight="1" x14ac:dyDescent="0.25">
      <c r="H8650" s="116"/>
    </row>
    <row r="8651" spans="8:8" ht="15.75" customHeight="1" x14ac:dyDescent="0.25">
      <c r="H8651" s="116"/>
    </row>
    <row r="8652" spans="8:8" ht="15.75" customHeight="1" x14ac:dyDescent="0.25">
      <c r="H8652" s="116"/>
    </row>
    <row r="8653" spans="8:8" ht="15.75" customHeight="1" x14ac:dyDescent="0.25">
      <c r="H8653" s="116"/>
    </row>
    <row r="8654" spans="8:8" ht="15.75" customHeight="1" x14ac:dyDescent="0.25">
      <c r="H8654" s="116"/>
    </row>
    <row r="8655" spans="8:8" ht="15.75" customHeight="1" x14ac:dyDescent="0.25">
      <c r="H8655" s="116"/>
    </row>
    <row r="8656" spans="8:8" ht="15.75" customHeight="1" x14ac:dyDescent="0.25">
      <c r="H8656" s="116"/>
    </row>
    <row r="8657" spans="8:8" ht="15.75" customHeight="1" x14ac:dyDescent="0.25">
      <c r="H8657" s="116"/>
    </row>
    <row r="8658" spans="8:8" ht="15.75" customHeight="1" x14ac:dyDescent="0.25">
      <c r="H8658" s="116"/>
    </row>
    <row r="8659" spans="8:8" ht="15.75" customHeight="1" x14ac:dyDescent="0.25">
      <c r="H8659" s="116"/>
    </row>
    <row r="8660" spans="8:8" ht="15.75" customHeight="1" x14ac:dyDescent="0.25">
      <c r="H8660" s="116"/>
    </row>
    <row r="8661" spans="8:8" ht="15.75" customHeight="1" x14ac:dyDescent="0.25">
      <c r="H8661" s="116"/>
    </row>
    <row r="8662" spans="8:8" ht="15.75" customHeight="1" x14ac:dyDescent="0.25">
      <c r="H8662" s="116"/>
    </row>
    <row r="8663" spans="8:8" ht="15.75" customHeight="1" x14ac:dyDescent="0.25">
      <c r="H8663" s="116"/>
    </row>
    <row r="8664" spans="8:8" ht="15.75" customHeight="1" x14ac:dyDescent="0.25">
      <c r="H8664" s="116"/>
    </row>
    <row r="8665" spans="8:8" ht="15.75" customHeight="1" x14ac:dyDescent="0.25">
      <c r="H8665" s="116"/>
    </row>
    <row r="8666" spans="8:8" ht="15.75" customHeight="1" x14ac:dyDescent="0.25">
      <c r="H8666" s="116"/>
    </row>
    <row r="8667" spans="8:8" ht="15.75" customHeight="1" x14ac:dyDescent="0.25">
      <c r="H8667" s="116"/>
    </row>
    <row r="8668" spans="8:8" ht="15.75" customHeight="1" x14ac:dyDescent="0.25">
      <c r="H8668" s="116"/>
    </row>
    <row r="8669" spans="8:8" ht="15.75" customHeight="1" x14ac:dyDescent="0.25">
      <c r="H8669" s="116"/>
    </row>
    <row r="8670" spans="8:8" ht="15.75" customHeight="1" x14ac:dyDescent="0.25">
      <c r="H8670" s="116"/>
    </row>
    <row r="8671" spans="8:8" ht="15.75" customHeight="1" x14ac:dyDescent="0.25">
      <c r="H8671" s="116"/>
    </row>
    <row r="8672" spans="8:8" ht="15.75" customHeight="1" x14ac:dyDescent="0.25">
      <c r="H8672" s="116"/>
    </row>
    <row r="8673" spans="8:8" ht="15.75" customHeight="1" x14ac:dyDescent="0.25">
      <c r="H8673" s="116"/>
    </row>
    <row r="8674" spans="8:8" ht="15.75" customHeight="1" x14ac:dyDescent="0.25">
      <c r="H8674" s="116"/>
    </row>
    <row r="8675" spans="8:8" ht="15.75" customHeight="1" x14ac:dyDescent="0.25">
      <c r="H8675" s="116"/>
    </row>
    <row r="8676" spans="8:8" ht="15.75" customHeight="1" x14ac:dyDescent="0.25">
      <c r="H8676" s="116"/>
    </row>
    <row r="8677" spans="8:8" ht="15.75" customHeight="1" x14ac:dyDescent="0.25">
      <c r="H8677" s="116"/>
    </row>
    <row r="8678" spans="8:8" ht="15.75" customHeight="1" x14ac:dyDescent="0.25">
      <c r="H8678" s="116"/>
    </row>
    <row r="8679" spans="8:8" ht="15.75" customHeight="1" x14ac:dyDescent="0.25">
      <c r="H8679" s="116"/>
    </row>
    <row r="8680" spans="8:8" ht="15.75" customHeight="1" x14ac:dyDescent="0.25">
      <c r="H8680" s="116"/>
    </row>
    <row r="8681" spans="8:8" ht="15.75" customHeight="1" x14ac:dyDescent="0.25">
      <c r="H8681" s="116"/>
    </row>
    <row r="8682" spans="8:8" ht="15.75" customHeight="1" x14ac:dyDescent="0.25">
      <c r="H8682" s="116"/>
    </row>
    <row r="8683" spans="8:8" ht="15.75" customHeight="1" x14ac:dyDescent="0.25">
      <c r="H8683" s="116"/>
    </row>
    <row r="8684" spans="8:8" ht="15.75" customHeight="1" x14ac:dyDescent="0.25">
      <c r="H8684" s="116"/>
    </row>
    <row r="8685" spans="8:8" ht="15.75" customHeight="1" x14ac:dyDescent="0.25">
      <c r="H8685" s="116"/>
    </row>
    <row r="8686" spans="8:8" ht="15.75" customHeight="1" x14ac:dyDescent="0.25">
      <c r="H8686" s="116"/>
    </row>
    <row r="8687" spans="8:8" ht="15.75" customHeight="1" x14ac:dyDescent="0.25">
      <c r="H8687" s="116"/>
    </row>
    <row r="8688" spans="8:8" ht="15.75" customHeight="1" x14ac:dyDescent="0.25">
      <c r="H8688" s="116"/>
    </row>
    <row r="8689" spans="8:8" ht="15.75" customHeight="1" x14ac:dyDescent="0.25">
      <c r="H8689" s="116"/>
    </row>
    <row r="8690" spans="8:8" ht="15.75" customHeight="1" x14ac:dyDescent="0.25">
      <c r="H8690" s="116"/>
    </row>
    <row r="8691" spans="8:8" ht="15.75" customHeight="1" x14ac:dyDescent="0.25">
      <c r="H8691" s="116"/>
    </row>
    <row r="8692" spans="8:8" ht="15.75" customHeight="1" x14ac:dyDescent="0.25">
      <c r="H8692" s="116"/>
    </row>
    <row r="8693" spans="8:8" ht="15.75" customHeight="1" x14ac:dyDescent="0.25">
      <c r="H8693" s="116"/>
    </row>
    <row r="8694" spans="8:8" ht="15.75" customHeight="1" x14ac:dyDescent="0.25">
      <c r="H8694" s="116"/>
    </row>
    <row r="8695" spans="8:8" ht="15.75" customHeight="1" x14ac:dyDescent="0.25">
      <c r="H8695" s="116"/>
    </row>
    <row r="8696" spans="8:8" ht="15.75" customHeight="1" x14ac:dyDescent="0.25">
      <c r="H8696" s="116"/>
    </row>
    <row r="8697" spans="8:8" ht="15.75" customHeight="1" x14ac:dyDescent="0.25">
      <c r="H8697" s="116"/>
    </row>
    <row r="8698" spans="8:8" ht="15.75" customHeight="1" x14ac:dyDescent="0.25">
      <c r="H8698" s="116"/>
    </row>
    <row r="8699" spans="8:8" ht="15.75" customHeight="1" x14ac:dyDescent="0.25">
      <c r="H8699" s="116"/>
    </row>
    <row r="8700" spans="8:8" ht="15.75" customHeight="1" x14ac:dyDescent="0.25">
      <c r="H8700" s="116"/>
    </row>
    <row r="8701" spans="8:8" ht="15.75" customHeight="1" x14ac:dyDescent="0.25">
      <c r="H8701" s="116"/>
    </row>
    <row r="8702" spans="8:8" ht="15.75" customHeight="1" x14ac:dyDescent="0.25">
      <c r="H8702" s="116"/>
    </row>
    <row r="8703" spans="8:8" ht="15.75" customHeight="1" x14ac:dyDescent="0.25">
      <c r="H8703" s="116"/>
    </row>
    <row r="8704" spans="8:8" ht="15.75" customHeight="1" x14ac:dyDescent="0.25">
      <c r="H8704" s="116"/>
    </row>
    <row r="8705" spans="8:8" ht="15.75" customHeight="1" x14ac:dyDescent="0.25">
      <c r="H8705" s="116"/>
    </row>
    <row r="8706" spans="8:8" ht="15.75" customHeight="1" x14ac:dyDescent="0.25">
      <c r="H8706" s="116"/>
    </row>
    <row r="8707" spans="8:8" ht="15.75" customHeight="1" x14ac:dyDescent="0.25">
      <c r="H8707" s="116"/>
    </row>
    <row r="8708" spans="8:8" ht="15.75" customHeight="1" x14ac:dyDescent="0.25">
      <c r="H8708" s="116"/>
    </row>
    <row r="8709" spans="8:8" ht="15.75" customHeight="1" x14ac:dyDescent="0.25">
      <c r="H8709" s="116"/>
    </row>
    <row r="8710" spans="8:8" ht="15.75" customHeight="1" x14ac:dyDescent="0.25">
      <c r="H8710" s="116"/>
    </row>
    <row r="8711" spans="8:8" ht="15.75" customHeight="1" x14ac:dyDescent="0.25">
      <c r="H8711" s="116"/>
    </row>
    <row r="8712" spans="8:8" ht="15.75" customHeight="1" x14ac:dyDescent="0.25">
      <c r="H8712" s="116"/>
    </row>
    <row r="8713" spans="8:8" ht="15.75" customHeight="1" x14ac:dyDescent="0.25">
      <c r="H8713" s="116"/>
    </row>
    <row r="8714" spans="8:8" ht="15.75" customHeight="1" x14ac:dyDescent="0.25">
      <c r="H8714" s="116"/>
    </row>
    <row r="8715" spans="8:8" ht="15.75" customHeight="1" x14ac:dyDescent="0.25">
      <c r="H8715" s="116"/>
    </row>
    <row r="8716" spans="8:8" ht="15.75" customHeight="1" x14ac:dyDescent="0.25">
      <c r="H8716" s="116"/>
    </row>
    <row r="8717" spans="8:8" ht="15.75" customHeight="1" x14ac:dyDescent="0.25">
      <c r="H8717" s="116"/>
    </row>
    <row r="8718" spans="8:8" ht="15.75" customHeight="1" x14ac:dyDescent="0.25">
      <c r="H8718" s="116"/>
    </row>
    <row r="8719" spans="8:8" ht="15.75" customHeight="1" x14ac:dyDescent="0.25">
      <c r="H8719" s="116"/>
    </row>
    <row r="8720" spans="8:8" ht="15.75" customHeight="1" x14ac:dyDescent="0.25">
      <c r="H8720" s="116"/>
    </row>
    <row r="8721" spans="8:8" ht="15.75" customHeight="1" x14ac:dyDescent="0.25">
      <c r="H8721" s="116"/>
    </row>
    <row r="8722" spans="8:8" ht="15.75" customHeight="1" x14ac:dyDescent="0.25">
      <c r="H8722" s="116"/>
    </row>
    <row r="8723" spans="8:8" ht="15.75" customHeight="1" x14ac:dyDescent="0.25">
      <c r="H8723" s="116"/>
    </row>
    <row r="8724" spans="8:8" ht="15.75" customHeight="1" x14ac:dyDescent="0.25">
      <c r="H8724" s="116"/>
    </row>
    <row r="8725" spans="8:8" ht="15.75" customHeight="1" x14ac:dyDescent="0.25">
      <c r="H8725" s="116"/>
    </row>
    <row r="8726" spans="8:8" ht="15.75" customHeight="1" x14ac:dyDescent="0.25">
      <c r="H8726" s="116"/>
    </row>
    <row r="8727" spans="8:8" ht="15.75" customHeight="1" x14ac:dyDescent="0.25">
      <c r="H8727" s="116"/>
    </row>
    <row r="8728" spans="8:8" ht="15.75" customHeight="1" x14ac:dyDescent="0.25">
      <c r="H8728" s="116"/>
    </row>
    <row r="8729" spans="8:8" ht="15.75" customHeight="1" x14ac:dyDescent="0.25">
      <c r="H8729" s="116"/>
    </row>
    <row r="8730" spans="8:8" ht="15.75" customHeight="1" x14ac:dyDescent="0.25">
      <c r="H8730" s="116"/>
    </row>
    <row r="8731" spans="8:8" ht="15.75" customHeight="1" x14ac:dyDescent="0.25">
      <c r="H8731" s="116"/>
    </row>
    <row r="8732" spans="8:8" ht="15.75" customHeight="1" x14ac:dyDescent="0.25">
      <c r="H8732" s="116"/>
    </row>
    <row r="8733" spans="8:8" ht="15.75" customHeight="1" x14ac:dyDescent="0.25">
      <c r="H8733" s="116"/>
    </row>
    <row r="8734" spans="8:8" ht="15.75" customHeight="1" x14ac:dyDescent="0.25">
      <c r="H8734" s="116"/>
    </row>
    <row r="8735" spans="8:8" ht="15.75" customHeight="1" x14ac:dyDescent="0.25">
      <c r="H8735" s="116"/>
    </row>
    <row r="8736" spans="8:8" ht="15.75" customHeight="1" x14ac:dyDescent="0.25">
      <c r="H8736" s="116"/>
    </row>
    <row r="8737" spans="8:8" ht="15.75" customHeight="1" x14ac:dyDescent="0.25">
      <c r="H8737" s="116"/>
    </row>
    <row r="8738" spans="8:8" ht="15.75" customHeight="1" x14ac:dyDescent="0.25">
      <c r="H8738" s="116"/>
    </row>
    <row r="8739" spans="8:8" ht="15.75" customHeight="1" x14ac:dyDescent="0.25">
      <c r="H8739" s="116"/>
    </row>
    <row r="8740" spans="8:8" ht="15.75" customHeight="1" x14ac:dyDescent="0.25">
      <c r="H8740" s="116"/>
    </row>
    <row r="8741" spans="8:8" ht="15.75" customHeight="1" x14ac:dyDescent="0.25">
      <c r="H8741" s="116"/>
    </row>
    <row r="8742" spans="8:8" ht="15.75" customHeight="1" x14ac:dyDescent="0.25">
      <c r="H8742" s="116"/>
    </row>
    <row r="8743" spans="8:8" ht="15.75" customHeight="1" x14ac:dyDescent="0.25">
      <c r="H8743" s="116"/>
    </row>
    <row r="8744" spans="8:8" ht="15.75" customHeight="1" x14ac:dyDescent="0.25">
      <c r="H8744" s="116"/>
    </row>
    <row r="8745" spans="8:8" ht="15.75" customHeight="1" x14ac:dyDescent="0.25">
      <c r="H8745" s="116"/>
    </row>
    <row r="8746" spans="8:8" ht="15.75" customHeight="1" x14ac:dyDescent="0.25">
      <c r="H8746" s="116"/>
    </row>
    <row r="8747" spans="8:8" ht="15.75" customHeight="1" x14ac:dyDescent="0.25">
      <c r="H8747" s="116"/>
    </row>
    <row r="8748" spans="8:8" ht="15.75" customHeight="1" x14ac:dyDescent="0.25">
      <c r="H8748" s="116"/>
    </row>
    <row r="8749" spans="8:8" ht="15.75" customHeight="1" x14ac:dyDescent="0.25">
      <c r="H8749" s="116"/>
    </row>
    <row r="8750" spans="8:8" ht="15.75" customHeight="1" x14ac:dyDescent="0.25">
      <c r="H8750" s="116"/>
    </row>
    <row r="8751" spans="8:8" ht="15.75" customHeight="1" x14ac:dyDescent="0.25">
      <c r="H8751" s="116"/>
    </row>
    <row r="8752" spans="8:8" ht="15.75" customHeight="1" x14ac:dyDescent="0.25">
      <c r="H8752" s="116"/>
    </row>
    <row r="8753" spans="8:8" ht="15.75" customHeight="1" x14ac:dyDescent="0.25">
      <c r="H8753" s="116"/>
    </row>
    <row r="8754" spans="8:8" ht="15.75" customHeight="1" x14ac:dyDescent="0.25">
      <c r="H8754" s="116"/>
    </row>
    <row r="8755" spans="8:8" ht="15.75" customHeight="1" x14ac:dyDescent="0.25">
      <c r="H8755" s="116"/>
    </row>
    <row r="8756" spans="8:8" ht="15.75" customHeight="1" x14ac:dyDescent="0.25">
      <c r="H8756" s="116"/>
    </row>
    <row r="8757" spans="8:8" ht="15.75" customHeight="1" x14ac:dyDescent="0.25">
      <c r="H8757" s="116"/>
    </row>
    <row r="8758" spans="8:8" ht="15.75" customHeight="1" x14ac:dyDescent="0.25">
      <c r="H8758" s="116"/>
    </row>
    <row r="8759" spans="8:8" ht="15.75" customHeight="1" x14ac:dyDescent="0.25">
      <c r="H8759" s="116"/>
    </row>
    <row r="8760" spans="8:8" ht="15.75" customHeight="1" x14ac:dyDescent="0.25">
      <c r="H8760" s="116"/>
    </row>
    <row r="8761" spans="8:8" ht="15.75" customHeight="1" x14ac:dyDescent="0.25">
      <c r="H8761" s="116"/>
    </row>
    <row r="8762" spans="8:8" ht="15.75" customHeight="1" x14ac:dyDescent="0.25">
      <c r="H8762" s="116"/>
    </row>
    <row r="8763" spans="8:8" ht="15.75" customHeight="1" x14ac:dyDescent="0.25">
      <c r="H8763" s="116"/>
    </row>
    <row r="8764" spans="8:8" ht="15.75" customHeight="1" x14ac:dyDescent="0.25">
      <c r="H8764" s="116"/>
    </row>
    <row r="8765" spans="8:8" ht="15.75" customHeight="1" x14ac:dyDescent="0.25">
      <c r="H8765" s="116"/>
    </row>
    <row r="8766" spans="8:8" ht="15.75" customHeight="1" x14ac:dyDescent="0.25">
      <c r="H8766" s="116"/>
    </row>
    <row r="8767" spans="8:8" ht="15.75" customHeight="1" x14ac:dyDescent="0.25">
      <c r="H8767" s="116"/>
    </row>
    <row r="8768" spans="8:8" ht="15.75" customHeight="1" x14ac:dyDescent="0.25">
      <c r="H8768" s="116"/>
    </row>
    <row r="8769" spans="8:8" ht="15.75" customHeight="1" x14ac:dyDescent="0.25">
      <c r="H8769" s="116"/>
    </row>
    <row r="8770" spans="8:8" ht="15.75" customHeight="1" x14ac:dyDescent="0.25">
      <c r="H8770" s="116"/>
    </row>
    <row r="8771" spans="8:8" ht="15.75" customHeight="1" x14ac:dyDescent="0.25">
      <c r="H8771" s="116"/>
    </row>
    <row r="8772" spans="8:8" ht="15.75" customHeight="1" x14ac:dyDescent="0.25">
      <c r="H8772" s="116"/>
    </row>
    <row r="8773" spans="8:8" ht="15.75" customHeight="1" x14ac:dyDescent="0.25">
      <c r="H8773" s="116"/>
    </row>
    <row r="8774" spans="8:8" ht="15.75" customHeight="1" x14ac:dyDescent="0.25">
      <c r="H8774" s="116"/>
    </row>
    <row r="8775" spans="8:8" ht="15.75" customHeight="1" x14ac:dyDescent="0.25">
      <c r="H8775" s="116"/>
    </row>
    <row r="8776" spans="8:8" ht="15.75" customHeight="1" x14ac:dyDescent="0.25">
      <c r="H8776" s="116"/>
    </row>
    <row r="8777" spans="8:8" ht="15.75" customHeight="1" x14ac:dyDescent="0.25">
      <c r="H8777" s="116"/>
    </row>
    <row r="8778" spans="8:8" ht="15.75" customHeight="1" x14ac:dyDescent="0.25">
      <c r="H8778" s="116"/>
    </row>
    <row r="8779" spans="8:8" ht="15.75" customHeight="1" x14ac:dyDescent="0.25">
      <c r="H8779" s="116"/>
    </row>
    <row r="8780" spans="8:8" ht="15.75" customHeight="1" x14ac:dyDescent="0.25">
      <c r="H8780" s="116"/>
    </row>
    <row r="8781" spans="8:8" ht="15.75" customHeight="1" x14ac:dyDescent="0.25">
      <c r="H8781" s="116"/>
    </row>
    <row r="8782" spans="8:8" ht="15.75" customHeight="1" x14ac:dyDescent="0.25">
      <c r="H8782" s="116"/>
    </row>
    <row r="8783" spans="8:8" ht="15.75" customHeight="1" x14ac:dyDescent="0.25">
      <c r="H8783" s="116"/>
    </row>
    <row r="8784" spans="8:8" ht="15.75" customHeight="1" x14ac:dyDescent="0.25">
      <c r="H8784" s="116"/>
    </row>
    <row r="8785" spans="8:8" ht="15.75" customHeight="1" x14ac:dyDescent="0.25">
      <c r="H8785" s="116"/>
    </row>
    <row r="8786" spans="8:8" ht="15.75" customHeight="1" x14ac:dyDescent="0.25">
      <c r="H8786" s="116"/>
    </row>
    <row r="8787" spans="8:8" ht="15.75" customHeight="1" x14ac:dyDescent="0.25">
      <c r="H8787" s="116"/>
    </row>
    <row r="8788" spans="8:8" ht="15.75" customHeight="1" x14ac:dyDescent="0.25">
      <c r="H8788" s="116"/>
    </row>
    <row r="8789" spans="8:8" ht="15.75" customHeight="1" x14ac:dyDescent="0.25">
      <c r="H8789" s="116"/>
    </row>
    <row r="8790" spans="8:8" ht="15.75" customHeight="1" x14ac:dyDescent="0.25">
      <c r="H8790" s="116"/>
    </row>
    <row r="8791" spans="8:8" ht="15.75" customHeight="1" x14ac:dyDescent="0.25">
      <c r="H8791" s="116"/>
    </row>
    <row r="8792" spans="8:8" ht="15.75" customHeight="1" x14ac:dyDescent="0.25">
      <c r="H8792" s="116"/>
    </row>
    <row r="8793" spans="8:8" ht="15.75" customHeight="1" x14ac:dyDescent="0.25">
      <c r="H8793" s="116"/>
    </row>
    <row r="8794" spans="8:8" ht="15.75" customHeight="1" x14ac:dyDescent="0.25">
      <c r="H8794" s="116"/>
    </row>
    <row r="8795" spans="8:8" ht="15.75" customHeight="1" x14ac:dyDescent="0.25">
      <c r="H8795" s="116"/>
    </row>
    <row r="8796" spans="8:8" ht="15.75" customHeight="1" x14ac:dyDescent="0.25">
      <c r="H8796" s="116"/>
    </row>
    <row r="8797" spans="8:8" ht="15.75" customHeight="1" x14ac:dyDescent="0.25">
      <c r="H8797" s="116"/>
    </row>
    <row r="8798" spans="8:8" ht="15.75" customHeight="1" x14ac:dyDescent="0.25">
      <c r="H8798" s="116"/>
    </row>
    <row r="8799" spans="8:8" ht="15.75" customHeight="1" x14ac:dyDescent="0.25">
      <c r="H8799" s="116"/>
    </row>
    <row r="8800" spans="8:8" ht="15.75" customHeight="1" x14ac:dyDescent="0.25">
      <c r="H8800" s="116"/>
    </row>
    <row r="8801" spans="8:8" ht="15.75" customHeight="1" x14ac:dyDescent="0.25">
      <c r="H8801" s="116"/>
    </row>
    <row r="8802" spans="8:8" ht="15.75" customHeight="1" x14ac:dyDescent="0.25">
      <c r="H8802" s="116"/>
    </row>
    <row r="8803" spans="8:8" ht="15.75" customHeight="1" x14ac:dyDescent="0.25">
      <c r="H8803" s="116"/>
    </row>
    <row r="8804" spans="8:8" ht="15.75" customHeight="1" x14ac:dyDescent="0.25">
      <c r="H8804" s="116"/>
    </row>
    <row r="8805" spans="8:8" ht="15.75" customHeight="1" x14ac:dyDescent="0.25">
      <c r="H8805" s="116"/>
    </row>
    <row r="8806" spans="8:8" ht="15.75" customHeight="1" x14ac:dyDescent="0.25">
      <c r="H8806" s="116"/>
    </row>
    <row r="8807" spans="8:8" ht="15.75" customHeight="1" x14ac:dyDescent="0.25">
      <c r="H8807" s="116"/>
    </row>
    <row r="8808" spans="8:8" ht="15.75" customHeight="1" x14ac:dyDescent="0.25">
      <c r="H8808" s="116"/>
    </row>
    <row r="8809" spans="8:8" ht="15.75" customHeight="1" x14ac:dyDescent="0.25">
      <c r="H8809" s="116"/>
    </row>
    <row r="8810" spans="8:8" ht="15.75" customHeight="1" x14ac:dyDescent="0.25">
      <c r="H8810" s="116"/>
    </row>
    <row r="8811" spans="8:8" ht="15.75" customHeight="1" x14ac:dyDescent="0.25">
      <c r="H8811" s="116"/>
    </row>
    <row r="8812" spans="8:8" ht="15.75" customHeight="1" x14ac:dyDescent="0.25">
      <c r="H8812" s="116"/>
    </row>
    <row r="8813" spans="8:8" ht="15.75" customHeight="1" x14ac:dyDescent="0.25">
      <c r="H8813" s="116"/>
    </row>
    <row r="8814" spans="8:8" ht="15.75" customHeight="1" x14ac:dyDescent="0.25">
      <c r="H8814" s="116"/>
    </row>
    <row r="8815" spans="8:8" ht="15.75" customHeight="1" x14ac:dyDescent="0.25">
      <c r="H8815" s="116"/>
    </row>
    <row r="8816" spans="8:8" ht="15.75" customHeight="1" x14ac:dyDescent="0.25">
      <c r="H8816" s="116"/>
    </row>
    <row r="8817" spans="8:8" ht="15.75" customHeight="1" x14ac:dyDescent="0.25">
      <c r="H8817" s="116"/>
    </row>
    <row r="8818" spans="8:8" ht="15.75" customHeight="1" x14ac:dyDescent="0.25">
      <c r="H8818" s="116"/>
    </row>
    <row r="8819" spans="8:8" ht="15.75" customHeight="1" x14ac:dyDescent="0.25">
      <c r="H8819" s="116"/>
    </row>
    <row r="8820" spans="8:8" ht="15.75" customHeight="1" x14ac:dyDescent="0.25">
      <c r="H8820" s="116"/>
    </row>
    <row r="8821" spans="8:8" ht="15.75" customHeight="1" x14ac:dyDescent="0.25">
      <c r="H8821" s="116"/>
    </row>
    <row r="8822" spans="8:8" ht="15.75" customHeight="1" x14ac:dyDescent="0.25">
      <c r="H8822" s="116"/>
    </row>
    <row r="8823" spans="8:8" ht="15.75" customHeight="1" x14ac:dyDescent="0.25">
      <c r="H8823" s="116"/>
    </row>
    <row r="8824" spans="8:8" ht="15.75" customHeight="1" x14ac:dyDescent="0.25">
      <c r="H8824" s="116"/>
    </row>
    <row r="8825" spans="8:8" ht="15.75" customHeight="1" x14ac:dyDescent="0.25">
      <c r="H8825" s="116"/>
    </row>
    <row r="8826" spans="8:8" ht="15.75" customHeight="1" x14ac:dyDescent="0.25">
      <c r="H8826" s="116"/>
    </row>
    <row r="8827" spans="8:8" ht="15.75" customHeight="1" x14ac:dyDescent="0.25">
      <c r="H8827" s="116"/>
    </row>
    <row r="8828" spans="8:8" ht="15.75" customHeight="1" x14ac:dyDescent="0.25">
      <c r="H8828" s="116"/>
    </row>
    <row r="8829" spans="8:8" ht="15.75" customHeight="1" x14ac:dyDescent="0.25">
      <c r="H8829" s="116"/>
    </row>
    <row r="8830" spans="8:8" ht="15.75" customHeight="1" x14ac:dyDescent="0.25">
      <c r="H8830" s="116"/>
    </row>
    <row r="8831" spans="8:8" ht="15.75" customHeight="1" x14ac:dyDescent="0.25">
      <c r="H8831" s="116"/>
    </row>
    <row r="8832" spans="8:8" ht="15.75" customHeight="1" x14ac:dyDescent="0.25">
      <c r="H8832" s="116"/>
    </row>
    <row r="8833" spans="8:8" ht="15.75" customHeight="1" x14ac:dyDescent="0.25">
      <c r="H8833" s="116"/>
    </row>
    <row r="8834" spans="8:8" ht="15.75" customHeight="1" x14ac:dyDescent="0.25">
      <c r="H8834" s="116"/>
    </row>
    <row r="8835" spans="8:8" ht="15.75" customHeight="1" x14ac:dyDescent="0.25">
      <c r="H8835" s="116"/>
    </row>
    <row r="8836" spans="8:8" ht="15.75" customHeight="1" x14ac:dyDescent="0.25">
      <c r="H8836" s="116"/>
    </row>
    <row r="8837" spans="8:8" ht="15.75" customHeight="1" x14ac:dyDescent="0.25">
      <c r="H8837" s="116"/>
    </row>
    <row r="8838" spans="8:8" ht="15.75" customHeight="1" x14ac:dyDescent="0.25">
      <c r="H8838" s="116"/>
    </row>
    <row r="8839" spans="8:8" ht="15.75" customHeight="1" x14ac:dyDescent="0.25">
      <c r="H8839" s="116"/>
    </row>
    <row r="8840" spans="8:8" ht="15.75" customHeight="1" x14ac:dyDescent="0.25">
      <c r="H8840" s="116"/>
    </row>
    <row r="8841" spans="8:8" ht="15.75" customHeight="1" x14ac:dyDescent="0.25">
      <c r="H8841" s="116"/>
    </row>
    <row r="8842" spans="8:8" ht="15.75" customHeight="1" x14ac:dyDescent="0.25">
      <c r="H8842" s="116"/>
    </row>
    <row r="8843" spans="8:8" ht="15.75" customHeight="1" x14ac:dyDescent="0.25">
      <c r="H8843" s="116"/>
    </row>
    <row r="8844" spans="8:8" ht="15.75" customHeight="1" x14ac:dyDescent="0.25">
      <c r="H8844" s="116"/>
    </row>
    <row r="8845" spans="8:8" ht="15.75" customHeight="1" x14ac:dyDescent="0.25">
      <c r="H8845" s="116"/>
    </row>
    <row r="8846" spans="8:8" ht="15.75" customHeight="1" x14ac:dyDescent="0.25">
      <c r="H8846" s="116"/>
    </row>
    <row r="8847" spans="8:8" ht="15.75" customHeight="1" x14ac:dyDescent="0.25">
      <c r="H8847" s="116"/>
    </row>
    <row r="8848" spans="8:8" ht="15.75" customHeight="1" x14ac:dyDescent="0.25">
      <c r="H8848" s="116"/>
    </row>
    <row r="8849" spans="8:8" ht="15.75" customHeight="1" x14ac:dyDescent="0.25">
      <c r="H8849" s="116"/>
    </row>
    <row r="8850" spans="8:8" ht="15.75" customHeight="1" x14ac:dyDescent="0.25">
      <c r="H8850" s="116"/>
    </row>
    <row r="8851" spans="8:8" ht="15.75" customHeight="1" x14ac:dyDescent="0.25">
      <c r="H8851" s="116"/>
    </row>
    <row r="8852" spans="8:8" ht="15.75" customHeight="1" x14ac:dyDescent="0.25">
      <c r="H8852" s="116"/>
    </row>
    <row r="8853" spans="8:8" ht="15.75" customHeight="1" x14ac:dyDescent="0.25">
      <c r="H8853" s="116"/>
    </row>
    <row r="8854" spans="8:8" ht="15.75" customHeight="1" x14ac:dyDescent="0.25">
      <c r="H8854" s="116"/>
    </row>
    <row r="8855" spans="8:8" ht="15.75" customHeight="1" x14ac:dyDescent="0.25">
      <c r="H8855" s="116"/>
    </row>
    <row r="8856" spans="8:8" ht="15.75" customHeight="1" x14ac:dyDescent="0.25">
      <c r="H8856" s="116"/>
    </row>
    <row r="8857" spans="8:8" ht="15.75" customHeight="1" x14ac:dyDescent="0.25">
      <c r="H8857" s="116"/>
    </row>
    <row r="8858" spans="8:8" ht="15.75" customHeight="1" x14ac:dyDescent="0.25">
      <c r="H8858" s="116"/>
    </row>
    <row r="8859" spans="8:8" ht="15.75" customHeight="1" x14ac:dyDescent="0.25">
      <c r="H8859" s="116"/>
    </row>
    <row r="8860" spans="8:8" ht="15.75" customHeight="1" x14ac:dyDescent="0.25">
      <c r="H8860" s="116"/>
    </row>
    <row r="8861" spans="8:8" ht="15.75" customHeight="1" x14ac:dyDescent="0.25">
      <c r="H8861" s="116"/>
    </row>
    <row r="8862" spans="8:8" ht="15.75" customHeight="1" x14ac:dyDescent="0.25">
      <c r="H8862" s="116"/>
    </row>
    <row r="8863" spans="8:8" ht="15.75" customHeight="1" x14ac:dyDescent="0.25">
      <c r="H8863" s="116"/>
    </row>
    <row r="8864" spans="8:8" ht="15.75" customHeight="1" x14ac:dyDescent="0.25">
      <c r="H8864" s="116"/>
    </row>
    <row r="8865" spans="8:8" ht="15.75" customHeight="1" x14ac:dyDescent="0.25">
      <c r="H8865" s="116"/>
    </row>
    <row r="8866" spans="8:8" ht="15.75" customHeight="1" x14ac:dyDescent="0.25">
      <c r="H8866" s="116"/>
    </row>
    <row r="8867" spans="8:8" ht="15.75" customHeight="1" x14ac:dyDescent="0.25">
      <c r="H8867" s="116"/>
    </row>
    <row r="8868" spans="8:8" ht="15.75" customHeight="1" x14ac:dyDescent="0.25">
      <c r="H8868" s="116"/>
    </row>
    <row r="8869" spans="8:8" ht="15.75" customHeight="1" x14ac:dyDescent="0.25">
      <c r="H8869" s="116"/>
    </row>
    <row r="8870" spans="8:8" ht="15.75" customHeight="1" x14ac:dyDescent="0.25">
      <c r="H8870" s="116"/>
    </row>
    <row r="8871" spans="8:8" ht="15.75" customHeight="1" x14ac:dyDescent="0.25">
      <c r="H8871" s="116"/>
    </row>
    <row r="8872" spans="8:8" ht="15.75" customHeight="1" x14ac:dyDescent="0.25">
      <c r="H8872" s="116"/>
    </row>
    <row r="8873" spans="8:8" ht="15.75" customHeight="1" x14ac:dyDescent="0.25">
      <c r="H8873" s="116"/>
    </row>
    <row r="8874" spans="8:8" ht="15.75" customHeight="1" x14ac:dyDescent="0.25">
      <c r="H8874" s="116"/>
    </row>
    <row r="8875" spans="8:8" ht="15.75" customHeight="1" x14ac:dyDescent="0.25">
      <c r="H8875" s="116"/>
    </row>
    <row r="8876" spans="8:8" ht="15.75" customHeight="1" x14ac:dyDescent="0.25">
      <c r="H8876" s="116"/>
    </row>
    <row r="8877" spans="8:8" ht="15.75" customHeight="1" x14ac:dyDescent="0.25">
      <c r="H8877" s="116"/>
    </row>
    <row r="8878" spans="8:8" ht="15.75" customHeight="1" x14ac:dyDescent="0.25">
      <c r="H8878" s="116"/>
    </row>
    <row r="8879" spans="8:8" ht="15.75" customHeight="1" x14ac:dyDescent="0.25">
      <c r="H8879" s="116"/>
    </row>
    <row r="8880" spans="8:8" ht="15.75" customHeight="1" x14ac:dyDescent="0.25">
      <c r="H8880" s="116"/>
    </row>
    <row r="8881" spans="8:8" ht="15.75" customHeight="1" x14ac:dyDescent="0.25">
      <c r="H8881" s="116"/>
    </row>
    <row r="8882" spans="8:8" ht="15.75" customHeight="1" x14ac:dyDescent="0.25">
      <c r="H8882" s="116"/>
    </row>
    <row r="8883" spans="8:8" ht="15.75" customHeight="1" x14ac:dyDescent="0.25">
      <c r="H8883" s="116"/>
    </row>
    <row r="8884" spans="8:8" ht="15.75" customHeight="1" x14ac:dyDescent="0.25">
      <c r="H8884" s="116"/>
    </row>
    <row r="8885" spans="8:8" ht="15.75" customHeight="1" x14ac:dyDescent="0.25">
      <c r="H8885" s="116"/>
    </row>
    <row r="8886" spans="8:8" ht="15.75" customHeight="1" x14ac:dyDescent="0.25">
      <c r="H8886" s="116"/>
    </row>
    <row r="8887" spans="8:8" ht="15.75" customHeight="1" x14ac:dyDescent="0.25">
      <c r="H8887" s="116"/>
    </row>
    <row r="8888" spans="8:8" ht="15.75" customHeight="1" x14ac:dyDescent="0.25">
      <c r="H8888" s="116"/>
    </row>
    <row r="8889" spans="8:8" ht="15.75" customHeight="1" x14ac:dyDescent="0.25">
      <c r="H8889" s="116"/>
    </row>
    <row r="8890" spans="8:8" ht="15.75" customHeight="1" x14ac:dyDescent="0.25">
      <c r="H8890" s="116"/>
    </row>
    <row r="8891" spans="8:8" ht="15.75" customHeight="1" x14ac:dyDescent="0.25">
      <c r="H8891" s="116"/>
    </row>
    <row r="8892" spans="8:8" ht="15.75" customHeight="1" x14ac:dyDescent="0.25">
      <c r="H8892" s="116"/>
    </row>
    <row r="8893" spans="8:8" ht="15.75" customHeight="1" x14ac:dyDescent="0.25">
      <c r="H8893" s="116"/>
    </row>
    <row r="8894" spans="8:8" ht="15.75" customHeight="1" x14ac:dyDescent="0.25">
      <c r="H8894" s="116"/>
    </row>
    <row r="8895" spans="8:8" ht="15.75" customHeight="1" x14ac:dyDescent="0.25">
      <c r="H8895" s="116"/>
    </row>
    <row r="8896" spans="8:8" ht="15.75" customHeight="1" x14ac:dyDescent="0.25">
      <c r="H8896" s="116"/>
    </row>
    <row r="8897" spans="8:8" ht="15.75" customHeight="1" x14ac:dyDescent="0.25">
      <c r="H8897" s="116"/>
    </row>
    <row r="8898" spans="8:8" ht="15.75" customHeight="1" x14ac:dyDescent="0.25">
      <c r="H8898" s="116"/>
    </row>
    <row r="8899" spans="8:8" ht="15.75" customHeight="1" x14ac:dyDescent="0.25">
      <c r="H8899" s="116"/>
    </row>
    <row r="8900" spans="8:8" ht="15.75" customHeight="1" x14ac:dyDescent="0.25">
      <c r="H8900" s="116"/>
    </row>
    <row r="8901" spans="8:8" ht="15.75" customHeight="1" x14ac:dyDescent="0.25">
      <c r="H8901" s="116"/>
    </row>
    <row r="8902" spans="8:8" ht="15.75" customHeight="1" x14ac:dyDescent="0.25">
      <c r="H8902" s="116"/>
    </row>
    <row r="8903" spans="8:8" ht="15.75" customHeight="1" x14ac:dyDescent="0.25">
      <c r="H8903" s="116"/>
    </row>
    <row r="8904" spans="8:8" ht="15.75" customHeight="1" x14ac:dyDescent="0.25">
      <c r="H8904" s="116"/>
    </row>
    <row r="8905" spans="8:8" ht="15.75" customHeight="1" x14ac:dyDescent="0.25">
      <c r="H8905" s="116"/>
    </row>
    <row r="8906" spans="8:8" ht="15.75" customHeight="1" x14ac:dyDescent="0.25">
      <c r="H8906" s="116"/>
    </row>
    <row r="8907" spans="8:8" ht="15.75" customHeight="1" x14ac:dyDescent="0.25">
      <c r="H8907" s="116"/>
    </row>
    <row r="8908" spans="8:8" ht="15.75" customHeight="1" x14ac:dyDescent="0.25">
      <c r="H8908" s="116"/>
    </row>
    <row r="8909" spans="8:8" ht="15.75" customHeight="1" x14ac:dyDescent="0.25">
      <c r="H8909" s="116"/>
    </row>
    <row r="8910" spans="8:8" ht="15.75" customHeight="1" x14ac:dyDescent="0.25">
      <c r="H8910" s="116"/>
    </row>
    <row r="8911" spans="8:8" ht="15.75" customHeight="1" x14ac:dyDescent="0.25">
      <c r="H8911" s="116"/>
    </row>
    <row r="8912" spans="8:8" ht="15.75" customHeight="1" x14ac:dyDescent="0.25">
      <c r="H8912" s="116"/>
    </row>
    <row r="8913" spans="8:8" ht="15.75" customHeight="1" x14ac:dyDescent="0.25">
      <c r="H8913" s="116"/>
    </row>
    <row r="8914" spans="8:8" ht="15.75" customHeight="1" x14ac:dyDescent="0.25">
      <c r="H8914" s="116"/>
    </row>
    <row r="8915" spans="8:8" ht="15.75" customHeight="1" x14ac:dyDescent="0.25">
      <c r="H8915" s="116"/>
    </row>
    <row r="8916" spans="8:8" ht="15.75" customHeight="1" x14ac:dyDescent="0.25">
      <c r="H8916" s="116"/>
    </row>
    <row r="8917" spans="8:8" ht="15.75" customHeight="1" x14ac:dyDescent="0.25">
      <c r="H8917" s="116"/>
    </row>
    <row r="8918" spans="8:8" ht="15.75" customHeight="1" x14ac:dyDescent="0.25">
      <c r="H8918" s="116"/>
    </row>
    <row r="8919" spans="8:8" ht="15.75" customHeight="1" x14ac:dyDescent="0.25">
      <c r="H8919" s="116"/>
    </row>
    <row r="8920" spans="8:8" ht="15.75" customHeight="1" x14ac:dyDescent="0.25">
      <c r="H8920" s="116"/>
    </row>
    <row r="8921" spans="8:8" ht="15.75" customHeight="1" x14ac:dyDescent="0.25">
      <c r="H8921" s="116"/>
    </row>
    <row r="8922" spans="8:8" ht="15.75" customHeight="1" x14ac:dyDescent="0.25">
      <c r="H8922" s="116"/>
    </row>
    <row r="8923" spans="8:8" ht="15.75" customHeight="1" x14ac:dyDescent="0.25">
      <c r="H8923" s="116"/>
    </row>
    <row r="8924" spans="8:8" ht="15.75" customHeight="1" x14ac:dyDescent="0.25">
      <c r="H8924" s="116"/>
    </row>
    <row r="8925" spans="8:8" ht="15.75" customHeight="1" x14ac:dyDescent="0.25">
      <c r="H8925" s="116"/>
    </row>
    <row r="8926" spans="8:8" ht="15.75" customHeight="1" x14ac:dyDescent="0.25">
      <c r="H8926" s="116"/>
    </row>
    <row r="8927" spans="8:8" ht="15.75" customHeight="1" x14ac:dyDescent="0.25">
      <c r="H8927" s="116"/>
    </row>
    <row r="8928" spans="8:8" ht="15.75" customHeight="1" x14ac:dyDescent="0.25">
      <c r="H8928" s="116"/>
    </row>
    <row r="8929" spans="8:8" ht="15.75" customHeight="1" x14ac:dyDescent="0.25">
      <c r="H8929" s="116"/>
    </row>
    <row r="8930" spans="8:8" ht="15.75" customHeight="1" x14ac:dyDescent="0.25">
      <c r="H8930" s="116"/>
    </row>
    <row r="8931" spans="8:8" ht="15.75" customHeight="1" x14ac:dyDescent="0.25">
      <c r="H8931" s="116"/>
    </row>
    <row r="8932" spans="8:8" ht="15.75" customHeight="1" x14ac:dyDescent="0.25">
      <c r="H8932" s="116"/>
    </row>
    <row r="8933" spans="8:8" ht="15.75" customHeight="1" x14ac:dyDescent="0.25">
      <c r="H8933" s="116"/>
    </row>
    <row r="8934" spans="8:8" ht="15.75" customHeight="1" x14ac:dyDescent="0.25">
      <c r="H8934" s="116"/>
    </row>
    <row r="8935" spans="8:8" ht="15.75" customHeight="1" x14ac:dyDescent="0.25">
      <c r="H8935" s="116"/>
    </row>
    <row r="8936" spans="8:8" ht="15.75" customHeight="1" x14ac:dyDescent="0.25">
      <c r="H8936" s="116"/>
    </row>
    <row r="8937" spans="8:8" ht="15.75" customHeight="1" x14ac:dyDescent="0.25">
      <c r="H8937" s="116"/>
    </row>
    <row r="8938" spans="8:8" ht="15.75" customHeight="1" x14ac:dyDescent="0.25">
      <c r="H8938" s="116"/>
    </row>
    <row r="8939" spans="8:8" ht="15.75" customHeight="1" x14ac:dyDescent="0.25">
      <c r="H8939" s="116"/>
    </row>
    <row r="8940" spans="8:8" ht="15.75" customHeight="1" x14ac:dyDescent="0.25">
      <c r="H8940" s="116"/>
    </row>
    <row r="8941" spans="8:8" ht="15.75" customHeight="1" x14ac:dyDescent="0.25">
      <c r="H8941" s="116"/>
    </row>
    <row r="8942" spans="8:8" ht="15.75" customHeight="1" x14ac:dyDescent="0.25">
      <c r="H8942" s="116"/>
    </row>
    <row r="8943" spans="8:8" ht="15.75" customHeight="1" x14ac:dyDescent="0.25">
      <c r="H8943" s="116"/>
    </row>
    <row r="8944" spans="8:8" ht="15.75" customHeight="1" x14ac:dyDescent="0.25">
      <c r="H8944" s="116"/>
    </row>
    <row r="8945" spans="8:8" ht="15.75" customHeight="1" x14ac:dyDescent="0.25">
      <c r="H8945" s="116"/>
    </row>
    <row r="8946" spans="8:8" ht="15.75" customHeight="1" x14ac:dyDescent="0.25">
      <c r="H8946" s="116"/>
    </row>
    <row r="9695" spans="8:8" ht="15.75" customHeight="1" x14ac:dyDescent="0.25">
      <c r="H9695" s="116"/>
    </row>
    <row r="9696" spans="8:8" ht="15.75" customHeight="1" x14ac:dyDescent="0.25">
      <c r="H9696" s="116"/>
    </row>
    <row r="9697" spans="8:8" ht="15.75" customHeight="1" x14ac:dyDescent="0.25">
      <c r="H9697" s="116"/>
    </row>
    <row r="9698" spans="8:8" ht="15.75" customHeight="1" x14ac:dyDescent="0.25">
      <c r="H9698" s="116"/>
    </row>
    <row r="9699" spans="8:8" ht="15.75" customHeight="1" x14ac:dyDescent="0.25">
      <c r="H9699" s="116"/>
    </row>
    <row r="9700" spans="8:8" ht="15.75" customHeight="1" x14ac:dyDescent="0.25">
      <c r="H9700" s="116"/>
    </row>
    <row r="9701" spans="8:8" ht="15.75" customHeight="1" x14ac:dyDescent="0.25">
      <c r="H9701" s="116"/>
    </row>
    <row r="9702" spans="8:8" ht="15.75" customHeight="1" x14ac:dyDescent="0.25">
      <c r="H9702" s="116"/>
    </row>
    <row r="9703" spans="8:8" ht="15.75" customHeight="1" x14ac:dyDescent="0.25">
      <c r="H9703" s="116"/>
    </row>
    <row r="9704" spans="8:8" ht="15.75" customHeight="1" x14ac:dyDescent="0.25">
      <c r="H9704" s="116"/>
    </row>
    <row r="9705" spans="8:8" ht="15.75" customHeight="1" x14ac:dyDescent="0.25">
      <c r="H9705" s="116"/>
    </row>
    <row r="9706" spans="8:8" ht="15.75" customHeight="1" x14ac:dyDescent="0.25">
      <c r="H9706" s="116"/>
    </row>
    <row r="9707" spans="8:8" ht="15.75" customHeight="1" x14ac:dyDescent="0.25">
      <c r="H9707" s="116"/>
    </row>
    <row r="9708" spans="8:8" ht="15.75" customHeight="1" x14ac:dyDescent="0.25">
      <c r="H9708" s="116"/>
    </row>
    <row r="9709" spans="8:8" ht="15.75" customHeight="1" x14ac:dyDescent="0.25">
      <c r="H9709" s="116"/>
    </row>
    <row r="9710" spans="8:8" ht="15.75" customHeight="1" x14ac:dyDescent="0.25">
      <c r="H9710" s="116"/>
    </row>
    <row r="9711" spans="8:8" ht="15.75" customHeight="1" x14ac:dyDescent="0.25">
      <c r="H9711" s="116"/>
    </row>
    <row r="9712" spans="8:8" ht="15.75" customHeight="1" x14ac:dyDescent="0.25">
      <c r="H9712" s="116"/>
    </row>
    <row r="9713" spans="8:8" ht="15.75" customHeight="1" x14ac:dyDescent="0.25">
      <c r="H9713" s="116"/>
    </row>
    <row r="9714" spans="8:8" ht="15.75" customHeight="1" x14ac:dyDescent="0.25">
      <c r="H9714" s="116"/>
    </row>
    <row r="9715" spans="8:8" ht="15.75" customHeight="1" x14ac:dyDescent="0.25">
      <c r="H9715" s="116"/>
    </row>
    <row r="9716" spans="8:8" ht="15.75" customHeight="1" x14ac:dyDescent="0.25">
      <c r="H9716" s="116"/>
    </row>
    <row r="9717" spans="8:8" ht="15.75" customHeight="1" x14ac:dyDescent="0.25">
      <c r="H9717" s="116"/>
    </row>
    <row r="9718" spans="8:8" ht="15.75" customHeight="1" x14ac:dyDescent="0.25">
      <c r="H9718" s="116"/>
    </row>
    <row r="9719" spans="8:8" ht="15.75" customHeight="1" x14ac:dyDescent="0.25">
      <c r="H9719" s="116"/>
    </row>
    <row r="9720" spans="8:8" ht="15.75" customHeight="1" x14ac:dyDescent="0.25">
      <c r="H9720" s="116"/>
    </row>
    <row r="9721" spans="8:8" ht="15.75" customHeight="1" x14ac:dyDescent="0.25">
      <c r="H9721" s="116"/>
    </row>
    <row r="9722" spans="8:8" ht="15.75" customHeight="1" x14ac:dyDescent="0.25">
      <c r="H9722" s="116"/>
    </row>
    <row r="9723" spans="8:8" ht="15.75" customHeight="1" x14ac:dyDescent="0.25">
      <c r="H9723" s="116"/>
    </row>
    <row r="9724" spans="8:8" ht="15.75" customHeight="1" x14ac:dyDescent="0.25">
      <c r="H9724" s="116"/>
    </row>
    <row r="9725" spans="8:8" ht="15.75" customHeight="1" x14ac:dyDescent="0.25">
      <c r="H9725" s="116"/>
    </row>
    <row r="9726" spans="8:8" ht="15.75" customHeight="1" x14ac:dyDescent="0.25">
      <c r="H9726" s="116"/>
    </row>
    <row r="9727" spans="8:8" ht="15.75" customHeight="1" x14ac:dyDescent="0.25">
      <c r="H9727" s="116"/>
    </row>
    <row r="9728" spans="8:8" ht="15.75" customHeight="1" x14ac:dyDescent="0.25">
      <c r="H9728" s="116"/>
    </row>
    <row r="9729" spans="8:8" ht="15.75" customHeight="1" x14ac:dyDescent="0.25">
      <c r="H9729" s="116"/>
    </row>
    <row r="9730" spans="8:8" ht="15.75" customHeight="1" x14ac:dyDescent="0.25">
      <c r="H9730" s="116"/>
    </row>
    <row r="9731" spans="8:8" ht="15.75" customHeight="1" x14ac:dyDescent="0.25">
      <c r="H9731" s="116"/>
    </row>
    <row r="9732" spans="8:8" ht="15.75" customHeight="1" x14ac:dyDescent="0.25">
      <c r="H9732" s="116"/>
    </row>
    <row r="9733" spans="8:8" ht="15.75" customHeight="1" x14ac:dyDescent="0.25">
      <c r="H9733" s="116"/>
    </row>
    <row r="9734" spans="8:8" ht="15.75" customHeight="1" x14ac:dyDescent="0.25">
      <c r="H9734" s="116"/>
    </row>
    <row r="9735" spans="8:8" ht="15.75" customHeight="1" x14ac:dyDescent="0.25">
      <c r="H9735" s="116"/>
    </row>
    <row r="9736" spans="8:8" ht="15.75" customHeight="1" x14ac:dyDescent="0.25">
      <c r="H9736" s="116"/>
    </row>
    <row r="9737" spans="8:8" ht="15.75" customHeight="1" x14ac:dyDescent="0.25">
      <c r="H9737" s="116"/>
    </row>
    <row r="9738" spans="8:8" ht="15.75" customHeight="1" x14ac:dyDescent="0.25">
      <c r="H9738" s="116"/>
    </row>
    <row r="9739" spans="8:8" ht="15.75" customHeight="1" x14ac:dyDescent="0.25">
      <c r="H9739" s="116"/>
    </row>
    <row r="9740" spans="8:8" ht="15.75" customHeight="1" x14ac:dyDescent="0.25">
      <c r="H9740" s="116"/>
    </row>
    <row r="9741" spans="8:8" ht="15.75" customHeight="1" x14ac:dyDescent="0.25">
      <c r="H9741" s="116"/>
    </row>
    <row r="9742" spans="8:8" ht="15.75" customHeight="1" x14ac:dyDescent="0.25">
      <c r="H9742" s="116"/>
    </row>
    <row r="9743" spans="8:8" ht="15.75" customHeight="1" x14ac:dyDescent="0.25">
      <c r="H9743" s="116"/>
    </row>
    <row r="9744" spans="8:8" ht="15.75" customHeight="1" x14ac:dyDescent="0.25">
      <c r="H9744" s="116"/>
    </row>
    <row r="9745" spans="8:8" ht="15.75" customHeight="1" x14ac:dyDescent="0.25">
      <c r="H9745" s="116"/>
    </row>
    <row r="9746" spans="8:8" ht="15.75" customHeight="1" x14ac:dyDescent="0.25">
      <c r="H9746" s="116"/>
    </row>
    <row r="9747" spans="8:8" ht="15.75" customHeight="1" x14ac:dyDescent="0.25">
      <c r="H9747" s="116"/>
    </row>
    <row r="9748" spans="8:8" ht="15.75" customHeight="1" x14ac:dyDescent="0.25">
      <c r="H9748" s="116"/>
    </row>
    <row r="9749" spans="8:8" ht="15.75" customHeight="1" x14ac:dyDescent="0.25">
      <c r="H9749" s="116"/>
    </row>
    <row r="9750" spans="8:8" ht="15.75" customHeight="1" x14ac:dyDescent="0.25">
      <c r="H9750" s="116"/>
    </row>
    <row r="9751" spans="8:8" ht="15.75" customHeight="1" x14ac:dyDescent="0.25">
      <c r="H9751" s="116"/>
    </row>
    <row r="9752" spans="8:8" ht="15.75" customHeight="1" x14ac:dyDescent="0.25">
      <c r="H9752" s="116"/>
    </row>
    <row r="9753" spans="8:8" ht="15.75" customHeight="1" x14ac:dyDescent="0.25">
      <c r="H9753" s="116"/>
    </row>
    <row r="9754" spans="8:8" ht="15.75" customHeight="1" x14ac:dyDescent="0.25">
      <c r="H9754" s="116"/>
    </row>
    <row r="9755" spans="8:8" ht="15.75" customHeight="1" x14ac:dyDescent="0.25">
      <c r="H9755" s="116"/>
    </row>
    <row r="9756" spans="8:8" ht="15.75" customHeight="1" x14ac:dyDescent="0.25">
      <c r="H9756" s="116"/>
    </row>
    <row r="9757" spans="8:8" ht="15.75" customHeight="1" x14ac:dyDescent="0.25">
      <c r="H9757" s="116"/>
    </row>
    <row r="9758" spans="8:8" ht="15.75" customHeight="1" x14ac:dyDescent="0.25">
      <c r="H9758" s="116"/>
    </row>
    <row r="9759" spans="8:8" ht="15.75" customHeight="1" x14ac:dyDescent="0.25">
      <c r="H9759" s="116"/>
    </row>
    <row r="9760" spans="8:8" ht="15.75" customHeight="1" x14ac:dyDescent="0.25">
      <c r="H9760" s="116"/>
    </row>
    <row r="9761" spans="8:8" ht="15.75" customHeight="1" x14ac:dyDescent="0.25">
      <c r="H9761" s="116"/>
    </row>
    <row r="9762" spans="8:8" ht="15.75" customHeight="1" x14ac:dyDescent="0.25">
      <c r="H9762" s="116"/>
    </row>
    <row r="9763" spans="8:8" ht="15.75" customHeight="1" x14ac:dyDescent="0.25">
      <c r="H9763" s="116"/>
    </row>
    <row r="9764" spans="8:8" ht="15.75" customHeight="1" x14ac:dyDescent="0.25">
      <c r="H9764" s="116"/>
    </row>
    <row r="9765" spans="8:8" ht="15.75" customHeight="1" x14ac:dyDescent="0.25">
      <c r="H9765" s="116"/>
    </row>
    <row r="9766" spans="8:8" ht="15.75" customHeight="1" x14ac:dyDescent="0.25">
      <c r="H9766" s="116"/>
    </row>
    <row r="9767" spans="8:8" ht="15.75" customHeight="1" x14ac:dyDescent="0.25">
      <c r="H9767" s="116"/>
    </row>
    <row r="9768" spans="8:8" ht="15.75" customHeight="1" x14ac:dyDescent="0.25">
      <c r="H9768" s="116"/>
    </row>
    <row r="9769" spans="8:8" ht="15.75" customHeight="1" x14ac:dyDescent="0.25">
      <c r="H9769" s="116"/>
    </row>
    <row r="9770" spans="8:8" ht="15.75" customHeight="1" x14ac:dyDescent="0.25">
      <c r="H9770" s="116"/>
    </row>
    <row r="9771" spans="8:8" ht="15.75" customHeight="1" x14ac:dyDescent="0.25">
      <c r="H9771" s="116"/>
    </row>
    <row r="9772" spans="8:8" ht="15.75" customHeight="1" x14ac:dyDescent="0.25">
      <c r="H9772" s="116"/>
    </row>
    <row r="9773" spans="8:8" ht="15.75" customHeight="1" x14ac:dyDescent="0.25">
      <c r="H9773" s="116"/>
    </row>
    <row r="9774" spans="8:8" ht="15.75" customHeight="1" x14ac:dyDescent="0.25">
      <c r="H9774" s="116"/>
    </row>
    <row r="9775" spans="8:8" ht="15.75" customHeight="1" x14ac:dyDescent="0.25">
      <c r="H9775" s="116"/>
    </row>
    <row r="9776" spans="8:8" ht="15.75" customHeight="1" x14ac:dyDescent="0.25">
      <c r="H9776" s="116"/>
    </row>
    <row r="9777" spans="8:8" ht="15.75" customHeight="1" x14ac:dyDescent="0.25">
      <c r="H9777" s="116"/>
    </row>
    <row r="9778" spans="8:8" ht="15.75" customHeight="1" x14ac:dyDescent="0.25">
      <c r="H9778" s="116"/>
    </row>
    <row r="9779" spans="8:8" ht="15.75" customHeight="1" x14ac:dyDescent="0.25">
      <c r="H9779" s="116"/>
    </row>
    <row r="9780" spans="8:8" ht="15.75" customHeight="1" x14ac:dyDescent="0.25">
      <c r="H9780" s="116"/>
    </row>
    <row r="9781" spans="8:8" ht="15.75" customHeight="1" x14ac:dyDescent="0.25">
      <c r="H9781" s="116"/>
    </row>
    <row r="9782" spans="8:8" ht="15.75" customHeight="1" x14ac:dyDescent="0.25">
      <c r="H9782" s="116"/>
    </row>
    <row r="9783" spans="8:8" ht="15.75" customHeight="1" x14ac:dyDescent="0.25">
      <c r="H9783" s="116"/>
    </row>
    <row r="9784" spans="8:8" ht="15.75" customHeight="1" x14ac:dyDescent="0.25">
      <c r="H9784" s="116"/>
    </row>
    <row r="9785" spans="8:8" ht="15.75" customHeight="1" x14ac:dyDescent="0.25">
      <c r="H9785" s="116"/>
    </row>
    <row r="9786" spans="8:8" ht="15.75" customHeight="1" x14ac:dyDescent="0.25">
      <c r="H9786" s="116"/>
    </row>
    <row r="9787" spans="8:8" ht="15.75" customHeight="1" x14ac:dyDescent="0.25">
      <c r="H9787" s="116"/>
    </row>
    <row r="9788" spans="8:8" ht="15.75" customHeight="1" x14ac:dyDescent="0.25">
      <c r="H9788" s="116"/>
    </row>
    <row r="9789" spans="8:8" ht="15.75" customHeight="1" x14ac:dyDescent="0.25">
      <c r="H9789" s="116"/>
    </row>
    <row r="9790" spans="8:8" ht="15.75" customHeight="1" x14ac:dyDescent="0.25">
      <c r="H9790" s="116"/>
    </row>
    <row r="9791" spans="8:8" ht="15.75" customHeight="1" x14ac:dyDescent="0.25">
      <c r="H9791" s="116"/>
    </row>
    <row r="9792" spans="8:8" ht="15.75" customHeight="1" x14ac:dyDescent="0.25">
      <c r="H9792" s="116"/>
    </row>
    <row r="9793" spans="8:8" ht="15.75" customHeight="1" x14ac:dyDescent="0.25">
      <c r="H9793" s="116"/>
    </row>
    <row r="9794" spans="8:8" ht="15.75" customHeight="1" x14ac:dyDescent="0.25">
      <c r="H9794" s="116"/>
    </row>
    <row r="9795" spans="8:8" ht="15.75" customHeight="1" x14ac:dyDescent="0.25">
      <c r="H9795" s="116"/>
    </row>
    <row r="9796" spans="8:8" ht="15.75" customHeight="1" x14ac:dyDescent="0.25">
      <c r="H9796" s="116"/>
    </row>
    <row r="9797" spans="8:8" ht="15.75" customHeight="1" x14ac:dyDescent="0.25">
      <c r="H9797" s="116"/>
    </row>
    <row r="9798" spans="8:8" ht="15.75" customHeight="1" x14ac:dyDescent="0.25">
      <c r="H9798" s="116"/>
    </row>
    <row r="9799" spans="8:8" ht="15.75" customHeight="1" x14ac:dyDescent="0.25">
      <c r="H9799" s="116"/>
    </row>
    <row r="9800" spans="8:8" ht="15.75" customHeight="1" x14ac:dyDescent="0.25">
      <c r="H9800" s="116"/>
    </row>
    <row r="9801" spans="8:8" ht="15.75" customHeight="1" x14ac:dyDescent="0.25">
      <c r="H9801" s="116"/>
    </row>
    <row r="9802" spans="8:8" ht="15.75" customHeight="1" x14ac:dyDescent="0.25">
      <c r="H9802" s="116"/>
    </row>
    <row r="9803" spans="8:8" ht="15.75" customHeight="1" x14ac:dyDescent="0.25">
      <c r="H9803" s="116"/>
    </row>
    <row r="9804" spans="8:8" ht="15.75" customHeight="1" x14ac:dyDescent="0.25">
      <c r="H9804" s="116"/>
    </row>
    <row r="9805" spans="8:8" ht="15.75" customHeight="1" x14ac:dyDescent="0.25">
      <c r="H9805" s="116"/>
    </row>
    <row r="9806" spans="8:8" ht="15.75" customHeight="1" x14ac:dyDescent="0.25">
      <c r="H9806" s="116"/>
    </row>
    <row r="9807" spans="8:8" ht="15.75" customHeight="1" x14ac:dyDescent="0.25">
      <c r="H9807" s="116"/>
    </row>
    <row r="9808" spans="8:8" ht="15.75" customHeight="1" x14ac:dyDescent="0.25">
      <c r="H9808" s="116"/>
    </row>
    <row r="9809" spans="8:8" ht="15.75" customHeight="1" x14ac:dyDescent="0.25">
      <c r="H9809" s="116"/>
    </row>
    <row r="9810" spans="8:8" ht="15.75" customHeight="1" x14ac:dyDescent="0.25">
      <c r="H9810" s="116"/>
    </row>
    <row r="9811" spans="8:8" ht="15.75" customHeight="1" x14ac:dyDescent="0.25">
      <c r="H9811" s="116"/>
    </row>
    <row r="9812" spans="8:8" ht="15.75" customHeight="1" x14ac:dyDescent="0.25">
      <c r="H9812" s="116"/>
    </row>
    <row r="9813" spans="8:8" ht="15.75" customHeight="1" x14ac:dyDescent="0.25">
      <c r="H9813" s="116"/>
    </row>
    <row r="9814" spans="8:8" ht="15.75" customHeight="1" x14ac:dyDescent="0.25">
      <c r="H9814" s="116"/>
    </row>
    <row r="9815" spans="8:8" ht="15.75" customHeight="1" x14ac:dyDescent="0.25">
      <c r="H9815" s="116"/>
    </row>
    <row r="9816" spans="8:8" ht="15.75" customHeight="1" x14ac:dyDescent="0.25">
      <c r="H9816" s="116"/>
    </row>
    <row r="9817" spans="8:8" ht="15.75" customHeight="1" x14ac:dyDescent="0.25">
      <c r="H9817" s="116"/>
    </row>
    <row r="9818" spans="8:8" ht="15.75" customHeight="1" x14ac:dyDescent="0.25">
      <c r="H9818" s="116"/>
    </row>
    <row r="9819" spans="8:8" ht="15.75" customHeight="1" x14ac:dyDescent="0.25">
      <c r="H9819" s="116"/>
    </row>
    <row r="9820" spans="8:8" ht="15.75" customHeight="1" x14ac:dyDescent="0.25">
      <c r="H9820" s="116"/>
    </row>
    <row r="9821" spans="8:8" ht="15.75" customHeight="1" x14ac:dyDescent="0.25">
      <c r="H9821" s="116"/>
    </row>
    <row r="9822" spans="8:8" ht="15.75" customHeight="1" x14ac:dyDescent="0.25">
      <c r="H9822" s="116"/>
    </row>
    <row r="9823" spans="8:8" ht="15.75" customHeight="1" x14ac:dyDescent="0.25">
      <c r="H9823" s="116"/>
    </row>
    <row r="9824" spans="8:8" ht="15.75" customHeight="1" x14ac:dyDescent="0.25">
      <c r="H9824" s="116"/>
    </row>
    <row r="9825" spans="8:8" ht="15.75" customHeight="1" x14ac:dyDescent="0.25">
      <c r="H9825" s="116"/>
    </row>
    <row r="9826" spans="8:8" ht="15.75" customHeight="1" x14ac:dyDescent="0.25">
      <c r="H9826" s="116"/>
    </row>
    <row r="9827" spans="8:8" ht="15.75" customHeight="1" x14ac:dyDescent="0.25">
      <c r="H9827" s="116"/>
    </row>
    <row r="9828" spans="8:8" ht="15.75" customHeight="1" x14ac:dyDescent="0.25">
      <c r="H9828" s="116"/>
    </row>
    <row r="9829" spans="8:8" ht="15.75" customHeight="1" x14ac:dyDescent="0.25">
      <c r="H9829" s="116"/>
    </row>
    <row r="9830" spans="8:8" ht="15.75" customHeight="1" x14ac:dyDescent="0.25">
      <c r="H9830" s="116"/>
    </row>
    <row r="9831" spans="8:8" ht="15.75" customHeight="1" x14ac:dyDescent="0.25">
      <c r="H9831" s="116"/>
    </row>
    <row r="9832" spans="8:8" ht="15.75" customHeight="1" x14ac:dyDescent="0.25">
      <c r="H9832" s="116"/>
    </row>
    <row r="9833" spans="8:8" ht="15.75" customHeight="1" x14ac:dyDescent="0.25">
      <c r="H9833" s="116"/>
    </row>
    <row r="9834" spans="8:8" ht="15.75" customHeight="1" x14ac:dyDescent="0.25">
      <c r="H9834" s="116"/>
    </row>
    <row r="9835" spans="8:8" ht="15.75" customHeight="1" x14ac:dyDescent="0.25">
      <c r="H9835" s="116"/>
    </row>
    <row r="9836" spans="8:8" ht="15.75" customHeight="1" x14ac:dyDescent="0.25">
      <c r="H9836" s="116"/>
    </row>
    <row r="9837" spans="8:8" ht="15.75" customHeight="1" x14ac:dyDescent="0.25">
      <c r="H9837" s="116"/>
    </row>
    <row r="9838" spans="8:8" ht="15.75" customHeight="1" x14ac:dyDescent="0.25">
      <c r="H9838" s="116"/>
    </row>
    <row r="9839" spans="8:8" ht="15.75" customHeight="1" x14ac:dyDescent="0.25">
      <c r="H9839" s="116"/>
    </row>
    <row r="9840" spans="8:8" ht="15.75" customHeight="1" x14ac:dyDescent="0.25">
      <c r="H9840" s="116"/>
    </row>
    <row r="9841" spans="8:8" ht="15.75" customHeight="1" x14ac:dyDescent="0.25">
      <c r="H9841" s="116"/>
    </row>
    <row r="9842" spans="8:8" ht="15.75" customHeight="1" x14ac:dyDescent="0.25">
      <c r="H9842" s="116"/>
    </row>
    <row r="9843" spans="8:8" ht="15.75" customHeight="1" x14ac:dyDescent="0.25">
      <c r="H9843" s="116"/>
    </row>
    <row r="9844" spans="8:8" ht="15.75" customHeight="1" x14ac:dyDescent="0.25">
      <c r="H9844" s="116"/>
    </row>
    <row r="9845" spans="8:8" ht="15.75" customHeight="1" x14ac:dyDescent="0.25">
      <c r="H9845" s="116"/>
    </row>
    <row r="9846" spans="8:8" ht="15.75" customHeight="1" x14ac:dyDescent="0.25">
      <c r="H9846" s="116"/>
    </row>
    <row r="9847" spans="8:8" ht="15.75" customHeight="1" x14ac:dyDescent="0.25">
      <c r="H9847" s="116"/>
    </row>
    <row r="9848" spans="8:8" ht="15.75" customHeight="1" x14ac:dyDescent="0.25">
      <c r="H9848" s="116"/>
    </row>
    <row r="9849" spans="8:8" ht="15.75" customHeight="1" x14ac:dyDescent="0.25">
      <c r="H9849" s="116"/>
    </row>
    <row r="9850" spans="8:8" ht="15.75" customHeight="1" x14ac:dyDescent="0.25">
      <c r="H9850" s="116"/>
    </row>
    <row r="9851" spans="8:8" ht="15.75" customHeight="1" x14ac:dyDescent="0.25">
      <c r="H9851" s="116"/>
    </row>
    <row r="9852" spans="8:8" ht="15.75" customHeight="1" x14ac:dyDescent="0.25">
      <c r="H9852" s="116"/>
    </row>
    <row r="9853" spans="8:8" ht="15.75" customHeight="1" x14ac:dyDescent="0.25">
      <c r="H9853" s="116"/>
    </row>
    <row r="9854" spans="8:8" ht="15.75" customHeight="1" x14ac:dyDescent="0.25">
      <c r="H9854" s="116"/>
    </row>
    <row r="9855" spans="8:8" ht="15.75" customHeight="1" x14ac:dyDescent="0.25">
      <c r="H9855" s="116"/>
    </row>
    <row r="9856" spans="8:8" ht="15.75" customHeight="1" x14ac:dyDescent="0.25">
      <c r="H9856" s="116"/>
    </row>
    <row r="9857" spans="8:8" ht="15.75" customHeight="1" x14ac:dyDescent="0.25">
      <c r="H9857" s="116"/>
    </row>
    <row r="9858" spans="8:8" ht="15.75" customHeight="1" x14ac:dyDescent="0.25">
      <c r="H9858" s="116"/>
    </row>
    <row r="9859" spans="8:8" ht="15.75" customHeight="1" x14ac:dyDescent="0.25">
      <c r="H9859" s="116"/>
    </row>
    <row r="9860" spans="8:8" ht="15.75" customHeight="1" x14ac:dyDescent="0.25">
      <c r="H9860" s="116"/>
    </row>
    <row r="9861" spans="8:8" ht="15.75" customHeight="1" x14ac:dyDescent="0.25">
      <c r="H9861" s="116"/>
    </row>
    <row r="9862" spans="8:8" ht="15.75" customHeight="1" x14ac:dyDescent="0.25">
      <c r="H9862" s="116"/>
    </row>
    <row r="9863" spans="8:8" ht="15.75" customHeight="1" x14ac:dyDescent="0.25">
      <c r="H9863" s="116"/>
    </row>
    <row r="9864" spans="8:8" ht="15.75" customHeight="1" x14ac:dyDescent="0.25">
      <c r="H9864" s="116"/>
    </row>
    <row r="9865" spans="8:8" ht="15.75" customHeight="1" x14ac:dyDescent="0.25">
      <c r="H9865" s="116"/>
    </row>
    <row r="9866" spans="8:8" ht="15.75" customHeight="1" x14ac:dyDescent="0.25">
      <c r="H9866" s="116"/>
    </row>
    <row r="9867" spans="8:8" ht="15.75" customHeight="1" x14ac:dyDescent="0.25">
      <c r="H9867" s="116"/>
    </row>
    <row r="9868" spans="8:8" ht="15.75" customHeight="1" x14ac:dyDescent="0.25">
      <c r="H9868" s="116"/>
    </row>
    <row r="9869" spans="8:8" ht="15.75" customHeight="1" x14ac:dyDescent="0.25">
      <c r="H9869" s="116"/>
    </row>
    <row r="9870" spans="8:8" ht="15.75" customHeight="1" x14ac:dyDescent="0.25">
      <c r="H9870" s="116"/>
    </row>
    <row r="9871" spans="8:8" ht="15.75" customHeight="1" x14ac:dyDescent="0.25">
      <c r="H9871" s="116"/>
    </row>
    <row r="9872" spans="8:8" ht="15.75" customHeight="1" x14ac:dyDescent="0.25">
      <c r="H9872" s="116"/>
    </row>
    <row r="9873" spans="8:8" ht="15.75" customHeight="1" x14ac:dyDescent="0.25">
      <c r="H9873" s="116"/>
    </row>
    <row r="9874" spans="8:8" ht="15.75" customHeight="1" x14ac:dyDescent="0.25">
      <c r="H9874" s="116"/>
    </row>
    <row r="9875" spans="8:8" ht="15.75" customHeight="1" x14ac:dyDescent="0.25">
      <c r="H9875" s="116"/>
    </row>
    <row r="9876" spans="8:8" ht="15.75" customHeight="1" x14ac:dyDescent="0.25">
      <c r="H9876" s="116"/>
    </row>
    <row r="9877" spans="8:8" ht="15.75" customHeight="1" x14ac:dyDescent="0.25">
      <c r="H9877" s="116"/>
    </row>
    <row r="9878" spans="8:8" ht="15.75" customHeight="1" x14ac:dyDescent="0.25">
      <c r="H9878" s="116"/>
    </row>
    <row r="9879" spans="8:8" ht="15.75" customHeight="1" x14ac:dyDescent="0.25">
      <c r="H9879" s="116"/>
    </row>
    <row r="9880" spans="8:8" ht="15.75" customHeight="1" x14ac:dyDescent="0.25">
      <c r="H9880" s="116"/>
    </row>
    <row r="9881" spans="8:8" ht="15.75" customHeight="1" x14ac:dyDescent="0.25">
      <c r="H9881" s="116"/>
    </row>
    <row r="9882" spans="8:8" ht="15.75" customHeight="1" x14ac:dyDescent="0.25">
      <c r="H9882" s="116"/>
    </row>
    <row r="9883" spans="8:8" ht="15.75" customHeight="1" x14ac:dyDescent="0.25">
      <c r="H9883" s="116"/>
    </row>
    <row r="9884" spans="8:8" ht="15.75" customHeight="1" x14ac:dyDescent="0.25">
      <c r="H9884" s="116"/>
    </row>
    <row r="9885" spans="8:8" ht="15.75" customHeight="1" x14ac:dyDescent="0.25">
      <c r="H9885" s="116"/>
    </row>
    <row r="9886" spans="8:8" ht="15.75" customHeight="1" x14ac:dyDescent="0.25">
      <c r="H9886" s="116"/>
    </row>
    <row r="9887" spans="8:8" ht="15.75" customHeight="1" x14ac:dyDescent="0.25">
      <c r="H9887" s="116"/>
    </row>
    <row r="9888" spans="8:8" ht="15.75" customHeight="1" x14ac:dyDescent="0.25">
      <c r="H9888" s="116"/>
    </row>
    <row r="9889" spans="8:8" ht="15.75" customHeight="1" x14ac:dyDescent="0.25">
      <c r="H9889" s="116"/>
    </row>
    <row r="9890" spans="8:8" ht="15.75" customHeight="1" x14ac:dyDescent="0.25">
      <c r="H9890" s="116"/>
    </row>
    <row r="9891" spans="8:8" ht="15.75" customHeight="1" x14ac:dyDescent="0.25">
      <c r="H9891" s="116"/>
    </row>
    <row r="9892" spans="8:8" ht="15.75" customHeight="1" x14ac:dyDescent="0.25">
      <c r="H9892" s="116"/>
    </row>
    <row r="9893" spans="8:8" ht="15.75" customHeight="1" x14ac:dyDescent="0.25">
      <c r="H9893" s="116"/>
    </row>
    <row r="9894" spans="8:8" ht="15.75" customHeight="1" x14ac:dyDescent="0.25">
      <c r="H9894" s="116"/>
    </row>
    <row r="9895" spans="8:8" ht="15.75" customHeight="1" x14ac:dyDescent="0.25">
      <c r="H9895" s="116"/>
    </row>
    <row r="9896" spans="8:8" ht="15.75" customHeight="1" x14ac:dyDescent="0.25">
      <c r="H9896" s="116"/>
    </row>
    <row r="9897" spans="8:8" ht="15.75" customHeight="1" x14ac:dyDescent="0.25">
      <c r="H9897" s="116"/>
    </row>
    <row r="9898" spans="8:8" ht="15.75" customHeight="1" x14ac:dyDescent="0.25">
      <c r="H9898" s="116"/>
    </row>
    <row r="9899" spans="8:8" ht="15.75" customHeight="1" x14ac:dyDescent="0.25">
      <c r="H9899" s="116"/>
    </row>
    <row r="9900" spans="8:8" ht="15.75" customHeight="1" x14ac:dyDescent="0.25">
      <c r="H9900" s="116"/>
    </row>
    <row r="9901" spans="8:8" ht="15.75" customHeight="1" x14ac:dyDescent="0.25">
      <c r="H9901" s="116"/>
    </row>
    <row r="9902" spans="8:8" ht="15.75" customHeight="1" x14ac:dyDescent="0.25">
      <c r="H9902" s="116"/>
    </row>
    <row r="9903" spans="8:8" ht="15.75" customHeight="1" x14ac:dyDescent="0.25">
      <c r="H9903" s="116"/>
    </row>
    <row r="9904" spans="8:8" ht="15.75" customHeight="1" x14ac:dyDescent="0.25">
      <c r="H9904" s="116"/>
    </row>
    <row r="9905" spans="8:8" ht="15.75" customHeight="1" x14ac:dyDescent="0.25">
      <c r="H9905" s="116"/>
    </row>
    <row r="9906" spans="8:8" ht="15.75" customHeight="1" x14ac:dyDescent="0.25">
      <c r="H9906" s="116"/>
    </row>
    <row r="9907" spans="8:8" ht="15.75" customHeight="1" x14ac:dyDescent="0.25">
      <c r="H9907" s="116"/>
    </row>
    <row r="9908" spans="8:8" ht="15.75" customHeight="1" x14ac:dyDescent="0.25">
      <c r="H9908" s="116"/>
    </row>
    <row r="9909" spans="8:8" ht="15.75" customHeight="1" x14ac:dyDescent="0.25">
      <c r="H9909" s="116"/>
    </row>
    <row r="9910" spans="8:8" ht="15.75" customHeight="1" x14ac:dyDescent="0.25">
      <c r="H9910" s="116"/>
    </row>
    <row r="9911" spans="8:8" ht="15.75" customHeight="1" x14ac:dyDescent="0.25">
      <c r="H9911" s="116"/>
    </row>
    <row r="9912" spans="8:8" ht="15.75" customHeight="1" x14ac:dyDescent="0.25">
      <c r="H9912" s="116"/>
    </row>
    <row r="9913" spans="8:8" ht="15.75" customHeight="1" x14ac:dyDescent="0.25">
      <c r="H9913" s="116"/>
    </row>
    <row r="9914" spans="8:8" ht="15.75" customHeight="1" x14ac:dyDescent="0.25">
      <c r="H9914" s="116"/>
    </row>
    <row r="9915" spans="8:8" ht="15.75" customHeight="1" x14ac:dyDescent="0.25">
      <c r="H9915" s="116"/>
    </row>
    <row r="9916" spans="8:8" ht="15.75" customHeight="1" x14ac:dyDescent="0.25">
      <c r="H9916" s="116"/>
    </row>
    <row r="9917" spans="8:8" ht="15.75" customHeight="1" x14ac:dyDescent="0.25">
      <c r="H9917" s="116"/>
    </row>
    <row r="9918" spans="8:8" ht="15.75" customHeight="1" x14ac:dyDescent="0.25">
      <c r="H9918" s="116"/>
    </row>
    <row r="9919" spans="8:8" ht="15.75" customHeight="1" x14ac:dyDescent="0.25">
      <c r="H9919" s="116"/>
    </row>
    <row r="9920" spans="8:8" ht="15.75" customHeight="1" x14ac:dyDescent="0.25">
      <c r="H9920" s="116"/>
    </row>
    <row r="9921" spans="8:8" ht="15.75" customHeight="1" x14ac:dyDescent="0.25">
      <c r="H9921" s="116"/>
    </row>
    <row r="9922" spans="8:8" ht="15.75" customHeight="1" x14ac:dyDescent="0.25">
      <c r="H9922" s="116"/>
    </row>
    <row r="9923" spans="8:8" ht="15.75" customHeight="1" x14ac:dyDescent="0.25">
      <c r="H9923" s="116"/>
    </row>
    <row r="9924" spans="8:8" ht="15.75" customHeight="1" x14ac:dyDescent="0.25">
      <c r="H9924" s="116"/>
    </row>
    <row r="9925" spans="8:8" ht="15.75" customHeight="1" x14ac:dyDescent="0.25">
      <c r="H9925" s="116"/>
    </row>
    <row r="9926" spans="8:8" ht="15.75" customHeight="1" x14ac:dyDescent="0.25">
      <c r="H9926" s="116"/>
    </row>
    <row r="9927" spans="8:8" ht="15.75" customHeight="1" x14ac:dyDescent="0.25">
      <c r="H9927" s="116"/>
    </row>
    <row r="9928" spans="8:8" ht="15.75" customHeight="1" x14ac:dyDescent="0.25">
      <c r="H9928" s="116"/>
    </row>
    <row r="9929" spans="8:8" ht="15.75" customHeight="1" x14ac:dyDescent="0.25">
      <c r="H9929" s="116"/>
    </row>
    <row r="9930" spans="8:8" ht="15.75" customHeight="1" x14ac:dyDescent="0.25">
      <c r="H9930" s="116"/>
    </row>
    <row r="9931" spans="8:8" ht="15.75" customHeight="1" x14ac:dyDescent="0.25">
      <c r="H9931" s="116"/>
    </row>
    <row r="9932" spans="8:8" ht="15.75" customHeight="1" x14ac:dyDescent="0.25">
      <c r="H9932" s="116"/>
    </row>
    <row r="9933" spans="8:8" ht="15.75" customHeight="1" x14ac:dyDescent="0.25">
      <c r="H9933" s="116"/>
    </row>
    <row r="9934" spans="8:8" ht="15.75" customHeight="1" x14ac:dyDescent="0.25">
      <c r="H9934" s="116"/>
    </row>
    <row r="9935" spans="8:8" ht="15.75" customHeight="1" x14ac:dyDescent="0.25">
      <c r="H9935" s="116"/>
    </row>
    <row r="9936" spans="8:8" ht="15.75" customHeight="1" x14ac:dyDescent="0.25">
      <c r="H9936" s="116"/>
    </row>
    <row r="9937" spans="8:8" ht="15.75" customHeight="1" x14ac:dyDescent="0.25">
      <c r="H9937" s="116"/>
    </row>
    <row r="9938" spans="8:8" ht="15.75" customHeight="1" x14ac:dyDescent="0.25">
      <c r="H9938" s="116"/>
    </row>
    <row r="9939" spans="8:8" ht="15.75" customHeight="1" x14ac:dyDescent="0.25">
      <c r="H9939" s="116"/>
    </row>
    <row r="9940" spans="8:8" ht="15.75" customHeight="1" x14ac:dyDescent="0.25">
      <c r="H9940" s="116"/>
    </row>
    <row r="9941" spans="8:8" ht="15.75" customHeight="1" x14ac:dyDescent="0.25">
      <c r="H9941" s="116"/>
    </row>
    <row r="9942" spans="8:8" ht="15.75" customHeight="1" x14ac:dyDescent="0.25">
      <c r="H9942" s="116"/>
    </row>
    <row r="9943" spans="8:8" ht="15.75" customHeight="1" x14ac:dyDescent="0.25">
      <c r="H9943" s="116"/>
    </row>
    <row r="9944" spans="8:8" ht="15.75" customHeight="1" x14ac:dyDescent="0.25">
      <c r="H9944" s="116"/>
    </row>
    <row r="9945" spans="8:8" ht="15.75" customHeight="1" x14ac:dyDescent="0.25">
      <c r="H9945" s="116"/>
    </row>
    <row r="9946" spans="8:8" ht="15.75" customHeight="1" x14ac:dyDescent="0.25">
      <c r="H9946" s="116"/>
    </row>
    <row r="9947" spans="8:8" ht="15.75" customHeight="1" x14ac:dyDescent="0.25">
      <c r="H9947" s="116"/>
    </row>
    <row r="9948" spans="8:8" ht="15.75" customHeight="1" x14ac:dyDescent="0.25">
      <c r="H9948" s="116"/>
    </row>
    <row r="9949" spans="8:8" ht="15.75" customHeight="1" x14ac:dyDescent="0.25">
      <c r="H9949" s="116"/>
    </row>
    <row r="9950" spans="8:8" ht="15.75" customHeight="1" x14ac:dyDescent="0.25">
      <c r="H9950" s="116"/>
    </row>
    <row r="9951" spans="8:8" ht="15.75" customHeight="1" x14ac:dyDescent="0.25">
      <c r="H9951" s="116"/>
    </row>
    <row r="9952" spans="8:8" ht="15.75" customHeight="1" x14ac:dyDescent="0.25">
      <c r="H9952" s="116"/>
    </row>
    <row r="9953" spans="8:8" ht="15.75" customHeight="1" x14ac:dyDescent="0.25">
      <c r="H9953" s="116"/>
    </row>
    <row r="9954" spans="8:8" ht="15.75" customHeight="1" x14ac:dyDescent="0.25">
      <c r="H9954" s="116"/>
    </row>
    <row r="9955" spans="8:8" ht="15.75" customHeight="1" x14ac:dyDescent="0.25">
      <c r="H9955" s="116"/>
    </row>
    <row r="9956" spans="8:8" ht="15.75" customHeight="1" x14ac:dyDescent="0.25">
      <c r="H9956" s="116"/>
    </row>
    <row r="9957" spans="8:8" ht="15.75" customHeight="1" x14ac:dyDescent="0.25">
      <c r="H9957" s="116"/>
    </row>
    <row r="9958" spans="8:8" ht="15.75" customHeight="1" x14ac:dyDescent="0.25">
      <c r="H9958" s="116"/>
    </row>
    <row r="9959" spans="8:8" ht="15.75" customHeight="1" x14ac:dyDescent="0.25">
      <c r="H9959" s="116"/>
    </row>
    <row r="9960" spans="8:8" ht="15.75" customHeight="1" x14ac:dyDescent="0.25">
      <c r="H9960" s="116"/>
    </row>
    <row r="9961" spans="8:8" ht="15.75" customHeight="1" x14ac:dyDescent="0.25">
      <c r="H9961" s="116"/>
    </row>
    <row r="9962" spans="8:8" ht="15.75" customHeight="1" x14ac:dyDescent="0.25">
      <c r="H9962" s="116"/>
    </row>
    <row r="9963" spans="8:8" ht="15.75" customHeight="1" x14ac:dyDescent="0.25">
      <c r="H9963" s="116"/>
    </row>
    <row r="9964" spans="8:8" ht="15.75" customHeight="1" x14ac:dyDescent="0.25">
      <c r="H9964" s="116"/>
    </row>
    <row r="9965" spans="8:8" ht="15.75" customHeight="1" x14ac:dyDescent="0.25">
      <c r="H9965" s="116"/>
    </row>
    <row r="9966" spans="8:8" ht="15.75" customHeight="1" x14ac:dyDescent="0.25">
      <c r="H9966" s="116"/>
    </row>
    <row r="9967" spans="8:8" ht="15.75" customHeight="1" x14ac:dyDescent="0.25">
      <c r="H9967" s="116"/>
    </row>
    <row r="9968" spans="8:8" ht="15.75" customHeight="1" x14ac:dyDescent="0.25">
      <c r="H9968" s="116"/>
    </row>
    <row r="9969" spans="8:8" ht="15.75" customHeight="1" x14ac:dyDescent="0.25">
      <c r="H9969" s="116"/>
    </row>
    <row r="9970" spans="8:8" ht="15.75" customHeight="1" x14ac:dyDescent="0.25">
      <c r="H9970" s="116"/>
    </row>
    <row r="9971" spans="8:8" ht="15.75" customHeight="1" x14ac:dyDescent="0.25">
      <c r="H9971" s="116"/>
    </row>
    <row r="9972" spans="8:8" ht="15.75" customHeight="1" x14ac:dyDescent="0.25">
      <c r="H9972" s="116"/>
    </row>
    <row r="9973" spans="8:8" ht="15.75" customHeight="1" x14ac:dyDescent="0.25">
      <c r="H9973" s="116"/>
    </row>
    <row r="9974" spans="8:8" ht="15.75" customHeight="1" x14ac:dyDescent="0.25">
      <c r="H9974" s="116"/>
    </row>
    <row r="9975" spans="8:8" ht="15.75" customHeight="1" x14ac:dyDescent="0.25">
      <c r="H9975" s="116"/>
    </row>
    <row r="9976" spans="8:8" ht="15.75" customHeight="1" x14ac:dyDescent="0.25">
      <c r="H9976" s="116"/>
    </row>
    <row r="9977" spans="8:8" ht="15.75" customHeight="1" x14ac:dyDescent="0.25">
      <c r="H9977" s="116"/>
    </row>
    <row r="9978" spans="8:8" ht="15.75" customHeight="1" x14ac:dyDescent="0.25">
      <c r="H9978" s="116"/>
    </row>
    <row r="9979" spans="8:8" ht="15.75" customHeight="1" x14ac:dyDescent="0.25">
      <c r="H9979" s="116"/>
    </row>
    <row r="9980" spans="8:8" ht="15.75" customHeight="1" x14ac:dyDescent="0.25">
      <c r="H9980" s="116"/>
    </row>
    <row r="9981" spans="8:8" ht="15.75" customHeight="1" x14ac:dyDescent="0.25">
      <c r="H9981" s="116"/>
    </row>
    <row r="9982" spans="8:8" ht="15.75" customHeight="1" x14ac:dyDescent="0.25">
      <c r="H9982" s="116"/>
    </row>
    <row r="9983" spans="8:8" ht="15.75" customHeight="1" x14ac:dyDescent="0.25">
      <c r="H9983" s="116"/>
    </row>
    <row r="9984" spans="8:8" ht="15.75" customHeight="1" x14ac:dyDescent="0.25">
      <c r="H9984" s="116"/>
    </row>
    <row r="9985" spans="8:8" ht="15.75" customHeight="1" x14ac:dyDescent="0.25">
      <c r="H9985" s="116"/>
    </row>
    <row r="9986" spans="8:8" ht="15.75" customHeight="1" x14ac:dyDescent="0.25">
      <c r="H9986" s="116"/>
    </row>
    <row r="9987" spans="8:8" ht="15.75" customHeight="1" x14ac:dyDescent="0.25">
      <c r="H9987" s="116"/>
    </row>
    <row r="9988" spans="8:8" ht="15.75" customHeight="1" x14ac:dyDescent="0.25">
      <c r="H9988" s="116"/>
    </row>
    <row r="9989" spans="8:8" ht="15.75" customHeight="1" x14ac:dyDescent="0.25">
      <c r="H9989" s="116"/>
    </row>
    <row r="9990" spans="8:8" ht="15.75" customHeight="1" x14ac:dyDescent="0.25">
      <c r="H9990" s="116"/>
    </row>
    <row r="9991" spans="8:8" ht="15.75" customHeight="1" x14ac:dyDescent="0.25">
      <c r="H9991" s="116"/>
    </row>
    <row r="9992" spans="8:8" ht="15.75" customHeight="1" x14ac:dyDescent="0.25">
      <c r="H9992" s="116"/>
    </row>
    <row r="9993" spans="8:8" ht="15.75" customHeight="1" x14ac:dyDescent="0.25">
      <c r="H9993" s="116"/>
    </row>
    <row r="9994" spans="8:8" ht="15.75" customHeight="1" x14ac:dyDescent="0.25">
      <c r="H9994" s="116"/>
    </row>
    <row r="9995" spans="8:8" ht="15.75" customHeight="1" x14ac:dyDescent="0.25">
      <c r="H9995" s="116"/>
    </row>
    <row r="9996" spans="8:8" ht="15.75" customHeight="1" x14ac:dyDescent="0.25">
      <c r="H9996" s="116"/>
    </row>
    <row r="9997" spans="8:8" ht="15.75" customHeight="1" x14ac:dyDescent="0.25">
      <c r="H9997" s="116"/>
    </row>
    <row r="9998" spans="8:8" ht="15.75" customHeight="1" x14ac:dyDescent="0.25">
      <c r="H9998" s="116"/>
    </row>
    <row r="9999" spans="8:8" ht="15.75" customHeight="1" x14ac:dyDescent="0.25">
      <c r="H9999" s="116"/>
    </row>
    <row r="10000" spans="8:8" ht="15.75" customHeight="1" x14ac:dyDescent="0.25">
      <c r="H10000" s="116"/>
    </row>
    <row r="10001" spans="8:8" ht="15.75" customHeight="1" x14ac:dyDescent="0.25">
      <c r="H10001" s="116"/>
    </row>
    <row r="10002" spans="8:8" ht="15.75" customHeight="1" x14ac:dyDescent="0.25">
      <c r="H10002" s="116"/>
    </row>
    <row r="10003" spans="8:8" ht="15.75" customHeight="1" x14ac:dyDescent="0.25">
      <c r="H10003" s="116"/>
    </row>
    <row r="10004" spans="8:8" ht="15.75" customHeight="1" x14ac:dyDescent="0.25">
      <c r="H10004" s="116"/>
    </row>
    <row r="10005" spans="8:8" ht="15.75" customHeight="1" x14ac:dyDescent="0.25">
      <c r="H10005" s="116"/>
    </row>
    <row r="10006" spans="8:8" ht="15.75" customHeight="1" x14ac:dyDescent="0.25">
      <c r="H10006" s="116"/>
    </row>
    <row r="10007" spans="8:8" ht="15.75" customHeight="1" x14ac:dyDescent="0.25">
      <c r="H10007" s="116"/>
    </row>
    <row r="10008" spans="8:8" ht="15.75" customHeight="1" x14ac:dyDescent="0.25">
      <c r="H10008" s="116"/>
    </row>
    <row r="10009" spans="8:8" ht="15.75" customHeight="1" x14ac:dyDescent="0.25">
      <c r="H10009" s="116"/>
    </row>
    <row r="10010" spans="8:8" ht="15.75" customHeight="1" x14ac:dyDescent="0.25">
      <c r="H10010" s="116"/>
    </row>
    <row r="10011" spans="8:8" ht="15.75" customHeight="1" x14ac:dyDescent="0.25">
      <c r="H10011" s="116"/>
    </row>
    <row r="10012" spans="8:8" ht="15.75" customHeight="1" x14ac:dyDescent="0.25">
      <c r="H10012" s="116"/>
    </row>
    <row r="10013" spans="8:8" ht="15.75" customHeight="1" x14ac:dyDescent="0.25">
      <c r="H10013" s="116"/>
    </row>
    <row r="10014" spans="8:8" ht="15.75" customHeight="1" x14ac:dyDescent="0.25">
      <c r="H10014" s="116"/>
    </row>
    <row r="10015" spans="8:8" ht="15.75" customHeight="1" x14ac:dyDescent="0.25">
      <c r="H10015" s="116"/>
    </row>
    <row r="10016" spans="8:8" ht="15.75" customHeight="1" x14ac:dyDescent="0.25">
      <c r="H10016" s="116"/>
    </row>
    <row r="10017" spans="8:8" ht="15.75" customHeight="1" x14ac:dyDescent="0.25">
      <c r="H10017" s="116"/>
    </row>
    <row r="10018" spans="8:8" ht="15.75" customHeight="1" x14ac:dyDescent="0.25">
      <c r="H10018" s="116"/>
    </row>
    <row r="10019" spans="8:8" ht="15.75" customHeight="1" x14ac:dyDescent="0.25">
      <c r="H10019" s="116"/>
    </row>
    <row r="10020" spans="8:8" ht="15.75" customHeight="1" x14ac:dyDescent="0.25">
      <c r="H10020" s="116"/>
    </row>
    <row r="10021" spans="8:8" ht="15.75" customHeight="1" x14ac:dyDescent="0.25">
      <c r="H10021" s="116"/>
    </row>
    <row r="10022" spans="8:8" ht="15.75" customHeight="1" x14ac:dyDescent="0.25">
      <c r="H10022" s="116"/>
    </row>
    <row r="10023" spans="8:8" ht="15.75" customHeight="1" x14ac:dyDescent="0.25">
      <c r="H10023" s="116"/>
    </row>
    <row r="10024" spans="8:8" ht="15.75" customHeight="1" x14ac:dyDescent="0.25">
      <c r="H10024" s="116"/>
    </row>
    <row r="10025" spans="8:8" ht="15.75" customHeight="1" x14ac:dyDescent="0.25">
      <c r="H10025" s="116"/>
    </row>
    <row r="10026" spans="8:8" ht="15.75" customHeight="1" x14ac:dyDescent="0.25">
      <c r="H10026" s="116"/>
    </row>
    <row r="10027" spans="8:8" ht="15.75" customHeight="1" x14ac:dyDescent="0.25">
      <c r="H10027" s="116"/>
    </row>
    <row r="10028" spans="8:8" ht="15.75" customHeight="1" x14ac:dyDescent="0.25">
      <c r="H10028" s="116"/>
    </row>
    <row r="10029" spans="8:8" ht="15.75" customHeight="1" x14ac:dyDescent="0.25">
      <c r="H10029" s="116"/>
    </row>
    <row r="10030" spans="8:8" ht="15.75" customHeight="1" x14ac:dyDescent="0.25">
      <c r="H10030" s="116"/>
    </row>
    <row r="10031" spans="8:8" ht="15.75" customHeight="1" x14ac:dyDescent="0.25">
      <c r="H10031" s="116"/>
    </row>
    <row r="10032" spans="8:8" ht="15.75" customHeight="1" x14ac:dyDescent="0.25">
      <c r="H10032" s="116"/>
    </row>
    <row r="10033" spans="8:8" ht="15.75" customHeight="1" x14ac:dyDescent="0.25">
      <c r="H10033" s="116"/>
    </row>
    <row r="10034" spans="8:8" ht="15.75" customHeight="1" x14ac:dyDescent="0.25">
      <c r="H10034" s="116"/>
    </row>
    <row r="10035" spans="8:8" ht="15.75" customHeight="1" x14ac:dyDescent="0.25">
      <c r="H10035" s="116"/>
    </row>
    <row r="10036" spans="8:8" ht="15.75" customHeight="1" x14ac:dyDescent="0.25">
      <c r="H10036" s="116"/>
    </row>
    <row r="10037" spans="8:8" ht="15.75" customHeight="1" x14ac:dyDescent="0.25">
      <c r="H10037" s="116"/>
    </row>
    <row r="10038" spans="8:8" ht="15.75" customHeight="1" x14ac:dyDescent="0.25">
      <c r="H10038" s="116"/>
    </row>
    <row r="10039" spans="8:8" ht="15.75" customHeight="1" x14ac:dyDescent="0.25">
      <c r="H10039" s="116"/>
    </row>
    <row r="10040" spans="8:8" ht="15.75" customHeight="1" x14ac:dyDescent="0.25">
      <c r="H10040" s="116"/>
    </row>
    <row r="10041" spans="8:8" ht="15.75" customHeight="1" x14ac:dyDescent="0.25">
      <c r="H10041" s="116"/>
    </row>
    <row r="10042" spans="8:8" ht="15.75" customHeight="1" x14ac:dyDescent="0.25">
      <c r="H10042" s="116"/>
    </row>
    <row r="10043" spans="8:8" ht="15.75" customHeight="1" x14ac:dyDescent="0.25">
      <c r="H10043" s="116"/>
    </row>
    <row r="10044" spans="8:8" ht="15.75" customHeight="1" x14ac:dyDescent="0.25">
      <c r="H10044" s="116"/>
    </row>
    <row r="10045" spans="8:8" ht="15.75" customHeight="1" x14ac:dyDescent="0.25">
      <c r="H10045" s="116"/>
    </row>
    <row r="10046" spans="8:8" ht="15.75" customHeight="1" x14ac:dyDescent="0.25">
      <c r="H10046" s="116"/>
    </row>
    <row r="10047" spans="8:8" ht="15.75" customHeight="1" x14ac:dyDescent="0.25">
      <c r="H10047" s="116"/>
    </row>
    <row r="10048" spans="8:8" ht="15.75" customHeight="1" x14ac:dyDescent="0.25">
      <c r="H10048" s="116"/>
    </row>
    <row r="10049" spans="8:8" ht="15.75" customHeight="1" x14ac:dyDescent="0.25">
      <c r="H10049" s="116"/>
    </row>
    <row r="10050" spans="8:8" ht="15.75" customHeight="1" x14ac:dyDescent="0.25">
      <c r="H10050" s="116"/>
    </row>
    <row r="10051" spans="8:8" ht="15.75" customHeight="1" x14ac:dyDescent="0.25">
      <c r="H10051" s="116"/>
    </row>
    <row r="10052" spans="8:8" ht="15.75" customHeight="1" x14ac:dyDescent="0.25">
      <c r="H10052" s="116"/>
    </row>
    <row r="10053" spans="8:8" ht="15.75" customHeight="1" x14ac:dyDescent="0.25">
      <c r="H10053" s="116"/>
    </row>
    <row r="10054" spans="8:8" ht="15.75" customHeight="1" x14ac:dyDescent="0.25">
      <c r="H10054" s="116"/>
    </row>
    <row r="10055" spans="8:8" ht="15.75" customHeight="1" x14ac:dyDescent="0.25">
      <c r="H10055" s="116"/>
    </row>
    <row r="10056" spans="8:8" ht="15.75" customHeight="1" x14ac:dyDescent="0.25">
      <c r="H10056" s="116"/>
    </row>
    <row r="10057" spans="8:8" ht="15.75" customHeight="1" x14ac:dyDescent="0.25">
      <c r="H10057" s="116"/>
    </row>
    <row r="10058" spans="8:8" ht="15.75" customHeight="1" x14ac:dyDescent="0.25">
      <c r="H10058" s="116"/>
    </row>
    <row r="10059" spans="8:8" ht="15.75" customHeight="1" x14ac:dyDescent="0.25">
      <c r="H10059" s="116"/>
    </row>
    <row r="10060" spans="8:8" ht="15.75" customHeight="1" x14ac:dyDescent="0.25">
      <c r="H10060" s="116"/>
    </row>
    <row r="10061" spans="8:8" ht="15.75" customHeight="1" x14ac:dyDescent="0.25">
      <c r="H10061" s="116"/>
    </row>
    <row r="10062" spans="8:8" ht="15.75" customHeight="1" x14ac:dyDescent="0.25">
      <c r="H10062" s="116"/>
    </row>
    <row r="10063" spans="8:8" ht="15.75" customHeight="1" x14ac:dyDescent="0.25">
      <c r="H10063" s="116"/>
    </row>
    <row r="10064" spans="8:8" ht="15.75" customHeight="1" x14ac:dyDescent="0.25">
      <c r="H10064" s="116"/>
    </row>
    <row r="10065" spans="8:8" ht="15.75" customHeight="1" x14ac:dyDescent="0.25">
      <c r="H10065" s="116"/>
    </row>
    <row r="10066" spans="8:8" ht="15.75" customHeight="1" x14ac:dyDescent="0.25">
      <c r="H10066" s="116"/>
    </row>
    <row r="10067" spans="8:8" ht="15.75" customHeight="1" x14ac:dyDescent="0.25">
      <c r="H10067" s="116"/>
    </row>
    <row r="10068" spans="8:8" ht="15.75" customHeight="1" x14ac:dyDescent="0.25">
      <c r="H10068" s="116"/>
    </row>
    <row r="10069" spans="8:8" ht="15.75" customHeight="1" x14ac:dyDescent="0.25">
      <c r="H10069" s="116"/>
    </row>
    <row r="10070" spans="8:8" ht="15.75" customHeight="1" x14ac:dyDescent="0.25">
      <c r="H10070" s="116"/>
    </row>
    <row r="10071" spans="8:8" ht="15.75" customHeight="1" x14ac:dyDescent="0.25">
      <c r="H10071" s="116"/>
    </row>
    <row r="10072" spans="8:8" ht="15.75" customHeight="1" x14ac:dyDescent="0.25">
      <c r="H10072" s="116"/>
    </row>
    <row r="10073" spans="8:8" ht="15.75" customHeight="1" x14ac:dyDescent="0.25">
      <c r="H10073" s="116"/>
    </row>
    <row r="10074" spans="8:8" ht="15.75" customHeight="1" x14ac:dyDescent="0.25">
      <c r="H10074" s="116"/>
    </row>
    <row r="10075" spans="8:8" ht="15.75" customHeight="1" x14ac:dyDescent="0.25">
      <c r="H10075" s="116"/>
    </row>
    <row r="10076" spans="8:8" ht="15.75" customHeight="1" x14ac:dyDescent="0.25">
      <c r="H10076" s="116"/>
    </row>
    <row r="10077" spans="8:8" ht="15.75" customHeight="1" x14ac:dyDescent="0.25">
      <c r="H10077" s="116"/>
    </row>
    <row r="10078" spans="8:8" ht="15.75" customHeight="1" x14ac:dyDescent="0.25">
      <c r="H10078" s="116"/>
    </row>
    <row r="10079" spans="8:8" ht="15.75" customHeight="1" x14ac:dyDescent="0.25">
      <c r="H10079" s="116"/>
    </row>
    <row r="10080" spans="8:8" ht="15.75" customHeight="1" x14ac:dyDescent="0.25">
      <c r="H10080" s="116"/>
    </row>
    <row r="10081" spans="8:8" ht="15.75" customHeight="1" x14ac:dyDescent="0.25">
      <c r="H10081" s="116"/>
    </row>
    <row r="10082" spans="8:8" ht="15.75" customHeight="1" x14ac:dyDescent="0.25">
      <c r="H10082" s="116"/>
    </row>
    <row r="10083" spans="8:8" ht="15.75" customHeight="1" x14ac:dyDescent="0.25">
      <c r="H10083" s="116"/>
    </row>
    <row r="10084" spans="8:8" ht="15.75" customHeight="1" x14ac:dyDescent="0.25">
      <c r="H10084" s="116"/>
    </row>
    <row r="10085" spans="8:8" ht="15.75" customHeight="1" x14ac:dyDescent="0.25">
      <c r="H10085" s="116"/>
    </row>
    <row r="10086" spans="8:8" ht="15.75" customHeight="1" x14ac:dyDescent="0.25">
      <c r="H10086" s="116"/>
    </row>
    <row r="10087" spans="8:8" ht="15.75" customHeight="1" x14ac:dyDescent="0.25">
      <c r="H10087" s="116"/>
    </row>
    <row r="10088" spans="8:8" ht="15.75" customHeight="1" x14ac:dyDescent="0.25">
      <c r="H10088" s="116"/>
    </row>
    <row r="10089" spans="8:8" ht="15.75" customHeight="1" x14ac:dyDescent="0.25">
      <c r="H10089" s="116"/>
    </row>
    <row r="10090" spans="8:8" ht="15.75" customHeight="1" x14ac:dyDescent="0.25">
      <c r="H10090" s="116"/>
    </row>
    <row r="10091" spans="8:8" ht="15.75" customHeight="1" x14ac:dyDescent="0.25">
      <c r="H10091" s="116"/>
    </row>
    <row r="10092" spans="8:8" ht="15.75" customHeight="1" x14ac:dyDescent="0.25">
      <c r="H10092" s="116"/>
    </row>
    <row r="10093" spans="8:8" ht="15.75" customHeight="1" x14ac:dyDescent="0.25">
      <c r="H10093" s="116"/>
    </row>
    <row r="10094" spans="8:8" ht="15.75" customHeight="1" x14ac:dyDescent="0.25">
      <c r="H10094" s="116"/>
    </row>
    <row r="10095" spans="8:8" ht="15.75" customHeight="1" x14ac:dyDescent="0.25">
      <c r="H10095" s="116"/>
    </row>
    <row r="10096" spans="8:8" ht="15.75" customHeight="1" x14ac:dyDescent="0.25">
      <c r="H10096" s="116"/>
    </row>
    <row r="10097" spans="8:8" ht="15.75" customHeight="1" x14ac:dyDescent="0.25">
      <c r="H10097" s="116"/>
    </row>
    <row r="10098" spans="8:8" ht="15.75" customHeight="1" x14ac:dyDescent="0.25">
      <c r="H10098" s="116"/>
    </row>
    <row r="10099" spans="8:8" ht="15.75" customHeight="1" x14ac:dyDescent="0.25">
      <c r="H10099" s="116"/>
    </row>
    <row r="10100" spans="8:8" ht="15.75" customHeight="1" x14ac:dyDescent="0.25">
      <c r="H10100" s="116"/>
    </row>
    <row r="10101" spans="8:8" ht="15.75" customHeight="1" x14ac:dyDescent="0.25">
      <c r="H10101" s="116"/>
    </row>
    <row r="10102" spans="8:8" ht="15.75" customHeight="1" x14ac:dyDescent="0.25">
      <c r="H10102" s="116"/>
    </row>
    <row r="10103" spans="8:8" ht="15.75" customHeight="1" x14ac:dyDescent="0.25">
      <c r="H10103" s="116"/>
    </row>
    <row r="10104" spans="8:8" ht="15.75" customHeight="1" x14ac:dyDescent="0.25">
      <c r="H10104" s="116"/>
    </row>
    <row r="10105" spans="8:8" ht="15.75" customHeight="1" x14ac:dyDescent="0.25">
      <c r="H10105" s="116"/>
    </row>
    <row r="10106" spans="8:8" ht="15.75" customHeight="1" x14ac:dyDescent="0.25">
      <c r="H10106" s="116"/>
    </row>
    <row r="10107" spans="8:8" ht="15.75" customHeight="1" x14ac:dyDescent="0.25">
      <c r="H10107" s="116"/>
    </row>
    <row r="10108" spans="8:8" ht="15.75" customHeight="1" x14ac:dyDescent="0.25">
      <c r="H10108" s="116"/>
    </row>
    <row r="10109" spans="8:8" ht="15.75" customHeight="1" x14ac:dyDescent="0.25">
      <c r="H10109" s="116"/>
    </row>
    <row r="10110" spans="8:8" ht="15.75" customHeight="1" x14ac:dyDescent="0.25">
      <c r="H10110" s="116"/>
    </row>
    <row r="10111" spans="8:8" ht="15.75" customHeight="1" x14ac:dyDescent="0.25">
      <c r="H10111" s="116"/>
    </row>
    <row r="10112" spans="8:8" ht="15.75" customHeight="1" x14ac:dyDescent="0.25">
      <c r="H10112" s="116"/>
    </row>
    <row r="10113" spans="8:8" ht="15.75" customHeight="1" x14ac:dyDescent="0.25">
      <c r="H10113" s="116"/>
    </row>
    <row r="10114" spans="8:8" ht="15.75" customHeight="1" x14ac:dyDescent="0.25">
      <c r="H10114" s="116"/>
    </row>
    <row r="10115" spans="8:8" ht="15.75" customHeight="1" x14ac:dyDescent="0.25">
      <c r="H10115" s="116"/>
    </row>
    <row r="10116" spans="8:8" ht="15.75" customHeight="1" x14ac:dyDescent="0.25">
      <c r="H10116" s="116"/>
    </row>
    <row r="10117" spans="8:8" ht="15.75" customHeight="1" x14ac:dyDescent="0.25">
      <c r="H10117" s="116"/>
    </row>
    <row r="10118" spans="8:8" ht="15.75" customHeight="1" x14ac:dyDescent="0.25">
      <c r="H10118" s="116"/>
    </row>
    <row r="10119" spans="8:8" ht="15.75" customHeight="1" x14ac:dyDescent="0.25">
      <c r="H10119" s="116"/>
    </row>
    <row r="10120" spans="8:8" ht="15.75" customHeight="1" x14ac:dyDescent="0.25">
      <c r="H10120" s="116"/>
    </row>
    <row r="10121" spans="8:8" ht="15.75" customHeight="1" x14ac:dyDescent="0.25">
      <c r="H10121" s="116"/>
    </row>
    <row r="10122" spans="8:8" ht="15.75" customHeight="1" x14ac:dyDescent="0.25">
      <c r="H10122" s="116"/>
    </row>
    <row r="10123" spans="8:8" ht="15.75" customHeight="1" x14ac:dyDescent="0.25">
      <c r="H10123" s="116"/>
    </row>
    <row r="10124" spans="8:8" ht="15.75" customHeight="1" x14ac:dyDescent="0.25">
      <c r="H10124" s="116"/>
    </row>
    <row r="10125" spans="8:8" ht="15.75" customHeight="1" x14ac:dyDescent="0.25">
      <c r="H10125" s="116"/>
    </row>
    <row r="10126" spans="8:8" ht="15.75" customHeight="1" x14ac:dyDescent="0.25">
      <c r="H10126" s="116"/>
    </row>
    <row r="10127" spans="8:8" ht="15.75" customHeight="1" x14ac:dyDescent="0.25">
      <c r="H10127" s="116"/>
    </row>
    <row r="10128" spans="8:8" ht="15.75" customHeight="1" x14ac:dyDescent="0.25">
      <c r="H10128" s="116"/>
    </row>
    <row r="10129" spans="8:8" ht="15.75" customHeight="1" x14ac:dyDescent="0.25">
      <c r="H10129" s="116"/>
    </row>
    <row r="10130" spans="8:8" ht="15.75" customHeight="1" x14ac:dyDescent="0.25">
      <c r="H10130" s="116"/>
    </row>
    <row r="10131" spans="8:8" ht="15.75" customHeight="1" x14ac:dyDescent="0.25">
      <c r="H10131" s="116"/>
    </row>
    <row r="10132" spans="8:8" ht="15.75" customHeight="1" x14ac:dyDescent="0.25">
      <c r="H10132" s="116"/>
    </row>
    <row r="10133" spans="8:8" ht="15.75" customHeight="1" x14ac:dyDescent="0.25">
      <c r="H10133" s="116"/>
    </row>
    <row r="10134" spans="8:8" ht="15.75" customHeight="1" x14ac:dyDescent="0.25">
      <c r="H10134" s="116"/>
    </row>
    <row r="10135" spans="8:8" ht="15.75" customHeight="1" x14ac:dyDescent="0.25">
      <c r="H10135" s="116"/>
    </row>
    <row r="10136" spans="8:8" ht="15.75" customHeight="1" x14ac:dyDescent="0.25">
      <c r="H10136" s="116"/>
    </row>
    <row r="10137" spans="8:8" ht="15.75" customHeight="1" x14ac:dyDescent="0.25">
      <c r="H10137" s="116"/>
    </row>
    <row r="10138" spans="8:8" ht="15.75" customHeight="1" x14ac:dyDescent="0.25">
      <c r="H10138" s="116"/>
    </row>
    <row r="10139" spans="8:8" ht="15.75" customHeight="1" x14ac:dyDescent="0.25">
      <c r="H10139" s="116"/>
    </row>
    <row r="10140" spans="8:8" ht="15.75" customHeight="1" x14ac:dyDescent="0.25">
      <c r="H10140" s="116"/>
    </row>
    <row r="10141" spans="8:8" ht="15.75" customHeight="1" x14ac:dyDescent="0.25">
      <c r="H10141" s="116"/>
    </row>
    <row r="10142" spans="8:8" ht="15.75" customHeight="1" x14ac:dyDescent="0.25">
      <c r="H10142" s="116"/>
    </row>
    <row r="10143" spans="8:8" ht="15.75" customHeight="1" x14ac:dyDescent="0.25">
      <c r="H10143" s="116"/>
    </row>
    <row r="10144" spans="8:8" ht="15.75" customHeight="1" x14ac:dyDescent="0.25">
      <c r="H10144" s="116"/>
    </row>
    <row r="10145" spans="8:8" ht="15.75" customHeight="1" x14ac:dyDescent="0.25">
      <c r="H10145" s="116"/>
    </row>
    <row r="10146" spans="8:8" ht="15.75" customHeight="1" x14ac:dyDescent="0.25">
      <c r="H10146" s="116"/>
    </row>
    <row r="10147" spans="8:8" ht="15.75" customHeight="1" x14ac:dyDescent="0.25">
      <c r="H10147" s="116"/>
    </row>
    <row r="10148" spans="8:8" ht="15.75" customHeight="1" x14ac:dyDescent="0.25">
      <c r="H10148" s="116"/>
    </row>
    <row r="10149" spans="8:8" ht="15.75" customHeight="1" x14ac:dyDescent="0.25">
      <c r="H10149" s="116"/>
    </row>
    <row r="10150" spans="8:8" ht="15.75" customHeight="1" x14ac:dyDescent="0.25">
      <c r="H10150" s="116"/>
    </row>
    <row r="10151" spans="8:8" ht="15.75" customHeight="1" x14ac:dyDescent="0.25">
      <c r="H10151" s="116"/>
    </row>
    <row r="10152" spans="8:8" ht="15.75" customHeight="1" x14ac:dyDescent="0.25">
      <c r="H10152" s="116"/>
    </row>
    <row r="10153" spans="8:8" ht="15.75" customHeight="1" x14ac:dyDescent="0.25">
      <c r="H10153" s="116"/>
    </row>
    <row r="10154" spans="8:8" ht="15.75" customHeight="1" x14ac:dyDescent="0.25">
      <c r="H10154" s="116"/>
    </row>
    <row r="10155" spans="8:8" ht="15.75" customHeight="1" x14ac:dyDescent="0.25">
      <c r="H10155" s="116"/>
    </row>
    <row r="10156" spans="8:8" ht="15.75" customHeight="1" x14ac:dyDescent="0.25">
      <c r="H10156" s="116"/>
    </row>
    <row r="10157" spans="8:8" ht="15.75" customHeight="1" x14ac:dyDescent="0.25">
      <c r="H10157" s="116"/>
    </row>
    <row r="10158" spans="8:8" ht="15.75" customHeight="1" x14ac:dyDescent="0.25">
      <c r="H10158" s="116"/>
    </row>
    <row r="10159" spans="8:8" ht="15.75" customHeight="1" x14ac:dyDescent="0.25">
      <c r="H10159" s="116"/>
    </row>
    <row r="10160" spans="8:8" ht="15.75" customHeight="1" x14ac:dyDescent="0.25">
      <c r="H10160" s="116"/>
    </row>
    <row r="10161" spans="8:8" ht="15.75" customHeight="1" x14ac:dyDescent="0.25">
      <c r="H10161" s="116"/>
    </row>
    <row r="10162" spans="8:8" ht="15.75" customHeight="1" x14ac:dyDescent="0.25">
      <c r="H10162" s="116"/>
    </row>
    <row r="10163" spans="8:8" ht="15.75" customHeight="1" x14ac:dyDescent="0.25">
      <c r="H10163" s="116"/>
    </row>
    <row r="10164" spans="8:8" ht="15.75" customHeight="1" x14ac:dyDescent="0.25">
      <c r="H10164" s="116"/>
    </row>
    <row r="10165" spans="8:8" ht="15.75" customHeight="1" x14ac:dyDescent="0.25">
      <c r="H10165" s="116"/>
    </row>
    <row r="10166" spans="8:8" ht="15.75" customHeight="1" x14ac:dyDescent="0.25">
      <c r="H10166" s="116"/>
    </row>
    <row r="10167" spans="8:8" ht="15.75" customHeight="1" x14ac:dyDescent="0.25">
      <c r="H10167" s="116"/>
    </row>
    <row r="10168" spans="8:8" ht="15.75" customHeight="1" x14ac:dyDescent="0.25">
      <c r="H10168" s="116"/>
    </row>
    <row r="10169" spans="8:8" ht="15.75" customHeight="1" x14ac:dyDescent="0.25">
      <c r="H10169" s="116"/>
    </row>
    <row r="10170" spans="8:8" ht="15.75" customHeight="1" x14ac:dyDescent="0.25">
      <c r="H10170" s="116"/>
    </row>
    <row r="10171" spans="8:8" ht="15.75" customHeight="1" x14ac:dyDescent="0.25">
      <c r="H10171" s="116"/>
    </row>
    <row r="10172" spans="8:8" ht="15.75" customHeight="1" x14ac:dyDescent="0.25">
      <c r="H10172" s="116"/>
    </row>
    <row r="10173" spans="8:8" ht="15.75" customHeight="1" x14ac:dyDescent="0.25">
      <c r="H10173" s="116"/>
    </row>
    <row r="10174" spans="8:8" ht="15.75" customHeight="1" x14ac:dyDescent="0.25">
      <c r="H10174" s="116"/>
    </row>
    <row r="10175" spans="8:8" ht="15.75" customHeight="1" x14ac:dyDescent="0.25">
      <c r="H10175" s="116"/>
    </row>
    <row r="10176" spans="8:8" ht="15.75" customHeight="1" x14ac:dyDescent="0.25">
      <c r="H10176" s="116"/>
    </row>
    <row r="10177" spans="8:8" ht="15.75" customHeight="1" x14ac:dyDescent="0.25">
      <c r="H10177" s="116"/>
    </row>
    <row r="10178" spans="8:8" ht="15.75" customHeight="1" x14ac:dyDescent="0.25">
      <c r="H10178" s="116"/>
    </row>
    <row r="10179" spans="8:8" ht="15.75" customHeight="1" x14ac:dyDescent="0.25">
      <c r="H10179" s="116"/>
    </row>
    <row r="10180" spans="8:8" ht="15.75" customHeight="1" x14ac:dyDescent="0.25">
      <c r="H10180" s="116"/>
    </row>
    <row r="10181" spans="8:8" ht="15.75" customHeight="1" x14ac:dyDescent="0.25">
      <c r="H10181" s="116"/>
    </row>
    <row r="10182" spans="8:8" ht="15.75" customHeight="1" x14ac:dyDescent="0.25">
      <c r="H10182" s="116"/>
    </row>
    <row r="10183" spans="8:8" ht="15.75" customHeight="1" x14ac:dyDescent="0.25">
      <c r="H10183" s="116"/>
    </row>
    <row r="10184" spans="8:8" ht="15.75" customHeight="1" x14ac:dyDescent="0.25">
      <c r="H10184" s="116"/>
    </row>
    <row r="10185" spans="8:8" ht="15.75" customHeight="1" x14ac:dyDescent="0.25">
      <c r="H10185" s="116"/>
    </row>
    <row r="10186" spans="8:8" ht="15.75" customHeight="1" x14ac:dyDescent="0.25">
      <c r="H10186" s="116"/>
    </row>
    <row r="10187" spans="8:8" ht="15.75" customHeight="1" x14ac:dyDescent="0.25">
      <c r="H10187" s="116"/>
    </row>
    <row r="10188" spans="8:8" ht="15.75" customHeight="1" x14ac:dyDescent="0.25">
      <c r="H10188" s="116"/>
    </row>
    <row r="10189" spans="8:8" ht="15.75" customHeight="1" x14ac:dyDescent="0.25">
      <c r="H10189" s="116"/>
    </row>
    <row r="10190" spans="8:8" ht="15.75" customHeight="1" x14ac:dyDescent="0.25">
      <c r="H10190" s="116"/>
    </row>
    <row r="10191" spans="8:8" ht="15.75" customHeight="1" x14ac:dyDescent="0.25">
      <c r="H10191" s="116"/>
    </row>
    <row r="10192" spans="8:8" ht="15.75" customHeight="1" x14ac:dyDescent="0.25">
      <c r="H10192" s="116"/>
    </row>
    <row r="10193" spans="8:8" ht="15.75" customHeight="1" x14ac:dyDescent="0.25">
      <c r="H10193" s="116"/>
    </row>
    <row r="10194" spans="8:8" ht="15.75" customHeight="1" x14ac:dyDescent="0.25">
      <c r="H10194" s="116"/>
    </row>
    <row r="10195" spans="8:8" ht="15.75" customHeight="1" x14ac:dyDescent="0.25">
      <c r="H10195" s="116"/>
    </row>
    <row r="10196" spans="8:8" ht="15.75" customHeight="1" x14ac:dyDescent="0.25">
      <c r="H10196" s="116"/>
    </row>
    <row r="10197" spans="8:8" ht="15.75" customHeight="1" x14ac:dyDescent="0.25">
      <c r="H10197" s="116"/>
    </row>
    <row r="10198" spans="8:8" ht="15.75" customHeight="1" x14ac:dyDescent="0.25">
      <c r="H10198" s="116"/>
    </row>
    <row r="10199" spans="8:8" ht="15.75" customHeight="1" x14ac:dyDescent="0.25">
      <c r="H10199" s="116"/>
    </row>
    <row r="10200" spans="8:8" ht="15.75" customHeight="1" x14ac:dyDescent="0.25">
      <c r="H10200" s="116"/>
    </row>
    <row r="10201" spans="8:8" ht="15.75" customHeight="1" x14ac:dyDescent="0.25">
      <c r="H10201" s="116"/>
    </row>
    <row r="10202" spans="8:8" ht="15.75" customHeight="1" x14ac:dyDescent="0.25">
      <c r="H10202" s="116"/>
    </row>
    <row r="10203" spans="8:8" ht="15.75" customHeight="1" x14ac:dyDescent="0.25">
      <c r="H10203" s="116"/>
    </row>
    <row r="10204" spans="8:8" ht="15.75" customHeight="1" x14ac:dyDescent="0.25">
      <c r="H10204" s="116"/>
    </row>
    <row r="10205" spans="8:8" ht="15.75" customHeight="1" x14ac:dyDescent="0.25">
      <c r="H10205" s="116"/>
    </row>
    <row r="10206" spans="8:8" ht="15.75" customHeight="1" x14ac:dyDescent="0.25">
      <c r="H10206" s="116"/>
    </row>
    <row r="10207" spans="8:8" ht="15.75" customHeight="1" x14ac:dyDescent="0.25">
      <c r="H10207" s="116"/>
    </row>
    <row r="10208" spans="8:8" ht="15.75" customHeight="1" x14ac:dyDescent="0.25">
      <c r="H10208" s="116"/>
    </row>
    <row r="10209" spans="8:8" ht="15.75" customHeight="1" x14ac:dyDescent="0.25">
      <c r="H10209" s="116"/>
    </row>
    <row r="10210" spans="8:8" ht="15.75" customHeight="1" x14ac:dyDescent="0.25">
      <c r="H10210" s="116"/>
    </row>
    <row r="10211" spans="8:8" ht="15.75" customHeight="1" x14ac:dyDescent="0.25">
      <c r="H10211" s="116"/>
    </row>
    <row r="10212" spans="8:8" ht="15.75" customHeight="1" x14ac:dyDescent="0.25">
      <c r="H10212" s="116"/>
    </row>
    <row r="10213" spans="8:8" ht="15.75" customHeight="1" x14ac:dyDescent="0.25">
      <c r="H10213" s="116"/>
    </row>
    <row r="10214" spans="8:8" ht="15.75" customHeight="1" x14ac:dyDescent="0.25">
      <c r="H10214" s="116"/>
    </row>
    <row r="10215" spans="8:8" ht="15.75" customHeight="1" x14ac:dyDescent="0.25">
      <c r="H10215" s="116"/>
    </row>
    <row r="10216" spans="8:8" ht="15.75" customHeight="1" x14ac:dyDescent="0.25">
      <c r="H10216" s="116"/>
    </row>
    <row r="10217" spans="8:8" ht="15.75" customHeight="1" x14ac:dyDescent="0.25">
      <c r="H10217" s="116"/>
    </row>
    <row r="10218" spans="8:8" ht="15.75" customHeight="1" x14ac:dyDescent="0.25">
      <c r="H10218" s="116"/>
    </row>
    <row r="10219" spans="8:8" ht="15.75" customHeight="1" x14ac:dyDescent="0.25">
      <c r="H10219" s="116"/>
    </row>
    <row r="10220" spans="8:8" ht="15.75" customHeight="1" x14ac:dyDescent="0.25">
      <c r="H10220" s="116"/>
    </row>
    <row r="10221" spans="8:8" ht="15.75" customHeight="1" x14ac:dyDescent="0.25">
      <c r="H10221" s="116"/>
    </row>
    <row r="10222" spans="8:8" ht="15.75" customHeight="1" x14ac:dyDescent="0.25">
      <c r="H10222" s="116"/>
    </row>
    <row r="10223" spans="8:8" ht="15.75" customHeight="1" x14ac:dyDescent="0.25">
      <c r="H10223" s="116"/>
    </row>
    <row r="10224" spans="8:8" ht="15.75" customHeight="1" x14ac:dyDescent="0.25">
      <c r="H10224" s="116"/>
    </row>
    <row r="10225" spans="8:8" ht="15.75" customHeight="1" x14ac:dyDescent="0.25">
      <c r="H10225" s="116"/>
    </row>
    <row r="10226" spans="8:8" ht="15.75" customHeight="1" x14ac:dyDescent="0.25">
      <c r="H10226" s="116"/>
    </row>
    <row r="10227" spans="8:8" ht="15.75" customHeight="1" x14ac:dyDescent="0.25">
      <c r="H10227" s="116"/>
    </row>
    <row r="10228" spans="8:8" ht="15.75" customHeight="1" x14ac:dyDescent="0.25">
      <c r="H10228" s="116"/>
    </row>
    <row r="10229" spans="8:8" ht="15.75" customHeight="1" x14ac:dyDescent="0.25">
      <c r="H10229" s="116"/>
    </row>
    <row r="10230" spans="8:8" ht="15.75" customHeight="1" x14ac:dyDescent="0.25">
      <c r="H10230" s="116"/>
    </row>
    <row r="10231" spans="8:8" ht="15.75" customHeight="1" x14ac:dyDescent="0.25">
      <c r="H10231" s="116"/>
    </row>
    <row r="10232" spans="8:8" ht="15.75" customHeight="1" x14ac:dyDescent="0.25">
      <c r="H10232" s="116"/>
    </row>
    <row r="10233" spans="8:8" ht="15.75" customHeight="1" x14ac:dyDescent="0.25">
      <c r="H10233" s="116"/>
    </row>
    <row r="10234" spans="8:8" ht="15.75" customHeight="1" x14ac:dyDescent="0.25">
      <c r="H10234" s="116"/>
    </row>
    <row r="10235" spans="8:8" ht="15.75" customHeight="1" x14ac:dyDescent="0.25">
      <c r="H10235" s="116"/>
    </row>
    <row r="10236" spans="8:8" ht="15.75" customHeight="1" x14ac:dyDescent="0.25">
      <c r="H10236" s="116"/>
    </row>
    <row r="10237" spans="8:8" ht="15.75" customHeight="1" x14ac:dyDescent="0.25">
      <c r="H10237" s="116"/>
    </row>
    <row r="10238" spans="8:8" ht="15.75" customHeight="1" x14ac:dyDescent="0.25">
      <c r="H10238" s="116"/>
    </row>
    <row r="10239" spans="8:8" ht="15.75" customHeight="1" x14ac:dyDescent="0.25">
      <c r="H10239" s="116"/>
    </row>
    <row r="10240" spans="8:8" ht="15.75" customHeight="1" x14ac:dyDescent="0.25">
      <c r="H10240" s="116"/>
    </row>
    <row r="10241" spans="8:8" ht="15.75" customHeight="1" x14ac:dyDescent="0.25">
      <c r="H10241" s="116"/>
    </row>
    <row r="10242" spans="8:8" ht="15.75" customHeight="1" x14ac:dyDescent="0.25">
      <c r="H10242" s="116"/>
    </row>
    <row r="10243" spans="8:8" ht="15.75" customHeight="1" x14ac:dyDescent="0.25">
      <c r="H10243" s="116"/>
    </row>
    <row r="10244" spans="8:8" ht="15.75" customHeight="1" x14ac:dyDescent="0.25">
      <c r="H10244" s="116"/>
    </row>
    <row r="10245" spans="8:8" ht="15.75" customHeight="1" x14ac:dyDescent="0.25">
      <c r="H10245" s="116"/>
    </row>
    <row r="10246" spans="8:8" ht="15.75" customHeight="1" x14ac:dyDescent="0.25">
      <c r="H10246" s="116"/>
    </row>
    <row r="10247" spans="8:8" ht="15.75" customHeight="1" x14ac:dyDescent="0.25">
      <c r="H10247" s="116"/>
    </row>
    <row r="10248" spans="8:8" ht="15.75" customHeight="1" x14ac:dyDescent="0.25">
      <c r="H10248" s="116"/>
    </row>
    <row r="10249" spans="8:8" ht="15.75" customHeight="1" x14ac:dyDescent="0.25">
      <c r="H10249" s="116"/>
    </row>
    <row r="10250" spans="8:8" ht="15.75" customHeight="1" x14ac:dyDescent="0.25">
      <c r="H10250" s="116"/>
    </row>
    <row r="10251" spans="8:8" ht="15.75" customHeight="1" x14ac:dyDescent="0.25">
      <c r="H10251" s="116"/>
    </row>
    <row r="10252" spans="8:8" ht="15.75" customHeight="1" x14ac:dyDescent="0.25">
      <c r="H10252" s="116"/>
    </row>
    <row r="10253" spans="8:8" ht="15.75" customHeight="1" x14ac:dyDescent="0.25">
      <c r="H10253" s="116"/>
    </row>
    <row r="10254" spans="8:8" ht="15.75" customHeight="1" x14ac:dyDescent="0.25">
      <c r="H10254" s="116"/>
    </row>
    <row r="10255" spans="8:8" ht="15.75" customHeight="1" x14ac:dyDescent="0.25">
      <c r="H10255" s="116"/>
    </row>
    <row r="10256" spans="8:8" ht="15.75" customHeight="1" x14ac:dyDescent="0.25">
      <c r="H10256" s="116"/>
    </row>
    <row r="10257" spans="8:8" ht="15.75" customHeight="1" x14ac:dyDescent="0.25">
      <c r="H10257" s="116"/>
    </row>
    <row r="10258" spans="8:8" ht="15.75" customHeight="1" x14ac:dyDescent="0.25">
      <c r="H10258" s="116"/>
    </row>
    <row r="10259" spans="8:8" ht="15.75" customHeight="1" x14ac:dyDescent="0.25">
      <c r="H10259" s="116"/>
    </row>
    <row r="10260" spans="8:8" ht="15.75" customHeight="1" x14ac:dyDescent="0.25">
      <c r="H10260" s="116"/>
    </row>
    <row r="10261" spans="8:8" ht="15.75" customHeight="1" x14ac:dyDescent="0.25">
      <c r="H10261" s="116"/>
    </row>
    <row r="10262" spans="8:8" ht="15.75" customHeight="1" x14ac:dyDescent="0.25">
      <c r="H10262" s="116"/>
    </row>
    <row r="10263" spans="8:8" ht="15.75" customHeight="1" x14ac:dyDescent="0.25">
      <c r="H10263" s="116"/>
    </row>
    <row r="10264" spans="8:8" ht="15.75" customHeight="1" x14ac:dyDescent="0.25">
      <c r="H10264" s="116"/>
    </row>
    <row r="10265" spans="8:8" ht="15.75" customHeight="1" x14ac:dyDescent="0.25">
      <c r="H10265" s="116"/>
    </row>
    <row r="10266" spans="8:8" ht="15.75" customHeight="1" x14ac:dyDescent="0.25">
      <c r="H10266" s="116"/>
    </row>
    <row r="10267" spans="8:8" ht="15.75" customHeight="1" x14ac:dyDescent="0.25">
      <c r="H10267" s="116"/>
    </row>
    <row r="10268" spans="8:8" ht="15.75" customHeight="1" x14ac:dyDescent="0.25">
      <c r="H10268" s="116"/>
    </row>
    <row r="10269" spans="8:8" ht="15.75" customHeight="1" x14ac:dyDescent="0.25">
      <c r="H10269" s="116"/>
    </row>
    <row r="10270" spans="8:8" ht="15.75" customHeight="1" x14ac:dyDescent="0.25">
      <c r="H10270" s="116"/>
    </row>
    <row r="10271" spans="8:8" ht="15.75" customHeight="1" x14ac:dyDescent="0.25">
      <c r="H10271" s="116"/>
    </row>
    <row r="10272" spans="8:8" ht="15.75" customHeight="1" x14ac:dyDescent="0.25">
      <c r="H10272" s="116"/>
    </row>
    <row r="10273" spans="8:8" ht="15.75" customHeight="1" x14ac:dyDescent="0.25">
      <c r="H10273" s="116"/>
    </row>
    <row r="10274" spans="8:8" ht="15.75" customHeight="1" x14ac:dyDescent="0.25">
      <c r="H10274" s="116"/>
    </row>
    <row r="10275" spans="8:8" ht="15.75" customHeight="1" x14ac:dyDescent="0.25">
      <c r="H10275" s="116"/>
    </row>
    <row r="10276" spans="8:8" ht="15.75" customHeight="1" x14ac:dyDescent="0.25">
      <c r="H10276" s="116"/>
    </row>
    <row r="10277" spans="8:8" ht="15.75" customHeight="1" x14ac:dyDescent="0.25">
      <c r="H10277" s="116"/>
    </row>
    <row r="10278" spans="8:8" ht="15.75" customHeight="1" x14ac:dyDescent="0.25">
      <c r="H10278" s="116"/>
    </row>
    <row r="10279" spans="8:8" ht="15.75" customHeight="1" x14ac:dyDescent="0.25">
      <c r="H10279" s="116"/>
    </row>
    <row r="10280" spans="8:8" ht="15.75" customHeight="1" x14ac:dyDescent="0.25">
      <c r="H10280" s="116"/>
    </row>
    <row r="10281" spans="8:8" ht="15.75" customHeight="1" x14ac:dyDescent="0.25">
      <c r="H10281" s="116"/>
    </row>
    <row r="10282" spans="8:8" ht="15.75" customHeight="1" x14ac:dyDescent="0.25">
      <c r="H10282" s="116"/>
    </row>
    <row r="10283" spans="8:8" ht="15.75" customHeight="1" x14ac:dyDescent="0.25">
      <c r="H10283" s="116"/>
    </row>
    <row r="10284" spans="8:8" ht="15.75" customHeight="1" x14ac:dyDescent="0.25">
      <c r="H10284" s="116"/>
    </row>
    <row r="10285" spans="8:8" ht="15.75" customHeight="1" x14ac:dyDescent="0.25">
      <c r="H10285" s="116"/>
    </row>
    <row r="10286" spans="8:8" ht="15.75" customHeight="1" x14ac:dyDescent="0.25">
      <c r="H10286" s="116"/>
    </row>
    <row r="10287" spans="8:8" ht="15.75" customHeight="1" x14ac:dyDescent="0.25">
      <c r="H10287" s="116"/>
    </row>
    <row r="10288" spans="8:8" ht="15.75" customHeight="1" x14ac:dyDescent="0.25">
      <c r="H10288" s="116"/>
    </row>
    <row r="10289" spans="8:8" ht="15.75" customHeight="1" x14ac:dyDescent="0.25">
      <c r="H10289" s="116"/>
    </row>
    <row r="10290" spans="8:8" ht="15.75" customHeight="1" x14ac:dyDescent="0.25">
      <c r="H10290" s="116"/>
    </row>
    <row r="10291" spans="8:8" ht="15.75" customHeight="1" x14ac:dyDescent="0.25">
      <c r="H10291" s="116"/>
    </row>
    <row r="10292" spans="8:8" ht="15.75" customHeight="1" x14ac:dyDescent="0.25">
      <c r="H10292" s="116"/>
    </row>
    <row r="10293" spans="8:8" ht="15.75" customHeight="1" x14ac:dyDescent="0.25">
      <c r="H10293" s="116"/>
    </row>
    <row r="10294" spans="8:8" ht="15.75" customHeight="1" x14ac:dyDescent="0.25">
      <c r="H10294" s="116"/>
    </row>
    <row r="10295" spans="8:8" ht="15.75" customHeight="1" x14ac:dyDescent="0.25">
      <c r="H10295" s="116"/>
    </row>
    <row r="10296" spans="8:8" ht="15.75" customHeight="1" x14ac:dyDescent="0.25">
      <c r="H10296" s="116"/>
    </row>
    <row r="10297" spans="8:8" ht="15.75" customHeight="1" x14ac:dyDescent="0.25">
      <c r="H10297" s="116"/>
    </row>
    <row r="10298" spans="8:8" ht="15.75" customHeight="1" x14ac:dyDescent="0.25">
      <c r="H10298" s="116"/>
    </row>
    <row r="10299" spans="8:8" ht="15.75" customHeight="1" x14ac:dyDescent="0.25">
      <c r="H10299" s="116"/>
    </row>
    <row r="10300" spans="8:8" ht="15.75" customHeight="1" x14ac:dyDescent="0.25">
      <c r="H10300" s="116"/>
    </row>
    <row r="10301" spans="8:8" ht="15.75" customHeight="1" x14ac:dyDescent="0.25">
      <c r="H10301" s="116"/>
    </row>
    <row r="10302" spans="8:8" ht="15.75" customHeight="1" x14ac:dyDescent="0.25">
      <c r="H10302" s="116"/>
    </row>
    <row r="10303" spans="8:8" ht="15.75" customHeight="1" x14ac:dyDescent="0.25">
      <c r="H10303" s="116"/>
    </row>
    <row r="10304" spans="8:8" ht="15.75" customHeight="1" x14ac:dyDescent="0.25">
      <c r="H10304" s="116"/>
    </row>
    <row r="10305" spans="8:8" ht="15.75" customHeight="1" x14ac:dyDescent="0.25">
      <c r="H10305" s="116"/>
    </row>
    <row r="10306" spans="8:8" ht="15.75" customHeight="1" x14ac:dyDescent="0.25">
      <c r="H10306" s="116"/>
    </row>
    <row r="10307" spans="8:8" ht="15.75" customHeight="1" x14ac:dyDescent="0.25">
      <c r="H10307" s="116"/>
    </row>
    <row r="10308" spans="8:8" ht="15.75" customHeight="1" x14ac:dyDescent="0.25">
      <c r="H10308" s="116"/>
    </row>
    <row r="10309" spans="8:8" ht="15.75" customHeight="1" x14ac:dyDescent="0.25">
      <c r="H10309" s="116"/>
    </row>
    <row r="10310" spans="8:8" ht="15.75" customHeight="1" x14ac:dyDescent="0.25">
      <c r="H10310" s="116"/>
    </row>
    <row r="10311" spans="8:8" ht="15.75" customHeight="1" x14ac:dyDescent="0.25">
      <c r="H10311" s="116"/>
    </row>
    <row r="10312" spans="8:8" ht="15.75" customHeight="1" x14ac:dyDescent="0.25">
      <c r="H10312" s="116"/>
    </row>
    <row r="10313" spans="8:8" ht="15.75" customHeight="1" x14ac:dyDescent="0.25">
      <c r="H10313" s="116"/>
    </row>
    <row r="10314" spans="8:8" ht="15.75" customHeight="1" x14ac:dyDescent="0.25">
      <c r="H10314" s="116"/>
    </row>
    <row r="10315" spans="8:8" ht="15.75" customHeight="1" x14ac:dyDescent="0.25">
      <c r="H10315" s="116"/>
    </row>
    <row r="10316" spans="8:8" ht="15.75" customHeight="1" x14ac:dyDescent="0.25">
      <c r="H10316" s="116"/>
    </row>
    <row r="10317" spans="8:8" ht="15.75" customHeight="1" x14ac:dyDescent="0.25">
      <c r="H10317" s="116"/>
    </row>
    <row r="10318" spans="8:8" ht="15.75" customHeight="1" x14ac:dyDescent="0.25">
      <c r="H10318" s="116"/>
    </row>
    <row r="10319" spans="8:8" ht="15.75" customHeight="1" x14ac:dyDescent="0.25">
      <c r="H10319" s="116"/>
    </row>
    <row r="10320" spans="8:8" ht="15.75" customHeight="1" x14ac:dyDescent="0.25">
      <c r="H10320" s="116"/>
    </row>
    <row r="10321" spans="8:8" ht="15.75" customHeight="1" x14ac:dyDescent="0.25">
      <c r="H10321" s="116"/>
    </row>
    <row r="10322" spans="8:8" ht="15.75" customHeight="1" x14ac:dyDescent="0.25">
      <c r="H10322" s="116"/>
    </row>
    <row r="10323" spans="8:8" ht="15.75" customHeight="1" x14ac:dyDescent="0.25">
      <c r="H10323" s="116"/>
    </row>
    <row r="10324" spans="8:8" ht="15.75" customHeight="1" x14ac:dyDescent="0.25">
      <c r="H10324" s="116"/>
    </row>
    <row r="10325" spans="8:8" ht="15.75" customHeight="1" x14ac:dyDescent="0.25">
      <c r="H10325" s="116"/>
    </row>
    <row r="10326" spans="8:8" ht="15.75" customHeight="1" x14ac:dyDescent="0.25">
      <c r="H10326" s="116"/>
    </row>
    <row r="10327" spans="8:8" ht="15.75" customHeight="1" x14ac:dyDescent="0.25">
      <c r="H10327" s="116"/>
    </row>
    <row r="10328" spans="8:8" ht="15.75" customHeight="1" x14ac:dyDescent="0.25">
      <c r="H10328" s="116"/>
    </row>
    <row r="10329" spans="8:8" ht="15.75" customHeight="1" x14ac:dyDescent="0.25">
      <c r="H10329" s="116"/>
    </row>
    <row r="10330" spans="8:8" ht="15.75" customHeight="1" x14ac:dyDescent="0.25">
      <c r="H10330" s="116"/>
    </row>
    <row r="10331" spans="8:8" ht="15.75" customHeight="1" x14ac:dyDescent="0.25">
      <c r="H10331" s="116"/>
    </row>
    <row r="10332" spans="8:8" ht="15.75" customHeight="1" x14ac:dyDescent="0.25">
      <c r="H10332" s="116"/>
    </row>
    <row r="10333" spans="8:8" ht="15.75" customHeight="1" x14ac:dyDescent="0.25">
      <c r="H10333" s="116"/>
    </row>
    <row r="10334" spans="8:8" ht="15.75" customHeight="1" x14ac:dyDescent="0.25">
      <c r="H10334" s="116"/>
    </row>
    <row r="10335" spans="8:8" ht="15.75" customHeight="1" x14ac:dyDescent="0.25">
      <c r="H10335" s="116"/>
    </row>
    <row r="10336" spans="8:8" ht="15.75" customHeight="1" x14ac:dyDescent="0.25">
      <c r="H10336" s="116"/>
    </row>
    <row r="10337" spans="8:8" ht="15.75" customHeight="1" x14ac:dyDescent="0.25">
      <c r="H10337" s="116"/>
    </row>
    <row r="10338" spans="8:8" ht="15.75" customHeight="1" x14ac:dyDescent="0.25">
      <c r="H10338" s="116"/>
    </row>
    <row r="10339" spans="8:8" ht="15.75" customHeight="1" x14ac:dyDescent="0.25">
      <c r="H10339" s="116"/>
    </row>
    <row r="10340" spans="8:8" ht="15.75" customHeight="1" x14ac:dyDescent="0.25">
      <c r="H10340" s="116"/>
    </row>
    <row r="10341" spans="8:8" ht="15.75" customHeight="1" x14ac:dyDescent="0.25">
      <c r="H10341" s="116"/>
    </row>
    <row r="10342" spans="8:8" ht="15.75" customHeight="1" x14ac:dyDescent="0.25">
      <c r="H10342" s="116"/>
    </row>
    <row r="10343" spans="8:8" ht="15.75" customHeight="1" x14ac:dyDescent="0.25">
      <c r="H10343" s="116"/>
    </row>
    <row r="10344" spans="8:8" ht="15.75" customHeight="1" x14ac:dyDescent="0.25">
      <c r="H10344" s="116"/>
    </row>
    <row r="10345" spans="8:8" ht="15.75" customHeight="1" x14ac:dyDescent="0.25">
      <c r="H10345" s="116"/>
    </row>
    <row r="10346" spans="8:8" ht="15.75" customHeight="1" x14ac:dyDescent="0.25">
      <c r="H10346" s="116"/>
    </row>
    <row r="10347" spans="8:8" ht="15.75" customHeight="1" x14ac:dyDescent="0.25">
      <c r="H10347" s="116"/>
    </row>
    <row r="10348" spans="8:8" ht="15.75" customHeight="1" x14ac:dyDescent="0.25">
      <c r="H10348" s="116"/>
    </row>
    <row r="10349" spans="8:8" ht="15.75" customHeight="1" x14ac:dyDescent="0.25">
      <c r="H10349" s="116"/>
    </row>
    <row r="10350" spans="8:8" ht="15.75" customHeight="1" x14ac:dyDescent="0.25">
      <c r="H10350" s="116"/>
    </row>
    <row r="10351" spans="8:8" ht="15.75" customHeight="1" x14ac:dyDescent="0.25">
      <c r="H10351" s="116"/>
    </row>
    <row r="10352" spans="8:8" ht="15.75" customHeight="1" x14ac:dyDescent="0.25">
      <c r="H10352" s="116"/>
    </row>
    <row r="10353" spans="8:8" ht="15.75" customHeight="1" x14ac:dyDescent="0.25">
      <c r="H10353" s="116"/>
    </row>
    <row r="10354" spans="8:8" ht="15.75" customHeight="1" x14ac:dyDescent="0.25">
      <c r="H10354" s="116"/>
    </row>
    <row r="10355" spans="8:8" ht="15.75" customHeight="1" x14ac:dyDescent="0.25">
      <c r="H10355" s="116"/>
    </row>
    <row r="10356" spans="8:8" ht="15.75" customHeight="1" x14ac:dyDescent="0.25">
      <c r="H10356" s="116"/>
    </row>
    <row r="10357" spans="8:8" ht="15.75" customHeight="1" x14ac:dyDescent="0.25">
      <c r="H10357" s="116"/>
    </row>
    <row r="10358" spans="8:8" ht="15.75" customHeight="1" x14ac:dyDescent="0.25">
      <c r="H10358" s="116"/>
    </row>
    <row r="10359" spans="8:8" ht="15.75" customHeight="1" x14ac:dyDescent="0.25">
      <c r="H10359" s="116"/>
    </row>
    <row r="10360" spans="8:8" ht="15.75" customHeight="1" x14ac:dyDescent="0.25">
      <c r="H10360" s="116"/>
    </row>
    <row r="10361" spans="8:8" ht="15.75" customHeight="1" x14ac:dyDescent="0.25">
      <c r="H10361" s="116"/>
    </row>
    <row r="10362" spans="8:8" ht="15.75" customHeight="1" x14ac:dyDescent="0.25">
      <c r="H10362" s="116"/>
    </row>
    <row r="10363" spans="8:8" ht="15.75" customHeight="1" x14ac:dyDescent="0.25">
      <c r="H10363" s="116"/>
    </row>
    <row r="10364" spans="8:8" ht="15.75" customHeight="1" x14ac:dyDescent="0.25">
      <c r="H10364" s="116"/>
    </row>
    <row r="10365" spans="8:8" ht="15.75" customHeight="1" x14ac:dyDescent="0.25">
      <c r="H10365" s="116"/>
    </row>
    <row r="10366" spans="8:8" ht="15.75" customHeight="1" x14ac:dyDescent="0.25">
      <c r="H10366" s="116"/>
    </row>
    <row r="10367" spans="8:8" ht="15.75" customHeight="1" x14ac:dyDescent="0.25">
      <c r="H10367" s="116"/>
    </row>
    <row r="10368" spans="8:8" ht="15.75" customHeight="1" x14ac:dyDescent="0.25">
      <c r="H10368" s="116"/>
    </row>
    <row r="10369" spans="8:8" ht="15.75" customHeight="1" x14ac:dyDescent="0.25">
      <c r="H10369" s="116"/>
    </row>
    <row r="10370" spans="8:8" ht="15.75" customHeight="1" x14ac:dyDescent="0.25">
      <c r="H10370" s="116"/>
    </row>
    <row r="10371" spans="8:8" ht="15.75" customHeight="1" x14ac:dyDescent="0.25">
      <c r="H10371" s="116"/>
    </row>
    <row r="10372" spans="8:8" ht="15.75" customHeight="1" x14ac:dyDescent="0.25">
      <c r="H10372" s="116"/>
    </row>
    <row r="10373" spans="8:8" ht="15.75" customHeight="1" x14ac:dyDescent="0.25">
      <c r="H10373" s="116"/>
    </row>
    <row r="10374" spans="8:8" ht="15.75" customHeight="1" x14ac:dyDescent="0.25">
      <c r="H10374" s="116"/>
    </row>
    <row r="10375" spans="8:8" ht="15.75" customHeight="1" x14ac:dyDescent="0.25">
      <c r="H10375" s="116"/>
    </row>
    <row r="10376" spans="8:8" ht="15.75" customHeight="1" x14ac:dyDescent="0.25">
      <c r="H10376" s="116"/>
    </row>
    <row r="10377" spans="8:8" ht="15.75" customHeight="1" x14ac:dyDescent="0.25">
      <c r="H10377" s="116"/>
    </row>
    <row r="10378" spans="8:8" ht="15.75" customHeight="1" x14ac:dyDescent="0.25">
      <c r="H10378" s="116"/>
    </row>
    <row r="10379" spans="8:8" ht="15.75" customHeight="1" x14ac:dyDescent="0.25">
      <c r="H10379" s="116"/>
    </row>
    <row r="10380" spans="8:8" ht="15.75" customHeight="1" x14ac:dyDescent="0.25">
      <c r="H10380" s="116"/>
    </row>
    <row r="10381" spans="8:8" ht="15.75" customHeight="1" x14ac:dyDescent="0.25">
      <c r="H10381" s="116"/>
    </row>
    <row r="10382" spans="8:8" ht="15.75" customHeight="1" x14ac:dyDescent="0.25">
      <c r="H10382" s="116"/>
    </row>
    <row r="10383" spans="8:8" ht="15.75" customHeight="1" x14ac:dyDescent="0.25">
      <c r="H10383" s="116"/>
    </row>
    <row r="10384" spans="8:8" ht="15.75" customHeight="1" x14ac:dyDescent="0.25">
      <c r="H10384" s="116"/>
    </row>
    <row r="10385" spans="8:8" ht="15.75" customHeight="1" x14ac:dyDescent="0.25">
      <c r="H10385" s="116"/>
    </row>
    <row r="10386" spans="8:8" ht="15.75" customHeight="1" x14ac:dyDescent="0.25">
      <c r="H10386" s="116"/>
    </row>
    <row r="10387" spans="8:8" ht="15.75" customHeight="1" x14ac:dyDescent="0.25">
      <c r="H10387" s="116"/>
    </row>
    <row r="10388" spans="8:8" ht="15.75" customHeight="1" x14ac:dyDescent="0.25">
      <c r="H10388" s="116"/>
    </row>
    <row r="10389" spans="8:8" ht="15.75" customHeight="1" x14ac:dyDescent="0.25">
      <c r="H10389" s="116"/>
    </row>
    <row r="10390" spans="8:8" ht="15.75" customHeight="1" x14ac:dyDescent="0.25">
      <c r="H10390" s="116"/>
    </row>
    <row r="10391" spans="8:8" ht="15.75" customHeight="1" x14ac:dyDescent="0.25">
      <c r="H10391" s="116"/>
    </row>
    <row r="10392" spans="8:8" ht="15.75" customHeight="1" x14ac:dyDescent="0.25">
      <c r="H10392" s="116"/>
    </row>
    <row r="10393" spans="8:8" ht="15.75" customHeight="1" x14ac:dyDescent="0.25">
      <c r="H10393" s="116"/>
    </row>
    <row r="10394" spans="8:8" ht="15.75" customHeight="1" x14ac:dyDescent="0.25">
      <c r="H10394" s="116"/>
    </row>
    <row r="10395" spans="8:8" ht="15.75" customHeight="1" x14ac:dyDescent="0.25">
      <c r="H10395" s="116"/>
    </row>
    <row r="10396" spans="8:8" ht="15.75" customHeight="1" x14ac:dyDescent="0.25">
      <c r="H10396" s="116"/>
    </row>
    <row r="10397" spans="8:8" ht="15.75" customHeight="1" x14ac:dyDescent="0.25">
      <c r="H10397" s="116"/>
    </row>
    <row r="10398" spans="8:8" ht="15.75" customHeight="1" x14ac:dyDescent="0.25">
      <c r="H10398" s="116"/>
    </row>
    <row r="10399" spans="8:8" ht="15.75" customHeight="1" x14ac:dyDescent="0.25">
      <c r="H10399" s="116"/>
    </row>
    <row r="10400" spans="8:8" ht="15.75" customHeight="1" x14ac:dyDescent="0.25">
      <c r="H10400" s="116"/>
    </row>
    <row r="10401" spans="8:8" ht="15.75" customHeight="1" x14ac:dyDescent="0.25">
      <c r="H10401" s="116"/>
    </row>
    <row r="10402" spans="8:8" ht="15.75" customHeight="1" x14ac:dyDescent="0.25">
      <c r="H10402" s="116"/>
    </row>
    <row r="10403" spans="8:8" ht="15.75" customHeight="1" x14ac:dyDescent="0.25">
      <c r="H10403" s="116"/>
    </row>
    <row r="10404" spans="8:8" ht="15.75" customHeight="1" x14ac:dyDescent="0.25">
      <c r="H10404" s="116"/>
    </row>
    <row r="10405" spans="8:8" ht="15.75" customHeight="1" x14ac:dyDescent="0.25">
      <c r="H10405" s="116"/>
    </row>
    <row r="10406" spans="8:8" ht="15.75" customHeight="1" x14ac:dyDescent="0.25">
      <c r="H10406" s="116"/>
    </row>
    <row r="10407" spans="8:8" ht="15.75" customHeight="1" x14ac:dyDescent="0.25">
      <c r="H10407" s="116"/>
    </row>
    <row r="10408" spans="8:8" ht="15.75" customHeight="1" x14ac:dyDescent="0.25">
      <c r="H10408" s="116"/>
    </row>
    <row r="10409" spans="8:8" ht="15.75" customHeight="1" x14ac:dyDescent="0.25">
      <c r="H10409" s="116"/>
    </row>
    <row r="10410" spans="8:8" ht="15.75" customHeight="1" x14ac:dyDescent="0.25">
      <c r="H10410" s="116"/>
    </row>
    <row r="10411" spans="8:8" ht="15.75" customHeight="1" x14ac:dyDescent="0.25">
      <c r="H10411" s="116"/>
    </row>
    <row r="10412" spans="8:8" ht="15.75" customHeight="1" x14ac:dyDescent="0.25">
      <c r="H10412" s="116"/>
    </row>
    <row r="10413" spans="8:8" ht="15.75" customHeight="1" x14ac:dyDescent="0.25">
      <c r="H10413" s="116"/>
    </row>
    <row r="10414" spans="8:8" ht="15.75" customHeight="1" x14ac:dyDescent="0.25">
      <c r="H10414" s="116"/>
    </row>
    <row r="10415" spans="8:8" ht="15.75" customHeight="1" x14ac:dyDescent="0.25">
      <c r="H10415" s="116"/>
    </row>
    <row r="10416" spans="8:8" ht="15.75" customHeight="1" x14ac:dyDescent="0.25">
      <c r="H10416" s="116"/>
    </row>
    <row r="10417" spans="8:8" ht="15.75" customHeight="1" x14ac:dyDescent="0.25">
      <c r="H10417" s="116"/>
    </row>
    <row r="10418" spans="8:8" ht="15.75" customHeight="1" x14ac:dyDescent="0.25">
      <c r="H10418" s="116"/>
    </row>
    <row r="10419" spans="8:8" ht="15.75" customHeight="1" x14ac:dyDescent="0.25">
      <c r="H10419" s="116"/>
    </row>
    <row r="10420" spans="8:8" ht="15.75" customHeight="1" x14ac:dyDescent="0.25">
      <c r="H10420" s="116"/>
    </row>
    <row r="10421" spans="8:8" ht="15.75" customHeight="1" x14ac:dyDescent="0.25">
      <c r="H10421" s="116"/>
    </row>
    <row r="10422" spans="8:8" ht="15.75" customHeight="1" x14ac:dyDescent="0.25">
      <c r="H10422" s="116"/>
    </row>
    <row r="10423" spans="8:8" ht="15.75" customHeight="1" x14ac:dyDescent="0.25">
      <c r="H10423" s="116"/>
    </row>
    <row r="10424" spans="8:8" ht="15.75" customHeight="1" x14ac:dyDescent="0.25">
      <c r="H10424" s="116"/>
    </row>
    <row r="10425" spans="8:8" ht="15.75" customHeight="1" x14ac:dyDescent="0.25">
      <c r="H10425" s="116"/>
    </row>
    <row r="10426" spans="8:8" ht="15.75" customHeight="1" x14ac:dyDescent="0.25">
      <c r="H10426" s="116"/>
    </row>
    <row r="10427" spans="8:8" ht="15.75" customHeight="1" x14ac:dyDescent="0.25">
      <c r="H10427" s="116"/>
    </row>
    <row r="10428" spans="8:8" ht="15.75" customHeight="1" x14ac:dyDescent="0.25">
      <c r="H10428" s="116"/>
    </row>
    <row r="10429" spans="8:8" ht="15.75" customHeight="1" x14ac:dyDescent="0.25">
      <c r="H10429" s="116"/>
    </row>
    <row r="10430" spans="8:8" ht="15.75" customHeight="1" x14ac:dyDescent="0.25">
      <c r="H10430" s="116"/>
    </row>
    <row r="10431" spans="8:8" ht="15.75" customHeight="1" x14ac:dyDescent="0.25">
      <c r="H10431" s="116"/>
    </row>
    <row r="10432" spans="8:8" ht="15.75" customHeight="1" x14ac:dyDescent="0.25">
      <c r="H10432" s="116"/>
    </row>
    <row r="10433" spans="8:8" ht="15.75" customHeight="1" x14ac:dyDescent="0.25">
      <c r="H10433" s="116"/>
    </row>
    <row r="10434" spans="8:8" ht="15.75" customHeight="1" x14ac:dyDescent="0.25">
      <c r="H10434" s="116"/>
    </row>
    <row r="10435" spans="8:8" ht="15.75" customHeight="1" x14ac:dyDescent="0.25">
      <c r="H10435" s="116"/>
    </row>
    <row r="10436" spans="8:8" ht="15.75" customHeight="1" x14ac:dyDescent="0.25">
      <c r="H10436" s="116"/>
    </row>
    <row r="10437" spans="8:8" ht="15.75" customHeight="1" x14ac:dyDescent="0.25">
      <c r="H10437" s="116"/>
    </row>
    <row r="10438" spans="8:8" ht="15.75" customHeight="1" x14ac:dyDescent="0.25">
      <c r="H10438" s="116"/>
    </row>
    <row r="10439" spans="8:8" ht="15.75" customHeight="1" x14ac:dyDescent="0.25">
      <c r="H10439" s="116"/>
    </row>
    <row r="10440" spans="8:8" ht="15.75" customHeight="1" x14ac:dyDescent="0.25">
      <c r="H10440" s="116"/>
    </row>
    <row r="10441" spans="8:8" ht="15.75" customHeight="1" x14ac:dyDescent="0.25">
      <c r="H10441" s="116"/>
    </row>
    <row r="10442" spans="8:8" ht="15.75" customHeight="1" x14ac:dyDescent="0.25">
      <c r="H10442" s="116"/>
    </row>
    <row r="10443" spans="8:8" ht="15.75" customHeight="1" x14ac:dyDescent="0.25">
      <c r="H10443" s="116"/>
    </row>
    <row r="10444" spans="8:8" ht="15.75" customHeight="1" x14ac:dyDescent="0.25">
      <c r="H10444" s="116"/>
    </row>
    <row r="10445" spans="8:8" ht="15.75" customHeight="1" x14ac:dyDescent="0.25">
      <c r="H10445" s="116"/>
    </row>
    <row r="10446" spans="8:8" ht="15.75" customHeight="1" x14ac:dyDescent="0.25">
      <c r="H10446" s="116"/>
    </row>
    <row r="10447" spans="8:8" ht="15.75" customHeight="1" x14ac:dyDescent="0.25">
      <c r="H10447" s="116"/>
    </row>
    <row r="10448" spans="8:8" ht="15.75" customHeight="1" x14ac:dyDescent="0.25">
      <c r="H10448" s="116"/>
    </row>
    <row r="10449" spans="8:8" ht="15.75" customHeight="1" x14ac:dyDescent="0.25">
      <c r="H10449" s="116"/>
    </row>
    <row r="10450" spans="8:8" ht="15.75" customHeight="1" x14ac:dyDescent="0.25">
      <c r="H10450" s="116"/>
    </row>
    <row r="10451" spans="8:8" ht="15.75" customHeight="1" x14ac:dyDescent="0.25">
      <c r="H10451" s="116"/>
    </row>
    <row r="10452" spans="8:8" ht="15.75" customHeight="1" x14ac:dyDescent="0.25">
      <c r="H10452" s="116"/>
    </row>
    <row r="10453" spans="8:8" ht="15.75" customHeight="1" x14ac:dyDescent="0.25">
      <c r="H10453" s="116"/>
    </row>
    <row r="10454" spans="8:8" ht="15.75" customHeight="1" x14ac:dyDescent="0.25">
      <c r="H10454" s="116"/>
    </row>
    <row r="10455" spans="8:8" ht="15.75" customHeight="1" x14ac:dyDescent="0.25">
      <c r="H10455" s="116"/>
    </row>
    <row r="10456" spans="8:8" ht="15.75" customHeight="1" x14ac:dyDescent="0.25">
      <c r="H10456" s="116"/>
    </row>
    <row r="10457" spans="8:8" ht="15.75" customHeight="1" x14ac:dyDescent="0.25">
      <c r="H10457" s="116"/>
    </row>
    <row r="10458" spans="8:8" ht="15.75" customHeight="1" x14ac:dyDescent="0.25">
      <c r="H10458" s="116"/>
    </row>
    <row r="10459" spans="8:8" ht="15.75" customHeight="1" x14ac:dyDescent="0.25">
      <c r="H10459" s="116"/>
    </row>
    <row r="10460" spans="8:8" ht="15.75" customHeight="1" x14ac:dyDescent="0.25">
      <c r="H10460" s="116"/>
    </row>
    <row r="10461" spans="8:8" ht="15.75" customHeight="1" x14ac:dyDescent="0.25">
      <c r="H10461" s="116"/>
    </row>
    <row r="10462" spans="8:8" ht="15.75" customHeight="1" x14ac:dyDescent="0.25">
      <c r="H10462" s="116"/>
    </row>
    <row r="10463" spans="8:8" ht="15.75" customHeight="1" x14ac:dyDescent="0.25">
      <c r="H10463" s="116"/>
    </row>
    <row r="10464" spans="8:8" ht="15.75" customHeight="1" x14ac:dyDescent="0.25">
      <c r="H10464" s="116"/>
    </row>
    <row r="10465" spans="8:8" ht="15.75" customHeight="1" x14ac:dyDescent="0.25">
      <c r="H10465" s="116"/>
    </row>
    <row r="10466" spans="8:8" ht="15.75" customHeight="1" x14ac:dyDescent="0.25">
      <c r="H10466" s="116"/>
    </row>
    <row r="10467" spans="8:8" ht="15.75" customHeight="1" x14ac:dyDescent="0.25">
      <c r="H10467" s="116"/>
    </row>
    <row r="10468" spans="8:8" ht="15.75" customHeight="1" x14ac:dyDescent="0.25">
      <c r="H10468" s="116"/>
    </row>
    <row r="10469" spans="8:8" ht="15.75" customHeight="1" x14ac:dyDescent="0.25">
      <c r="H10469" s="116"/>
    </row>
    <row r="10470" spans="8:8" ht="15.75" customHeight="1" x14ac:dyDescent="0.25">
      <c r="H10470" s="116"/>
    </row>
    <row r="10471" spans="8:8" ht="15.75" customHeight="1" x14ac:dyDescent="0.25">
      <c r="H10471" s="116"/>
    </row>
    <row r="10472" spans="8:8" ht="15.75" customHeight="1" x14ac:dyDescent="0.25">
      <c r="H10472" s="116"/>
    </row>
    <row r="10473" spans="8:8" ht="15.75" customHeight="1" x14ac:dyDescent="0.25">
      <c r="H10473" s="116"/>
    </row>
    <row r="10474" spans="8:8" ht="15.75" customHeight="1" x14ac:dyDescent="0.25">
      <c r="H10474" s="116"/>
    </row>
    <row r="10475" spans="8:8" ht="15.75" customHeight="1" x14ac:dyDescent="0.25">
      <c r="H10475" s="116"/>
    </row>
    <row r="10476" spans="8:8" ht="15.75" customHeight="1" x14ac:dyDescent="0.25">
      <c r="H10476" s="116"/>
    </row>
    <row r="10477" spans="8:8" ht="15.75" customHeight="1" x14ac:dyDescent="0.25">
      <c r="H10477" s="116"/>
    </row>
    <row r="10478" spans="8:8" ht="15.75" customHeight="1" x14ac:dyDescent="0.25">
      <c r="H10478" s="116"/>
    </row>
    <row r="10479" spans="8:8" ht="15.75" customHeight="1" x14ac:dyDescent="0.25">
      <c r="H10479" s="116"/>
    </row>
    <row r="10480" spans="8:8" ht="15.75" customHeight="1" x14ac:dyDescent="0.25">
      <c r="H10480" s="116"/>
    </row>
    <row r="10481" spans="8:8" ht="15.75" customHeight="1" x14ac:dyDescent="0.25">
      <c r="H10481" s="116"/>
    </row>
    <row r="10482" spans="8:8" ht="15.75" customHeight="1" x14ac:dyDescent="0.25">
      <c r="H10482" s="116"/>
    </row>
    <row r="10483" spans="8:8" ht="15.75" customHeight="1" x14ac:dyDescent="0.25">
      <c r="H10483" s="116"/>
    </row>
    <row r="10484" spans="8:8" ht="15.75" customHeight="1" x14ac:dyDescent="0.25">
      <c r="H10484" s="116"/>
    </row>
    <row r="10485" spans="8:8" ht="15.75" customHeight="1" x14ac:dyDescent="0.25">
      <c r="H10485" s="116"/>
    </row>
    <row r="10486" spans="8:8" ht="15.75" customHeight="1" x14ac:dyDescent="0.25">
      <c r="H10486" s="116"/>
    </row>
    <row r="10487" spans="8:8" ht="15.75" customHeight="1" x14ac:dyDescent="0.25">
      <c r="H10487" s="116"/>
    </row>
    <row r="10488" spans="8:8" ht="15.75" customHeight="1" x14ac:dyDescent="0.25">
      <c r="H10488" s="116"/>
    </row>
    <row r="10489" spans="8:8" ht="15.75" customHeight="1" x14ac:dyDescent="0.25">
      <c r="H10489" s="116"/>
    </row>
    <row r="10490" spans="8:8" ht="15.75" customHeight="1" x14ac:dyDescent="0.25">
      <c r="H10490" s="116"/>
    </row>
    <row r="10491" spans="8:8" ht="15.75" customHeight="1" x14ac:dyDescent="0.25">
      <c r="H10491" s="116"/>
    </row>
    <row r="10492" spans="8:8" ht="15.75" customHeight="1" x14ac:dyDescent="0.25">
      <c r="H10492" s="116"/>
    </row>
    <row r="10493" spans="8:8" ht="15.75" customHeight="1" x14ac:dyDescent="0.25">
      <c r="H10493" s="116"/>
    </row>
    <row r="10494" spans="8:8" ht="15.75" customHeight="1" x14ac:dyDescent="0.25">
      <c r="H10494" s="116"/>
    </row>
    <row r="10495" spans="8:8" ht="15.75" customHeight="1" x14ac:dyDescent="0.25">
      <c r="H10495" s="116"/>
    </row>
    <row r="10496" spans="8:8" ht="15.75" customHeight="1" x14ac:dyDescent="0.25">
      <c r="H10496" s="116"/>
    </row>
    <row r="10497" spans="8:8" ht="15.75" customHeight="1" x14ac:dyDescent="0.25">
      <c r="H10497" s="116"/>
    </row>
    <row r="10498" spans="8:8" ht="15.75" customHeight="1" x14ac:dyDescent="0.25">
      <c r="H10498" s="116"/>
    </row>
    <row r="10499" spans="8:8" ht="15.75" customHeight="1" x14ac:dyDescent="0.25">
      <c r="H10499" s="116"/>
    </row>
    <row r="10500" spans="8:8" ht="15.75" customHeight="1" x14ac:dyDescent="0.25">
      <c r="H10500" s="116"/>
    </row>
    <row r="10501" spans="8:8" ht="15.75" customHeight="1" x14ac:dyDescent="0.25">
      <c r="H10501" s="116"/>
    </row>
    <row r="10502" spans="8:8" ht="15.75" customHeight="1" x14ac:dyDescent="0.25">
      <c r="H10502" s="116"/>
    </row>
    <row r="10503" spans="8:8" ht="15.75" customHeight="1" x14ac:dyDescent="0.25">
      <c r="H10503" s="116"/>
    </row>
    <row r="10504" spans="8:8" ht="15.75" customHeight="1" x14ac:dyDescent="0.25">
      <c r="H10504" s="116"/>
    </row>
    <row r="10505" spans="8:8" ht="15.75" customHeight="1" x14ac:dyDescent="0.25">
      <c r="H10505" s="116"/>
    </row>
    <row r="10506" spans="8:8" ht="15.75" customHeight="1" x14ac:dyDescent="0.25">
      <c r="H10506" s="116"/>
    </row>
    <row r="10507" spans="8:8" ht="15.75" customHeight="1" x14ac:dyDescent="0.25">
      <c r="H10507" s="116"/>
    </row>
    <row r="10508" spans="8:8" ht="15.75" customHeight="1" x14ac:dyDescent="0.25">
      <c r="H10508" s="116"/>
    </row>
    <row r="10509" spans="8:8" ht="15.75" customHeight="1" x14ac:dyDescent="0.25">
      <c r="H10509" s="116"/>
    </row>
    <row r="10510" spans="8:8" ht="15.75" customHeight="1" x14ac:dyDescent="0.25">
      <c r="H10510" s="116"/>
    </row>
    <row r="10511" spans="8:8" ht="15.75" customHeight="1" x14ac:dyDescent="0.25">
      <c r="H10511" s="116"/>
    </row>
    <row r="10512" spans="8:8" ht="15.75" customHeight="1" x14ac:dyDescent="0.25">
      <c r="H10512" s="116"/>
    </row>
    <row r="10513" spans="8:8" ht="15.75" customHeight="1" x14ac:dyDescent="0.25">
      <c r="H10513" s="116"/>
    </row>
    <row r="10514" spans="8:8" ht="15.75" customHeight="1" x14ac:dyDescent="0.25">
      <c r="H10514" s="116"/>
    </row>
    <row r="10515" spans="8:8" ht="15.75" customHeight="1" x14ac:dyDescent="0.25">
      <c r="H10515" s="116"/>
    </row>
    <row r="10516" spans="8:8" ht="15.75" customHeight="1" x14ac:dyDescent="0.25">
      <c r="H10516" s="116"/>
    </row>
    <row r="10517" spans="8:8" ht="15.75" customHeight="1" x14ac:dyDescent="0.25">
      <c r="H10517" s="116"/>
    </row>
    <row r="10518" spans="8:8" ht="15.75" customHeight="1" x14ac:dyDescent="0.25">
      <c r="H10518" s="116"/>
    </row>
    <row r="10519" spans="8:8" ht="15.75" customHeight="1" x14ac:dyDescent="0.25">
      <c r="H10519" s="116"/>
    </row>
    <row r="10520" spans="8:8" ht="15.75" customHeight="1" x14ac:dyDescent="0.25">
      <c r="H10520" s="116"/>
    </row>
    <row r="10521" spans="8:8" ht="15.75" customHeight="1" x14ac:dyDescent="0.25">
      <c r="H10521" s="116"/>
    </row>
    <row r="10522" spans="8:8" ht="15.75" customHeight="1" x14ac:dyDescent="0.25">
      <c r="H10522" s="116"/>
    </row>
    <row r="10523" spans="8:8" ht="15.75" customHeight="1" x14ac:dyDescent="0.25">
      <c r="H10523" s="116"/>
    </row>
    <row r="10524" spans="8:8" ht="15.75" customHeight="1" x14ac:dyDescent="0.25">
      <c r="H10524" s="116"/>
    </row>
    <row r="10525" spans="8:8" ht="15.75" customHeight="1" x14ac:dyDescent="0.25">
      <c r="H10525" s="116"/>
    </row>
    <row r="10526" spans="8:8" ht="15.75" customHeight="1" x14ac:dyDescent="0.25">
      <c r="H10526" s="116"/>
    </row>
    <row r="10527" spans="8:8" ht="15.75" customHeight="1" x14ac:dyDescent="0.25">
      <c r="H10527" s="116"/>
    </row>
    <row r="10528" spans="8:8" ht="15.75" customHeight="1" x14ac:dyDescent="0.25">
      <c r="H10528" s="116"/>
    </row>
    <row r="10529" spans="8:8" ht="15.75" customHeight="1" x14ac:dyDescent="0.25">
      <c r="H10529" s="116"/>
    </row>
    <row r="10530" spans="8:8" ht="15.75" customHeight="1" x14ac:dyDescent="0.25">
      <c r="H10530" s="116"/>
    </row>
    <row r="10531" spans="8:8" ht="15.75" customHeight="1" x14ac:dyDescent="0.25">
      <c r="H10531" s="116"/>
    </row>
    <row r="10532" spans="8:8" ht="15.75" customHeight="1" x14ac:dyDescent="0.25">
      <c r="H10532" s="116"/>
    </row>
    <row r="10533" spans="8:8" ht="15.75" customHeight="1" x14ac:dyDescent="0.25">
      <c r="H10533" s="116"/>
    </row>
    <row r="10534" spans="8:8" ht="15.75" customHeight="1" x14ac:dyDescent="0.25">
      <c r="H10534" s="116"/>
    </row>
    <row r="10535" spans="8:8" ht="15.75" customHeight="1" x14ac:dyDescent="0.25">
      <c r="H10535" s="116"/>
    </row>
    <row r="10536" spans="8:8" ht="15.75" customHeight="1" x14ac:dyDescent="0.25">
      <c r="H10536" s="116"/>
    </row>
    <row r="10537" spans="8:8" ht="15.75" customHeight="1" x14ac:dyDescent="0.25">
      <c r="H10537" s="116"/>
    </row>
    <row r="10538" spans="8:8" ht="15.75" customHeight="1" x14ac:dyDescent="0.25">
      <c r="H10538" s="116"/>
    </row>
    <row r="10539" spans="8:8" ht="15.75" customHeight="1" x14ac:dyDescent="0.25">
      <c r="H10539" s="116"/>
    </row>
    <row r="10540" spans="8:8" ht="15.75" customHeight="1" x14ac:dyDescent="0.25">
      <c r="H10540" s="116"/>
    </row>
    <row r="10541" spans="8:8" ht="15.75" customHeight="1" x14ac:dyDescent="0.25">
      <c r="H10541" s="116"/>
    </row>
    <row r="10542" spans="8:8" ht="15.75" customHeight="1" x14ac:dyDescent="0.25">
      <c r="H10542" s="116"/>
    </row>
    <row r="10543" spans="8:8" ht="15.75" customHeight="1" x14ac:dyDescent="0.25">
      <c r="H10543" s="116"/>
    </row>
    <row r="10544" spans="8:8" ht="15.75" customHeight="1" x14ac:dyDescent="0.25">
      <c r="H10544" s="116"/>
    </row>
    <row r="10545" spans="8:8" ht="15.75" customHeight="1" x14ac:dyDescent="0.25">
      <c r="H10545" s="116"/>
    </row>
    <row r="10546" spans="8:8" ht="15.75" customHeight="1" x14ac:dyDescent="0.25">
      <c r="H10546" s="116"/>
    </row>
    <row r="10547" spans="8:8" ht="15.75" customHeight="1" x14ac:dyDescent="0.25">
      <c r="H10547" s="116"/>
    </row>
    <row r="10548" spans="8:8" ht="15.75" customHeight="1" x14ac:dyDescent="0.25">
      <c r="H10548" s="116"/>
    </row>
    <row r="10549" spans="8:8" ht="15.75" customHeight="1" x14ac:dyDescent="0.25">
      <c r="H10549" s="116"/>
    </row>
    <row r="10550" spans="8:8" ht="15.75" customHeight="1" x14ac:dyDescent="0.25">
      <c r="H10550" s="116"/>
    </row>
    <row r="10551" spans="8:8" ht="15.75" customHeight="1" x14ac:dyDescent="0.25">
      <c r="H10551" s="116"/>
    </row>
    <row r="10552" spans="8:8" ht="15.75" customHeight="1" x14ac:dyDescent="0.25">
      <c r="H10552" s="116"/>
    </row>
    <row r="10553" spans="8:8" ht="15.75" customHeight="1" x14ac:dyDescent="0.25">
      <c r="H10553" s="116"/>
    </row>
    <row r="10554" spans="8:8" ht="15.75" customHeight="1" x14ac:dyDescent="0.25">
      <c r="H10554" s="116"/>
    </row>
    <row r="10555" spans="8:8" ht="15.75" customHeight="1" x14ac:dyDescent="0.25">
      <c r="H10555" s="116"/>
    </row>
    <row r="10556" spans="8:8" ht="15.75" customHeight="1" x14ac:dyDescent="0.25">
      <c r="H10556" s="116"/>
    </row>
    <row r="10557" spans="8:8" ht="15.75" customHeight="1" x14ac:dyDescent="0.25">
      <c r="H10557" s="116"/>
    </row>
    <row r="10558" spans="8:8" ht="15.75" customHeight="1" x14ac:dyDescent="0.25">
      <c r="H10558" s="116"/>
    </row>
    <row r="10559" spans="8:8" ht="15.75" customHeight="1" x14ac:dyDescent="0.25">
      <c r="H10559" s="116"/>
    </row>
    <row r="10560" spans="8:8" ht="15.75" customHeight="1" x14ac:dyDescent="0.25">
      <c r="H10560" s="116"/>
    </row>
    <row r="10561" spans="8:8" ht="15.75" customHeight="1" x14ac:dyDescent="0.25">
      <c r="H10561" s="116"/>
    </row>
    <row r="10562" spans="8:8" ht="15.75" customHeight="1" x14ac:dyDescent="0.25">
      <c r="H10562" s="116"/>
    </row>
    <row r="10563" spans="8:8" ht="15.75" customHeight="1" x14ac:dyDescent="0.25">
      <c r="H10563" s="116"/>
    </row>
    <row r="10564" spans="8:8" ht="15.75" customHeight="1" x14ac:dyDescent="0.25">
      <c r="H10564" s="116"/>
    </row>
    <row r="10565" spans="8:8" ht="15.75" customHeight="1" x14ac:dyDescent="0.25">
      <c r="H10565" s="116"/>
    </row>
    <row r="10566" spans="8:8" ht="15.75" customHeight="1" x14ac:dyDescent="0.25">
      <c r="H10566" s="116"/>
    </row>
    <row r="10567" spans="8:8" ht="15.75" customHeight="1" x14ac:dyDescent="0.25">
      <c r="H10567" s="116"/>
    </row>
    <row r="10568" spans="8:8" ht="15.75" customHeight="1" x14ac:dyDescent="0.25">
      <c r="H10568" s="116"/>
    </row>
    <row r="10569" spans="8:8" ht="15.75" customHeight="1" x14ac:dyDescent="0.25">
      <c r="H10569" s="116"/>
    </row>
    <row r="10570" spans="8:8" ht="15.75" customHeight="1" x14ac:dyDescent="0.25">
      <c r="H10570" s="116"/>
    </row>
    <row r="10571" spans="8:8" ht="15.75" customHeight="1" x14ac:dyDescent="0.25">
      <c r="H10571" s="116"/>
    </row>
    <row r="10572" spans="8:8" ht="15.75" customHeight="1" x14ac:dyDescent="0.25">
      <c r="H10572" s="116"/>
    </row>
    <row r="10573" spans="8:8" ht="15.75" customHeight="1" x14ac:dyDescent="0.25">
      <c r="H10573" s="116"/>
    </row>
    <row r="10574" spans="8:8" ht="15.75" customHeight="1" x14ac:dyDescent="0.25">
      <c r="H10574" s="116"/>
    </row>
    <row r="10575" spans="8:8" ht="15.75" customHeight="1" x14ac:dyDescent="0.25">
      <c r="H10575" s="116"/>
    </row>
    <row r="10576" spans="8:8" ht="15.75" customHeight="1" x14ac:dyDescent="0.25">
      <c r="H10576" s="116"/>
    </row>
    <row r="10577" spans="8:8" ht="15.75" customHeight="1" x14ac:dyDescent="0.25">
      <c r="H10577" s="116"/>
    </row>
    <row r="10578" spans="8:8" ht="15.75" customHeight="1" x14ac:dyDescent="0.25">
      <c r="H10578" s="116"/>
    </row>
    <row r="10579" spans="8:8" ht="15.75" customHeight="1" x14ac:dyDescent="0.25">
      <c r="H10579" s="116"/>
    </row>
    <row r="10580" spans="8:8" ht="15.75" customHeight="1" x14ac:dyDescent="0.25">
      <c r="H10580" s="116"/>
    </row>
    <row r="10581" spans="8:8" ht="15.75" customHeight="1" x14ac:dyDescent="0.25">
      <c r="H10581" s="116"/>
    </row>
    <row r="10582" spans="8:8" ht="15.75" customHeight="1" x14ac:dyDescent="0.25">
      <c r="H10582" s="116"/>
    </row>
    <row r="10583" spans="8:8" ht="15.75" customHeight="1" x14ac:dyDescent="0.25">
      <c r="H10583" s="116"/>
    </row>
    <row r="10584" spans="8:8" ht="15.75" customHeight="1" x14ac:dyDescent="0.25">
      <c r="H10584" s="116"/>
    </row>
    <row r="10585" spans="8:8" ht="15.75" customHeight="1" x14ac:dyDescent="0.25">
      <c r="H10585" s="116"/>
    </row>
    <row r="10586" spans="8:8" ht="15.75" customHeight="1" x14ac:dyDescent="0.25">
      <c r="H10586" s="116"/>
    </row>
    <row r="10587" spans="8:8" ht="15.75" customHeight="1" x14ac:dyDescent="0.25">
      <c r="H10587" s="116"/>
    </row>
    <row r="10588" spans="8:8" ht="15.75" customHeight="1" x14ac:dyDescent="0.25">
      <c r="H10588" s="116"/>
    </row>
    <row r="10589" spans="8:8" ht="15.75" customHeight="1" x14ac:dyDescent="0.25">
      <c r="H10589" s="116"/>
    </row>
    <row r="10590" spans="8:8" ht="15.75" customHeight="1" x14ac:dyDescent="0.25">
      <c r="H10590" s="116"/>
    </row>
    <row r="10591" spans="8:8" ht="15.75" customHeight="1" x14ac:dyDescent="0.25">
      <c r="H10591" s="116"/>
    </row>
    <row r="10592" spans="8:8" ht="15.75" customHeight="1" x14ac:dyDescent="0.25">
      <c r="H10592" s="116"/>
    </row>
    <row r="10593" spans="8:8" ht="15.75" customHeight="1" x14ac:dyDescent="0.25">
      <c r="H10593" s="116"/>
    </row>
    <row r="10594" spans="8:8" ht="15.75" customHeight="1" x14ac:dyDescent="0.25">
      <c r="H10594" s="116"/>
    </row>
    <row r="10595" spans="8:8" ht="15.75" customHeight="1" x14ac:dyDescent="0.25">
      <c r="H10595" s="116"/>
    </row>
    <row r="10596" spans="8:8" ht="15.75" customHeight="1" x14ac:dyDescent="0.25">
      <c r="H10596" s="116"/>
    </row>
    <row r="10597" spans="8:8" ht="15.75" customHeight="1" x14ac:dyDescent="0.25">
      <c r="H10597" s="116"/>
    </row>
    <row r="10598" spans="8:8" ht="15.75" customHeight="1" x14ac:dyDescent="0.25">
      <c r="H10598" s="116"/>
    </row>
    <row r="10599" spans="8:8" ht="15.75" customHeight="1" x14ac:dyDescent="0.25">
      <c r="H10599" s="116"/>
    </row>
    <row r="10600" spans="8:8" ht="15.75" customHeight="1" x14ac:dyDescent="0.25">
      <c r="H10600" s="116"/>
    </row>
    <row r="10601" spans="8:8" ht="15.75" customHeight="1" x14ac:dyDescent="0.25">
      <c r="H10601" s="116"/>
    </row>
    <row r="10602" spans="8:8" ht="15.75" customHeight="1" x14ac:dyDescent="0.25">
      <c r="H10602" s="116"/>
    </row>
    <row r="10603" spans="8:8" ht="15.75" customHeight="1" x14ac:dyDescent="0.25">
      <c r="H10603" s="116"/>
    </row>
    <row r="10604" spans="8:8" ht="15.75" customHeight="1" x14ac:dyDescent="0.25">
      <c r="H10604" s="116"/>
    </row>
    <row r="10605" spans="8:8" ht="15.75" customHeight="1" x14ac:dyDescent="0.25">
      <c r="H10605" s="116"/>
    </row>
    <row r="10606" spans="8:8" ht="15.75" customHeight="1" x14ac:dyDescent="0.25">
      <c r="H10606" s="116"/>
    </row>
    <row r="10607" spans="8:8" ht="15.75" customHeight="1" x14ac:dyDescent="0.25">
      <c r="H10607" s="116"/>
    </row>
    <row r="10608" spans="8:8" ht="15.75" customHeight="1" x14ac:dyDescent="0.25">
      <c r="H10608" s="116"/>
    </row>
    <row r="10609" spans="8:8" ht="15.75" customHeight="1" x14ac:dyDescent="0.25">
      <c r="H10609" s="116"/>
    </row>
    <row r="10610" spans="8:8" ht="15.75" customHeight="1" x14ac:dyDescent="0.25">
      <c r="H10610" s="116"/>
    </row>
    <row r="10611" spans="8:8" ht="15.75" customHeight="1" x14ac:dyDescent="0.25">
      <c r="H10611" s="116"/>
    </row>
    <row r="10612" spans="8:8" ht="15.75" customHeight="1" x14ac:dyDescent="0.25">
      <c r="H10612" s="116"/>
    </row>
    <row r="10613" spans="8:8" ht="15.75" customHeight="1" x14ac:dyDescent="0.25">
      <c r="H10613" s="116"/>
    </row>
    <row r="10614" spans="8:8" ht="15.75" customHeight="1" x14ac:dyDescent="0.25">
      <c r="H10614" s="116"/>
    </row>
    <row r="10615" spans="8:8" ht="15.75" customHeight="1" x14ac:dyDescent="0.25">
      <c r="H10615" s="116"/>
    </row>
    <row r="10616" spans="8:8" ht="15.75" customHeight="1" x14ac:dyDescent="0.25">
      <c r="H10616" s="116"/>
    </row>
    <row r="10617" spans="8:8" ht="15.75" customHeight="1" x14ac:dyDescent="0.25">
      <c r="H10617" s="116"/>
    </row>
    <row r="10618" spans="8:8" ht="15.75" customHeight="1" x14ac:dyDescent="0.25">
      <c r="H10618" s="116"/>
    </row>
    <row r="10619" spans="8:8" ht="15.75" customHeight="1" x14ac:dyDescent="0.25">
      <c r="H10619" s="116"/>
    </row>
    <row r="10620" spans="8:8" ht="15.75" customHeight="1" x14ac:dyDescent="0.25">
      <c r="H10620" s="116"/>
    </row>
    <row r="10621" spans="8:8" ht="15.75" customHeight="1" x14ac:dyDescent="0.25">
      <c r="H10621" s="116"/>
    </row>
    <row r="10622" spans="8:8" ht="15.75" customHeight="1" x14ac:dyDescent="0.25">
      <c r="H10622" s="116"/>
    </row>
    <row r="10623" spans="8:8" ht="15.75" customHeight="1" x14ac:dyDescent="0.25">
      <c r="H10623" s="116"/>
    </row>
    <row r="10624" spans="8:8" ht="15.75" customHeight="1" x14ac:dyDescent="0.25">
      <c r="H10624" s="116"/>
    </row>
    <row r="10625" spans="8:8" ht="15.75" customHeight="1" x14ac:dyDescent="0.25">
      <c r="H10625" s="116"/>
    </row>
    <row r="10626" spans="8:8" ht="15.75" customHeight="1" x14ac:dyDescent="0.25">
      <c r="H10626" s="116"/>
    </row>
    <row r="10627" spans="8:8" ht="15.75" customHeight="1" x14ac:dyDescent="0.25">
      <c r="H10627" s="116"/>
    </row>
    <row r="10628" spans="8:8" ht="15.75" customHeight="1" x14ac:dyDescent="0.25">
      <c r="H10628" s="116"/>
    </row>
    <row r="10629" spans="8:8" ht="15.75" customHeight="1" x14ac:dyDescent="0.25">
      <c r="H10629" s="116"/>
    </row>
    <row r="10630" spans="8:8" ht="15.75" customHeight="1" x14ac:dyDescent="0.25">
      <c r="H10630" s="116"/>
    </row>
    <row r="10631" spans="8:8" ht="15.75" customHeight="1" x14ac:dyDescent="0.25">
      <c r="H10631" s="116"/>
    </row>
    <row r="10632" spans="8:8" ht="15.75" customHeight="1" x14ac:dyDescent="0.25">
      <c r="H10632" s="116"/>
    </row>
    <row r="10633" spans="8:8" ht="15.75" customHeight="1" x14ac:dyDescent="0.25">
      <c r="H10633" s="116"/>
    </row>
    <row r="10634" spans="8:8" ht="15.75" customHeight="1" x14ac:dyDescent="0.25">
      <c r="H10634" s="116"/>
    </row>
    <row r="10635" spans="8:8" ht="15.75" customHeight="1" x14ac:dyDescent="0.25">
      <c r="H10635" s="116"/>
    </row>
    <row r="10636" spans="8:8" ht="15.75" customHeight="1" x14ac:dyDescent="0.25">
      <c r="H10636" s="116"/>
    </row>
    <row r="10637" spans="8:8" ht="15.75" customHeight="1" x14ac:dyDescent="0.25">
      <c r="H10637" s="116"/>
    </row>
    <row r="10638" spans="8:8" ht="15.75" customHeight="1" x14ac:dyDescent="0.25">
      <c r="H10638" s="116"/>
    </row>
    <row r="10639" spans="8:8" ht="15.75" customHeight="1" x14ac:dyDescent="0.25">
      <c r="H10639" s="116"/>
    </row>
    <row r="10640" spans="8:8" ht="15.75" customHeight="1" x14ac:dyDescent="0.25">
      <c r="H10640" s="116"/>
    </row>
    <row r="10641" spans="8:8" ht="15.75" customHeight="1" x14ac:dyDescent="0.25">
      <c r="H10641" s="116"/>
    </row>
    <row r="10642" spans="8:8" ht="15.75" customHeight="1" x14ac:dyDescent="0.25">
      <c r="H10642" s="116"/>
    </row>
    <row r="10643" spans="8:8" ht="15.75" customHeight="1" x14ac:dyDescent="0.25">
      <c r="H10643" s="116"/>
    </row>
    <row r="10644" spans="8:8" ht="15.75" customHeight="1" x14ac:dyDescent="0.25">
      <c r="H10644" s="116"/>
    </row>
    <row r="10645" spans="8:8" ht="15.75" customHeight="1" x14ac:dyDescent="0.25">
      <c r="H10645" s="116"/>
    </row>
    <row r="10646" spans="8:8" ht="15.75" customHeight="1" x14ac:dyDescent="0.25">
      <c r="H10646" s="116"/>
    </row>
    <row r="10647" spans="8:8" ht="15.75" customHeight="1" x14ac:dyDescent="0.25">
      <c r="H10647" s="116"/>
    </row>
    <row r="10648" spans="8:8" ht="15.75" customHeight="1" x14ac:dyDescent="0.25">
      <c r="H10648" s="116"/>
    </row>
    <row r="10649" spans="8:8" ht="15.75" customHeight="1" x14ac:dyDescent="0.25">
      <c r="H10649" s="116"/>
    </row>
    <row r="10650" spans="8:8" ht="15.75" customHeight="1" x14ac:dyDescent="0.25">
      <c r="H10650" s="116"/>
    </row>
    <row r="10651" spans="8:8" ht="15.75" customHeight="1" x14ac:dyDescent="0.25">
      <c r="H10651" s="116"/>
    </row>
    <row r="10652" spans="8:8" ht="15.75" customHeight="1" x14ac:dyDescent="0.25">
      <c r="H10652" s="116"/>
    </row>
    <row r="10653" spans="8:8" ht="15.75" customHeight="1" x14ac:dyDescent="0.25">
      <c r="H10653" s="116"/>
    </row>
    <row r="10654" spans="8:8" ht="15.75" customHeight="1" x14ac:dyDescent="0.25">
      <c r="H10654" s="116"/>
    </row>
    <row r="10655" spans="8:8" ht="15.75" customHeight="1" x14ac:dyDescent="0.25">
      <c r="H10655" s="116"/>
    </row>
    <row r="10656" spans="8:8" ht="15.75" customHeight="1" x14ac:dyDescent="0.25">
      <c r="H10656" s="116"/>
    </row>
    <row r="10657" spans="8:8" ht="15.75" customHeight="1" x14ac:dyDescent="0.25">
      <c r="H10657" s="116"/>
    </row>
    <row r="10658" spans="8:8" ht="15.75" customHeight="1" x14ac:dyDescent="0.25">
      <c r="H10658" s="116"/>
    </row>
    <row r="10659" spans="8:8" ht="15.75" customHeight="1" x14ac:dyDescent="0.25">
      <c r="H10659" s="116"/>
    </row>
    <row r="10660" spans="8:8" ht="15.75" customHeight="1" x14ac:dyDescent="0.25">
      <c r="H10660" s="116"/>
    </row>
    <row r="10661" spans="8:8" ht="15.75" customHeight="1" x14ac:dyDescent="0.25">
      <c r="H10661" s="116"/>
    </row>
    <row r="10662" spans="8:8" ht="15.75" customHeight="1" x14ac:dyDescent="0.25">
      <c r="H10662" s="116"/>
    </row>
    <row r="10663" spans="8:8" ht="15.75" customHeight="1" x14ac:dyDescent="0.25">
      <c r="H10663" s="116"/>
    </row>
    <row r="10664" spans="8:8" ht="15.75" customHeight="1" x14ac:dyDescent="0.25">
      <c r="H10664" s="116"/>
    </row>
    <row r="10665" spans="8:8" ht="15.75" customHeight="1" x14ac:dyDescent="0.25">
      <c r="H10665" s="116"/>
    </row>
    <row r="10666" spans="8:8" ht="15.75" customHeight="1" x14ac:dyDescent="0.25">
      <c r="H10666" s="116"/>
    </row>
    <row r="10667" spans="8:8" ht="15.75" customHeight="1" x14ac:dyDescent="0.25">
      <c r="H10667" s="116"/>
    </row>
    <row r="10668" spans="8:8" ht="15.75" customHeight="1" x14ac:dyDescent="0.25">
      <c r="H10668" s="116"/>
    </row>
    <row r="10669" spans="8:8" ht="15.75" customHeight="1" x14ac:dyDescent="0.25">
      <c r="H10669" s="116"/>
    </row>
    <row r="10670" spans="8:8" ht="15.75" customHeight="1" x14ac:dyDescent="0.25">
      <c r="H10670" s="116"/>
    </row>
    <row r="10671" spans="8:8" ht="15.75" customHeight="1" x14ac:dyDescent="0.25">
      <c r="H10671" s="116"/>
    </row>
    <row r="10672" spans="8:8" ht="15.75" customHeight="1" x14ac:dyDescent="0.25">
      <c r="H10672" s="116"/>
    </row>
    <row r="10673" spans="8:8" ht="15.75" customHeight="1" x14ac:dyDescent="0.25">
      <c r="H10673" s="116"/>
    </row>
    <row r="10674" spans="8:8" ht="15.75" customHeight="1" x14ac:dyDescent="0.25">
      <c r="H10674" s="116"/>
    </row>
    <row r="10675" spans="8:8" ht="15.75" customHeight="1" x14ac:dyDescent="0.25">
      <c r="H10675" s="116"/>
    </row>
    <row r="10676" spans="8:8" ht="15.75" customHeight="1" x14ac:dyDescent="0.25">
      <c r="H10676" s="116"/>
    </row>
    <row r="10677" spans="8:8" ht="15.75" customHeight="1" x14ac:dyDescent="0.25">
      <c r="H10677" s="116"/>
    </row>
    <row r="10678" spans="8:8" ht="15.75" customHeight="1" x14ac:dyDescent="0.25">
      <c r="H10678" s="116"/>
    </row>
    <row r="10679" spans="8:8" ht="15.75" customHeight="1" x14ac:dyDescent="0.25">
      <c r="H10679" s="116"/>
    </row>
    <row r="10680" spans="8:8" ht="15.75" customHeight="1" x14ac:dyDescent="0.25">
      <c r="H10680" s="116"/>
    </row>
    <row r="10681" spans="8:8" ht="15.75" customHeight="1" x14ac:dyDescent="0.25">
      <c r="H10681" s="116"/>
    </row>
    <row r="10682" spans="8:8" ht="15.75" customHeight="1" x14ac:dyDescent="0.25">
      <c r="H10682" s="116"/>
    </row>
    <row r="10683" spans="8:8" ht="15.75" customHeight="1" x14ac:dyDescent="0.25">
      <c r="H10683" s="116"/>
    </row>
    <row r="10684" spans="8:8" ht="15.75" customHeight="1" x14ac:dyDescent="0.25">
      <c r="H10684" s="116"/>
    </row>
    <row r="10685" spans="8:8" ht="15.75" customHeight="1" x14ac:dyDescent="0.25">
      <c r="H10685" s="116"/>
    </row>
    <row r="10686" spans="8:8" ht="15.75" customHeight="1" x14ac:dyDescent="0.25">
      <c r="H10686" s="116"/>
    </row>
    <row r="10687" spans="8:8" ht="15.75" customHeight="1" x14ac:dyDescent="0.25">
      <c r="H10687" s="116"/>
    </row>
    <row r="10688" spans="8:8" ht="15.75" customHeight="1" x14ac:dyDescent="0.25">
      <c r="H10688" s="116"/>
    </row>
    <row r="10689" spans="8:8" ht="15.75" customHeight="1" x14ac:dyDescent="0.25">
      <c r="H10689" s="116"/>
    </row>
    <row r="10690" spans="8:8" ht="15.75" customHeight="1" x14ac:dyDescent="0.25">
      <c r="H10690" s="116"/>
    </row>
    <row r="10691" spans="8:8" ht="15.75" customHeight="1" x14ac:dyDescent="0.25">
      <c r="H10691" s="116"/>
    </row>
    <row r="10692" spans="8:8" ht="15.75" customHeight="1" x14ac:dyDescent="0.25">
      <c r="H10692" s="116"/>
    </row>
    <row r="10693" spans="8:8" ht="15.75" customHeight="1" x14ac:dyDescent="0.25">
      <c r="H10693" s="116"/>
    </row>
    <row r="10694" spans="8:8" ht="15.75" customHeight="1" x14ac:dyDescent="0.25">
      <c r="H10694" s="116"/>
    </row>
    <row r="10695" spans="8:8" ht="15.75" customHeight="1" x14ac:dyDescent="0.25">
      <c r="H10695" s="116"/>
    </row>
    <row r="10696" spans="8:8" ht="15.75" customHeight="1" x14ac:dyDescent="0.25">
      <c r="H10696" s="116"/>
    </row>
    <row r="10697" spans="8:8" ht="15.75" customHeight="1" x14ac:dyDescent="0.25">
      <c r="H10697" s="116"/>
    </row>
    <row r="10698" spans="8:8" ht="15.75" customHeight="1" x14ac:dyDescent="0.25">
      <c r="H10698" s="116"/>
    </row>
    <row r="10699" spans="8:8" ht="15.75" customHeight="1" x14ac:dyDescent="0.25">
      <c r="H10699" s="116"/>
    </row>
    <row r="10700" spans="8:8" ht="15.75" customHeight="1" x14ac:dyDescent="0.25">
      <c r="H10700" s="116"/>
    </row>
    <row r="10701" spans="8:8" ht="15.75" customHeight="1" x14ac:dyDescent="0.25">
      <c r="H10701" s="116"/>
    </row>
    <row r="10702" spans="8:8" ht="15.75" customHeight="1" x14ac:dyDescent="0.25">
      <c r="H10702" s="116"/>
    </row>
    <row r="10703" spans="8:8" ht="15.75" customHeight="1" x14ac:dyDescent="0.25">
      <c r="H10703" s="116"/>
    </row>
    <row r="10704" spans="8:8" ht="15.75" customHeight="1" x14ac:dyDescent="0.25">
      <c r="H10704" s="116"/>
    </row>
    <row r="10705" spans="8:8" ht="15.75" customHeight="1" x14ac:dyDescent="0.25">
      <c r="H10705" s="116"/>
    </row>
    <row r="10706" spans="8:8" ht="15.75" customHeight="1" x14ac:dyDescent="0.25">
      <c r="H10706" s="116"/>
    </row>
    <row r="10707" spans="8:8" ht="15.75" customHeight="1" x14ac:dyDescent="0.25">
      <c r="H10707" s="116"/>
    </row>
    <row r="10708" spans="8:8" ht="15.75" customHeight="1" x14ac:dyDescent="0.25">
      <c r="H10708" s="116"/>
    </row>
    <row r="10709" spans="8:8" ht="15.75" customHeight="1" x14ac:dyDescent="0.25">
      <c r="H10709" s="116"/>
    </row>
    <row r="10710" spans="8:8" ht="15.75" customHeight="1" x14ac:dyDescent="0.25">
      <c r="H10710" s="116"/>
    </row>
    <row r="10711" spans="8:8" ht="15.75" customHeight="1" x14ac:dyDescent="0.25">
      <c r="H10711" s="116"/>
    </row>
    <row r="10712" spans="8:8" ht="15.75" customHeight="1" x14ac:dyDescent="0.25">
      <c r="H10712" s="116"/>
    </row>
    <row r="10713" spans="8:8" ht="15.75" customHeight="1" x14ac:dyDescent="0.25">
      <c r="H10713" s="116"/>
    </row>
    <row r="10714" spans="8:8" ht="15.75" customHeight="1" x14ac:dyDescent="0.25">
      <c r="H10714" s="116"/>
    </row>
    <row r="10715" spans="8:8" ht="15.75" customHeight="1" x14ac:dyDescent="0.25">
      <c r="H10715" s="116"/>
    </row>
    <row r="10716" spans="8:8" ht="15.75" customHeight="1" x14ac:dyDescent="0.25">
      <c r="H10716" s="116"/>
    </row>
    <row r="10717" spans="8:8" ht="15.75" customHeight="1" x14ac:dyDescent="0.25">
      <c r="H10717" s="116"/>
    </row>
    <row r="10718" spans="8:8" ht="15.75" customHeight="1" x14ac:dyDescent="0.25">
      <c r="H10718" s="116"/>
    </row>
    <row r="10719" spans="8:8" ht="15.75" customHeight="1" x14ac:dyDescent="0.25">
      <c r="H10719" s="116"/>
    </row>
    <row r="10720" spans="8:8" ht="15.75" customHeight="1" x14ac:dyDescent="0.25">
      <c r="H10720" s="116"/>
    </row>
    <row r="10721" spans="8:8" ht="15.75" customHeight="1" x14ac:dyDescent="0.25">
      <c r="H10721" s="116"/>
    </row>
    <row r="10722" spans="8:8" ht="15.75" customHeight="1" x14ac:dyDescent="0.25">
      <c r="H10722" s="116"/>
    </row>
    <row r="10723" spans="8:8" ht="15.75" customHeight="1" x14ac:dyDescent="0.25">
      <c r="H10723" s="116"/>
    </row>
    <row r="10724" spans="8:8" ht="15.75" customHeight="1" x14ac:dyDescent="0.25">
      <c r="H10724" s="116"/>
    </row>
    <row r="10725" spans="8:8" ht="15.75" customHeight="1" x14ac:dyDescent="0.25">
      <c r="H10725" s="116"/>
    </row>
    <row r="10726" spans="8:8" ht="15.75" customHeight="1" x14ac:dyDescent="0.25">
      <c r="H10726" s="116"/>
    </row>
    <row r="10727" spans="8:8" ht="15.75" customHeight="1" x14ac:dyDescent="0.25">
      <c r="H10727" s="116"/>
    </row>
    <row r="10728" spans="8:8" ht="15.75" customHeight="1" x14ac:dyDescent="0.25">
      <c r="H10728" s="116"/>
    </row>
    <row r="10729" spans="8:8" ht="15.75" customHeight="1" x14ac:dyDescent="0.25">
      <c r="H10729" s="116"/>
    </row>
    <row r="10730" spans="8:8" ht="15.75" customHeight="1" x14ac:dyDescent="0.25">
      <c r="H10730" s="116"/>
    </row>
    <row r="10731" spans="8:8" ht="15.75" customHeight="1" x14ac:dyDescent="0.25">
      <c r="H10731" s="116"/>
    </row>
    <row r="10732" spans="8:8" ht="15.75" customHeight="1" x14ac:dyDescent="0.25">
      <c r="H10732" s="116"/>
    </row>
    <row r="10733" spans="8:8" ht="15.75" customHeight="1" x14ac:dyDescent="0.25">
      <c r="H10733" s="116"/>
    </row>
    <row r="10734" spans="8:8" ht="15.75" customHeight="1" x14ac:dyDescent="0.25">
      <c r="H10734" s="116"/>
    </row>
    <row r="10735" spans="8:8" ht="15.75" customHeight="1" x14ac:dyDescent="0.25">
      <c r="H10735" s="116"/>
    </row>
    <row r="10736" spans="8:8" ht="15.75" customHeight="1" x14ac:dyDescent="0.25">
      <c r="H10736" s="116"/>
    </row>
    <row r="10737" spans="8:8" ht="15.75" customHeight="1" x14ac:dyDescent="0.25">
      <c r="H10737" s="116"/>
    </row>
    <row r="10738" spans="8:8" ht="15.75" customHeight="1" x14ac:dyDescent="0.25">
      <c r="H10738" s="116"/>
    </row>
    <row r="10739" spans="8:8" ht="15.75" customHeight="1" x14ac:dyDescent="0.25">
      <c r="H10739" s="116"/>
    </row>
    <row r="10740" spans="8:8" ht="15.75" customHeight="1" x14ac:dyDescent="0.25">
      <c r="H10740" s="116"/>
    </row>
    <row r="10741" spans="8:8" ht="15.75" customHeight="1" x14ac:dyDescent="0.25">
      <c r="H10741" s="116"/>
    </row>
    <row r="10742" spans="8:8" ht="15.75" customHeight="1" x14ac:dyDescent="0.25">
      <c r="H10742" s="116"/>
    </row>
    <row r="10743" spans="8:8" ht="15.75" customHeight="1" x14ac:dyDescent="0.25">
      <c r="H10743" s="116"/>
    </row>
    <row r="10744" spans="8:8" ht="15.75" customHeight="1" x14ac:dyDescent="0.25">
      <c r="H10744" s="116"/>
    </row>
    <row r="10745" spans="8:8" ht="15.75" customHeight="1" x14ac:dyDescent="0.25">
      <c r="H10745" s="116"/>
    </row>
    <row r="10746" spans="8:8" ht="15.75" customHeight="1" x14ac:dyDescent="0.25">
      <c r="H10746" s="116"/>
    </row>
    <row r="10747" spans="8:8" ht="15.75" customHeight="1" x14ac:dyDescent="0.25">
      <c r="H10747" s="116"/>
    </row>
    <row r="10748" spans="8:8" ht="15.75" customHeight="1" x14ac:dyDescent="0.25">
      <c r="H10748" s="116"/>
    </row>
    <row r="10749" spans="8:8" ht="15.75" customHeight="1" x14ac:dyDescent="0.25">
      <c r="H10749" s="116"/>
    </row>
    <row r="10750" spans="8:8" ht="15.75" customHeight="1" x14ac:dyDescent="0.25">
      <c r="H10750" s="116"/>
    </row>
    <row r="10751" spans="8:8" ht="15.75" customHeight="1" x14ac:dyDescent="0.25">
      <c r="H10751" s="116"/>
    </row>
    <row r="10752" spans="8:8" ht="15.75" customHeight="1" x14ac:dyDescent="0.25">
      <c r="H10752" s="116"/>
    </row>
    <row r="10753" spans="8:8" ht="15.75" customHeight="1" x14ac:dyDescent="0.25">
      <c r="H10753" s="116"/>
    </row>
    <row r="10754" spans="8:8" ht="15.75" customHeight="1" x14ac:dyDescent="0.25">
      <c r="H10754" s="116"/>
    </row>
    <row r="10755" spans="8:8" ht="15.75" customHeight="1" x14ac:dyDescent="0.25">
      <c r="H10755" s="116"/>
    </row>
    <row r="10756" spans="8:8" ht="15.75" customHeight="1" x14ac:dyDescent="0.25">
      <c r="H10756" s="116"/>
    </row>
    <row r="10757" spans="8:8" ht="15.75" customHeight="1" x14ac:dyDescent="0.25">
      <c r="H10757" s="116"/>
    </row>
    <row r="10758" spans="8:8" ht="15.75" customHeight="1" x14ac:dyDescent="0.25">
      <c r="H10758" s="116"/>
    </row>
    <row r="10759" spans="8:8" ht="15.75" customHeight="1" x14ac:dyDescent="0.25">
      <c r="H10759" s="116"/>
    </row>
    <row r="10760" spans="8:8" ht="15.75" customHeight="1" x14ac:dyDescent="0.25">
      <c r="H10760" s="116"/>
    </row>
    <row r="10761" spans="8:8" ht="15.75" customHeight="1" x14ac:dyDescent="0.25">
      <c r="H10761" s="116"/>
    </row>
    <row r="10762" spans="8:8" ht="15.75" customHeight="1" x14ac:dyDescent="0.25">
      <c r="H10762" s="116"/>
    </row>
    <row r="10763" spans="8:8" ht="15.75" customHeight="1" x14ac:dyDescent="0.25">
      <c r="H10763" s="116"/>
    </row>
    <row r="10764" spans="8:8" ht="15.75" customHeight="1" x14ac:dyDescent="0.25">
      <c r="H10764" s="116"/>
    </row>
    <row r="10765" spans="8:8" ht="15.75" customHeight="1" x14ac:dyDescent="0.25">
      <c r="H10765" s="116"/>
    </row>
    <row r="10766" spans="8:8" ht="15.75" customHeight="1" x14ac:dyDescent="0.25">
      <c r="H10766" s="116"/>
    </row>
    <row r="10767" spans="8:8" ht="15.75" customHeight="1" x14ac:dyDescent="0.25">
      <c r="H10767" s="116"/>
    </row>
    <row r="10768" spans="8:8" ht="15.75" customHeight="1" x14ac:dyDescent="0.25">
      <c r="H10768" s="116"/>
    </row>
    <row r="10769" spans="8:8" ht="15.75" customHeight="1" x14ac:dyDescent="0.25">
      <c r="H10769" s="116"/>
    </row>
    <row r="10770" spans="8:8" ht="15.75" customHeight="1" x14ac:dyDescent="0.25">
      <c r="H10770" s="116"/>
    </row>
    <row r="10771" spans="8:8" ht="15.75" customHeight="1" x14ac:dyDescent="0.25">
      <c r="H10771" s="116"/>
    </row>
    <row r="10772" spans="8:8" ht="15.75" customHeight="1" x14ac:dyDescent="0.25">
      <c r="H10772" s="116"/>
    </row>
    <row r="10773" spans="8:8" ht="15.75" customHeight="1" x14ac:dyDescent="0.25">
      <c r="H10773" s="116"/>
    </row>
    <row r="10774" spans="8:8" ht="15.75" customHeight="1" x14ac:dyDescent="0.25">
      <c r="H10774" s="116"/>
    </row>
    <row r="10775" spans="8:8" ht="15.75" customHeight="1" x14ac:dyDescent="0.25">
      <c r="H10775" s="116"/>
    </row>
    <row r="10776" spans="8:8" ht="15.75" customHeight="1" x14ac:dyDescent="0.25">
      <c r="H10776" s="116"/>
    </row>
    <row r="10777" spans="8:8" ht="15.75" customHeight="1" x14ac:dyDescent="0.25">
      <c r="H10777" s="116"/>
    </row>
    <row r="10778" spans="8:8" ht="15.75" customHeight="1" x14ac:dyDescent="0.25">
      <c r="H10778" s="116"/>
    </row>
    <row r="10779" spans="8:8" ht="15.75" customHeight="1" x14ac:dyDescent="0.25">
      <c r="H10779" s="116"/>
    </row>
    <row r="10780" spans="8:8" ht="15.75" customHeight="1" x14ac:dyDescent="0.25">
      <c r="H10780" s="116"/>
    </row>
    <row r="10781" spans="8:8" ht="15.75" customHeight="1" x14ac:dyDescent="0.25">
      <c r="H10781" s="116"/>
    </row>
    <row r="10782" spans="8:8" ht="15.75" customHeight="1" x14ac:dyDescent="0.25">
      <c r="H10782" s="116"/>
    </row>
    <row r="10783" spans="8:8" ht="15.75" customHeight="1" x14ac:dyDescent="0.25">
      <c r="H10783" s="116"/>
    </row>
    <row r="10784" spans="8:8" ht="15.75" customHeight="1" x14ac:dyDescent="0.25">
      <c r="H10784" s="116"/>
    </row>
    <row r="10785" spans="8:8" ht="15.75" customHeight="1" x14ac:dyDescent="0.25">
      <c r="H10785" s="116"/>
    </row>
    <row r="10786" spans="8:8" ht="15.75" customHeight="1" x14ac:dyDescent="0.25">
      <c r="H10786" s="116"/>
    </row>
    <row r="10787" spans="8:8" ht="15.75" customHeight="1" x14ac:dyDescent="0.25">
      <c r="H10787" s="116"/>
    </row>
    <row r="10788" spans="8:8" ht="15.75" customHeight="1" x14ac:dyDescent="0.25">
      <c r="H10788" s="116"/>
    </row>
    <row r="10789" spans="8:8" ht="15.75" customHeight="1" x14ac:dyDescent="0.25">
      <c r="H10789" s="116"/>
    </row>
    <row r="10790" spans="8:8" ht="15.75" customHeight="1" x14ac:dyDescent="0.25">
      <c r="H10790" s="116"/>
    </row>
    <row r="10791" spans="8:8" ht="15.75" customHeight="1" x14ac:dyDescent="0.25">
      <c r="H10791" s="116"/>
    </row>
    <row r="10792" spans="8:8" ht="15.75" customHeight="1" x14ac:dyDescent="0.25">
      <c r="H10792" s="116"/>
    </row>
    <row r="10793" spans="8:8" ht="15.75" customHeight="1" x14ac:dyDescent="0.25">
      <c r="H10793" s="116"/>
    </row>
    <row r="10794" spans="8:8" ht="15.75" customHeight="1" x14ac:dyDescent="0.25">
      <c r="H10794" s="116"/>
    </row>
    <row r="10795" spans="8:8" ht="15.75" customHeight="1" x14ac:dyDescent="0.25">
      <c r="H10795" s="116"/>
    </row>
    <row r="10796" spans="8:8" ht="15.75" customHeight="1" x14ac:dyDescent="0.25">
      <c r="H10796" s="116"/>
    </row>
    <row r="10797" spans="8:8" ht="15.75" customHeight="1" x14ac:dyDescent="0.25">
      <c r="H10797" s="116"/>
    </row>
    <row r="10798" spans="8:8" ht="15.75" customHeight="1" x14ac:dyDescent="0.25">
      <c r="H10798" s="116"/>
    </row>
    <row r="10799" spans="8:8" ht="15.75" customHeight="1" x14ac:dyDescent="0.25">
      <c r="H10799" s="116"/>
    </row>
    <row r="10800" spans="8:8" ht="15.75" customHeight="1" x14ac:dyDescent="0.25">
      <c r="H10800" s="116"/>
    </row>
    <row r="10801" spans="8:8" ht="15.75" customHeight="1" x14ac:dyDescent="0.25">
      <c r="H10801" s="116"/>
    </row>
    <row r="10802" spans="8:8" ht="15.75" customHeight="1" x14ac:dyDescent="0.25">
      <c r="H10802" s="116"/>
    </row>
    <row r="10803" spans="8:8" ht="15.75" customHeight="1" x14ac:dyDescent="0.25">
      <c r="H10803" s="116"/>
    </row>
    <row r="10804" spans="8:8" ht="15.75" customHeight="1" x14ac:dyDescent="0.25">
      <c r="H10804" s="116"/>
    </row>
    <row r="10805" spans="8:8" ht="15.75" customHeight="1" x14ac:dyDescent="0.25">
      <c r="H10805" s="116"/>
    </row>
    <row r="10806" spans="8:8" ht="15.75" customHeight="1" x14ac:dyDescent="0.25">
      <c r="H10806" s="116"/>
    </row>
    <row r="10807" spans="8:8" ht="15.75" customHeight="1" x14ac:dyDescent="0.25">
      <c r="H10807" s="116"/>
    </row>
    <row r="10808" spans="8:8" ht="15.75" customHeight="1" x14ac:dyDescent="0.25">
      <c r="H10808" s="116"/>
    </row>
    <row r="10809" spans="8:8" ht="15.75" customHeight="1" x14ac:dyDescent="0.25">
      <c r="H10809" s="116"/>
    </row>
    <row r="10810" spans="8:8" ht="15.75" customHeight="1" x14ac:dyDescent="0.25">
      <c r="H10810" s="116"/>
    </row>
    <row r="10811" spans="8:8" ht="15.75" customHeight="1" x14ac:dyDescent="0.25">
      <c r="H10811" s="116"/>
    </row>
    <row r="10812" spans="8:8" ht="15.75" customHeight="1" x14ac:dyDescent="0.25">
      <c r="H10812" s="116"/>
    </row>
    <row r="10813" spans="8:8" ht="15.75" customHeight="1" x14ac:dyDescent="0.25">
      <c r="H10813" s="116"/>
    </row>
    <row r="10814" spans="8:8" ht="15.75" customHeight="1" x14ac:dyDescent="0.25">
      <c r="H10814" s="116"/>
    </row>
    <row r="10815" spans="8:8" ht="15.75" customHeight="1" x14ac:dyDescent="0.25">
      <c r="H10815" s="116"/>
    </row>
    <row r="10816" spans="8:8" ht="15.75" customHeight="1" x14ac:dyDescent="0.25">
      <c r="H10816" s="116"/>
    </row>
    <row r="10817" spans="8:8" ht="15.75" customHeight="1" x14ac:dyDescent="0.25">
      <c r="H10817" s="116"/>
    </row>
    <row r="10818" spans="8:8" ht="15.75" customHeight="1" x14ac:dyDescent="0.25">
      <c r="H10818" s="116"/>
    </row>
    <row r="10819" spans="8:8" ht="15.75" customHeight="1" x14ac:dyDescent="0.25">
      <c r="H10819" s="116"/>
    </row>
    <row r="10820" spans="8:8" ht="15.75" customHeight="1" x14ac:dyDescent="0.25">
      <c r="H10820" s="116"/>
    </row>
    <row r="10821" spans="8:8" ht="15.75" customHeight="1" x14ac:dyDescent="0.25">
      <c r="H10821" s="116"/>
    </row>
    <row r="10822" spans="8:8" ht="15.75" customHeight="1" x14ac:dyDescent="0.25">
      <c r="H10822" s="116"/>
    </row>
    <row r="10823" spans="8:8" ht="15.75" customHeight="1" x14ac:dyDescent="0.25">
      <c r="H10823" s="116"/>
    </row>
    <row r="10824" spans="8:8" ht="15.75" customHeight="1" x14ac:dyDescent="0.25">
      <c r="H10824" s="116"/>
    </row>
    <row r="10825" spans="8:8" ht="15.75" customHeight="1" x14ac:dyDescent="0.25">
      <c r="H10825" s="116"/>
    </row>
    <row r="10826" spans="8:8" ht="15.75" customHeight="1" x14ac:dyDescent="0.25">
      <c r="H10826" s="116"/>
    </row>
    <row r="10827" spans="8:8" ht="15.75" customHeight="1" x14ac:dyDescent="0.25">
      <c r="H10827" s="116"/>
    </row>
    <row r="10828" spans="8:8" ht="15.75" customHeight="1" x14ac:dyDescent="0.25">
      <c r="H10828" s="116"/>
    </row>
    <row r="10829" spans="8:8" ht="15.75" customHeight="1" x14ac:dyDescent="0.25">
      <c r="H10829" s="116"/>
    </row>
    <row r="10830" spans="8:8" ht="15.75" customHeight="1" x14ac:dyDescent="0.25">
      <c r="H10830" s="116"/>
    </row>
    <row r="10831" spans="8:8" ht="15.75" customHeight="1" x14ac:dyDescent="0.25">
      <c r="H10831" s="116"/>
    </row>
    <row r="10832" spans="8:8" ht="15.75" customHeight="1" x14ac:dyDescent="0.25">
      <c r="H10832" s="116"/>
    </row>
    <row r="10833" spans="8:8" ht="15.75" customHeight="1" x14ac:dyDescent="0.25">
      <c r="H10833" s="116"/>
    </row>
    <row r="10834" spans="8:8" ht="15.75" customHeight="1" x14ac:dyDescent="0.25">
      <c r="H10834" s="116"/>
    </row>
    <row r="10835" spans="8:8" ht="15.75" customHeight="1" x14ac:dyDescent="0.25">
      <c r="H10835" s="116"/>
    </row>
    <row r="10836" spans="8:8" ht="15.75" customHeight="1" x14ac:dyDescent="0.25">
      <c r="H10836" s="116"/>
    </row>
    <row r="10837" spans="8:8" ht="15.75" customHeight="1" x14ac:dyDescent="0.25">
      <c r="H10837" s="116"/>
    </row>
    <row r="10838" spans="8:8" ht="15.75" customHeight="1" x14ac:dyDescent="0.25">
      <c r="H10838" s="116"/>
    </row>
    <row r="10839" spans="8:8" ht="15.75" customHeight="1" x14ac:dyDescent="0.25">
      <c r="H10839" s="116"/>
    </row>
    <row r="10840" spans="8:8" ht="15.75" customHeight="1" x14ac:dyDescent="0.25">
      <c r="H10840" s="116"/>
    </row>
    <row r="10841" spans="8:8" ht="15.75" customHeight="1" x14ac:dyDescent="0.25">
      <c r="H10841" s="116"/>
    </row>
    <row r="10842" spans="8:8" ht="15.75" customHeight="1" x14ac:dyDescent="0.25">
      <c r="H10842" s="116"/>
    </row>
    <row r="10843" spans="8:8" ht="15.75" customHeight="1" x14ac:dyDescent="0.25">
      <c r="H10843" s="116"/>
    </row>
    <row r="10844" spans="8:8" ht="15.75" customHeight="1" x14ac:dyDescent="0.25">
      <c r="H10844" s="116"/>
    </row>
    <row r="10845" spans="8:8" ht="15.75" customHeight="1" x14ac:dyDescent="0.25">
      <c r="H10845" s="116"/>
    </row>
    <row r="10846" spans="8:8" ht="15.75" customHeight="1" x14ac:dyDescent="0.25">
      <c r="H10846" s="116"/>
    </row>
    <row r="10847" spans="8:8" ht="15.75" customHeight="1" x14ac:dyDescent="0.25">
      <c r="H10847" s="116"/>
    </row>
    <row r="10848" spans="8:8" ht="15.75" customHeight="1" x14ac:dyDescent="0.25">
      <c r="H10848" s="116"/>
    </row>
    <row r="10849" spans="8:8" ht="15.75" customHeight="1" x14ac:dyDescent="0.25">
      <c r="H10849" s="116"/>
    </row>
    <row r="10850" spans="8:8" ht="15.75" customHeight="1" x14ac:dyDescent="0.25">
      <c r="H10850" s="116"/>
    </row>
    <row r="10851" spans="8:8" ht="15.75" customHeight="1" x14ac:dyDescent="0.25">
      <c r="H10851" s="116"/>
    </row>
    <row r="10852" spans="8:8" ht="15.75" customHeight="1" x14ac:dyDescent="0.25">
      <c r="H10852" s="116"/>
    </row>
    <row r="10853" spans="8:8" ht="15.75" customHeight="1" x14ac:dyDescent="0.25">
      <c r="H10853" s="116"/>
    </row>
    <row r="10854" spans="8:8" ht="15.75" customHeight="1" x14ac:dyDescent="0.25">
      <c r="H10854" s="116"/>
    </row>
    <row r="10855" spans="8:8" ht="15.75" customHeight="1" x14ac:dyDescent="0.25">
      <c r="H10855" s="116"/>
    </row>
    <row r="10856" spans="8:8" ht="15.75" customHeight="1" x14ac:dyDescent="0.25">
      <c r="H10856" s="116"/>
    </row>
    <row r="10857" spans="8:8" ht="15.75" customHeight="1" x14ac:dyDescent="0.25">
      <c r="H10857" s="116"/>
    </row>
    <row r="10858" spans="8:8" ht="15.75" customHeight="1" x14ac:dyDescent="0.25">
      <c r="H10858" s="116"/>
    </row>
    <row r="10859" spans="8:8" ht="15.75" customHeight="1" x14ac:dyDescent="0.25">
      <c r="H10859" s="116"/>
    </row>
    <row r="10860" spans="8:8" ht="15.75" customHeight="1" x14ac:dyDescent="0.25">
      <c r="H10860" s="116"/>
    </row>
    <row r="10861" spans="8:8" ht="15.75" customHeight="1" x14ac:dyDescent="0.25">
      <c r="H10861" s="116"/>
    </row>
    <row r="10862" spans="8:8" ht="15.75" customHeight="1" x14ac:dyDescent="0.25">
      <c r="H10862" s="116"/>
    </row>
    <row r="10863" spans="8:8" ht="15.75" customHeight="1" x14ac:dyDescent="0.25">
      <c r="H10863" s="116"/>
    </row>
    <row r="10864" spans="8:8" ht="15.75" customHeight="1" x14ac:dyDescent="0.25">
      <c r="H10864" s="116"/>
    </row>
    <row r="10865" spans="8:8" ht="15.75" customHeight="1" x14ac:dyDescent="0.25">
      <c r="H10865" s="116"/>
    </row>
    <row r="10866" spans="8:8" ht="15.75" customHeight="1" x14ac:dyDescent="0.25">
      <c r="H10866" s="116"/>
    </row>
    <row r="10867" spans="8:8" ht="15.75" customHeight="1" x14ac:dyDescent="0.25">
      <c r="H10867" s="116"/>
    </row>
    <row r="10868" spans="8:8" ht="15.75" customHeight="1" x14ac:dyDescent="0.25">
      <c r="H10868" s="116"/>
    </row>
    <row r="10869" spans="8:8" ht="15.75" customHeight="1" x14ac:dyDescent="0.25">
      <c r="H10869" s="116"/>
    </row>
    <row r="10870" spans="8:8" ht="15.75" customHeight="1" x14ac:dyDescent="0.25">
      <c r="H10870" s="116"/>
    </row>
    <row r="10871" spans="8:8" ht="15.75" customHeight="1" x14ac:dyDescent="0.25">
      <c r="H10871" s="116"/>
    </row>
    <row r="10872" spans="8:8" ht="15.75" customHeight="1" x14ac:dyDescent="0.25">
      <c r="H10872" s="116"/>
    </row>
    <row r="10873" spans="8:8" ht="15.75" customHeight="1" x14ac:dyDescent="0.25">
      <c r="H10873" s="116"/>
    </row>
    <row r="10874" spans="8:8" ht="15.75" customHeight="1" x14ac:dyDescent="0.25">
      <c r="H10874" s="116"/>
    </row>
    <row r="10875" spans="8:8" ht="15.75" customHeight="1" x14ac:dyDescent="0.25">
      <c r="H10875" s="116"/>
    </row>
    <row r="10876" spans="8:8" ht="15.75" customHeight="1" x14ac:dyDescent="0.25">
      <c r="H10876" s="116"/>
    </row>
    <row r="10877" spans="8:8" ht="15.75" customHeight="1" x14ac:dyDescent="0.25">
      <c r="H10877" s="116"/>
    </row>
    <row r="10878" spans="8:8" ht="15.75" customHeight="1" x14ac:dyDescent="0.25">
      <c r="H10878" s="116"/>
    </row>
    <row r="10879" spans="8:8" ht="15.75" customHeight="1" x14ac:dyDescent="0.25">
      <c r="H10879" s="116"/>
    </row>
    <row r="10880" spans="8:8" ht="15.75" customHeight="1" x14ac:dyDescent="0.25">
      <c r="H10880" s="116"/>
    </row>
    <row r="10881" spans="8:8" ht="15.75" customHeight="1" x14ac:dyDescent="0.25">
      <c r="H10881" s="116"/>
    </row>
    <row r="10882" spans="8:8" ht="15.75" customHeight="1" x14ac:dyDescent="0.25">
      <c r="H10882" s="116"/>
    </row>
    <row r="10883" spans="8:8" ht="15.75" customHeight="1" x14ac:dyDescent="0.25">
      <c r="H10883" s="116"/>
    </row>
    <row r="10884" spans="8:8" ht="15.75" customHeight="1" x14ac:dyDescent="0.25">
      <c r="H10884" s="116"/>
    </row>
    <row r="10885" spans="8:8" ht="15.75" customHeight="1" x14ac:dyDescent="0.25">
      <c r="H10885" s="116"/>
    </row>
    <row r="10886" spans="8:8" ht="15.75" customHeight="1" x14ac:dyDescent="0.25">
      <c r="H10886" s="116"/>
    </row>
    <row r="10887" spans="8:8" ht="15.75" customHeight="1" x14ac:dyDescent="0.25">
      <c r="H10887" s="116"/>
    </row>
    <row r="10888" spans="8:8" ht="15.75" customHeight="1" x14ac:dyDescent="0.25">
      <c r="H10888" s="116"/>
    </row>
    <row r="10889" spans="8:8" ht="15.75" customHeight="1" x14ac:dyDescent="0.25">
      <c r="H10889" s="116"/>
    </row>
  </sheetData>
  <autoFilter ref="A1:R11422" xr:uid="{00000000-0001-0000-0400-000000000000}">
    <filterColumn colId="15" showButton="0"/>
  </autoFilter>
  <sortState xmlns:xlrd2="http://schemas.microsoft.com/office/spreadsheetml/2017/richdata2" ref="A62:G446">
    <sortCondition descending="1" ref="G62:G446"/>
  </sortState>
  <mergeCells count="3">
    <mergeCell ref="P6:Q6"/>
    <mergeCell ref="P2:Q2"/>
    <mergeCell ref="P13:Q13"/>
  </mergeCell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50767-C7C0-449E-AC4F-5427249EDD40}">
  <sheetPr codeName="Sheet27">
    <tabColor rgb="FFFFFF00"/>
  </sheetPr>
  <dimension ref="A1:O1578"/>
  <sheetViews>
    <sheetView workbookViewId="0">
      <pane xSplit="4" ySplit="5" topLeftCell="G18" activePane="bottomRight" state="frozen"/>
      <selection pane="topRight" activeCell="B32" sqref="B32"/>
      <selection pane="bottomLeft" activeCell="B32" sqref="B32"/>
      <selection pane="bottomRight" activeCell="G18" sqref="G18"/>
    </sheetView>
  </sheetViews>
  <sheetFormatPr defaultRowHeight="12.5" x14ac:dyDescent="0.25"/>
  <cols>
    <col min="1" max="1" width="15" customWidth="1"/>
    <col min="2" max="4" width="25" customWidth="1"/>
    <col min="5" max="9" width="15" customWidth="1"/>
    <col min="10" max="10" width="9.1796875" customWidth="1"/>
    <col min="11" max="12" width="8.7265625" customWidth="1"/>
    <col min="13" max="13" width="9.1796875" customWidth="1"/>
    <col min="14" max="14" width="10.54296875" customWidth="1"/>
    <col min="15" max="15" width="15" customWidth="1"/>
    <col min="16" max="16" width="9.1796875" customWidth="1"/>
  </cols>
  <sheetData>
    <row r="1" spans="1:15" ht="15.5" x14ac:dyDescent="0.35">
      <c r="A1" s="12" t="s">
        <v>1631</v>
      </c>
      <c r="B1" s="12"/>
      <c r="C1" s="12"/>
      <c r="D1" s="12"/>
      <c r="E1" s="12"/>
      <c r="F1" s="12"/>
      <c r="G1" s="12"/>
      <c r="H1" s="12"/>
      <c r="I1" s="12"/>
      <c r="J1" s="12"/>
      <c r="K1" s="12"/>
      <c r="L1" s="12"/>
      <c r="M1" s="12"/>
      <c r="N1" s="12"/>
      <c r="O1" s="12"/>
    </row>
    <row r="2" spans="1:15" ht="13" x14ac:dyDescent="0.3">
      <c r="A2" s="7" t="s">
        <v>122</v>
      </c>
      <c r="B2" s="7"/>
      <c r="C2" s="7"/>
      <c r="D2" s="7"/>
      <c r="E2" s="7"/>
      <c r="F2" s="7"/>
      <c r="G2" s="7"/>
      <c r="H2" s="7"/>
      <c r="I2" s="7"/>
      <c r="J2" s="7"/>
      <c r="K2" s="7"/>
      <c r="L2" s="7"/>
      <c r="M2" s="7"/>
      <c r="N2" s="7"/>
      <c r="O2" s="7"/>
    </row>
    <row r="3" spans="1:15" ht="13" x14ac:dyDescent="0.3">
      <c r="A3" s="7" t="s">
        <v>124</v>
      </c>
      <c r="B3" s="7"/>
      <c r="C3" s="7"/>
      <c r="D3" s="7"/>
      <c r="E3" s="7"/>
      <c r="F3" s="7"/>
      <c r="G3" s="7"/>
      <c r="H3" s="7"/>
      <c r="I3" s="7"/>
      <c r="J3" s="7"/>
      <c r="K3" s="7"/>
      <c r="L3" s="7"/>
      <c r="M3" s="7"/>
      <c r="N3" s="7"/>
      <c r="O3" s="7"/>
    </row>
    <row r="5" spans="1:15" ht="13" x14ac:dyDescent="0.3">
      <c r="A5" s="24" t="s">
        <v>54</v>
      </c>
      <c r="B5" s="24" t="s">
        <v>55</v>
      </c>
      <c r="C5" s="24" t="s">
        <v>56</v>
      </c>
      <c r="D5" s="24" t="s">
        <v>57</v>
      </c>
      <c r="E5" s="24" t="s">
        <v>58</v>
      </c>
      <c r="F5" s="24" t="s">
        <v>59</v>
      </c>
      <c r="H5" s="24"/>
      <c r="I5" s="24"/>
      <c r="J5" s="24"/>
      <c r="K5" s="24"/>
      <c r="L5" s="24"/>
      <c r="M5" s="24"/>
      <c r="N5" s="24"/>
    </row>
    <row r="7" spans="1:15" ht="13" x14ac:dyDescent="0.3">
      <c r="A7" s="221" t="s">
        <v>1632</v>
      </c>
      <c r="B7" s="11"/>
      <c r="C7" s="11"/>
      <c r="D7" s="11"/>
      <c r="E7" s="117">
        <v>444813</v>
      </c>
      <c r="F7" s="11"/>
    </row>
    <row r="8" spans="1:15" x14ac:dyDescent="0.25">
      <c r="A8" s="220" t="s">
        <v>126</v>
      </c>
    </row>
    <row r="9" spans="1:15" x14ac:dyDescent="0.25">
      <c r="A9" s="8" t="s">
        <v>127</v>
      </c>
      <c r="B9" s="8" t="s">
        <v>128</v>
      </c>
      <c r="C9" s="8" t="s">
        <v>129</v>
      </c>
      <c r="D9" s="8" t="s">
        <v>130</v>
      </c>
      <c r="E9" s="25">
        <v>3092.1</v>
      </c>
      <c r="F9" s="25">
        <v>281.10000000000002</v>
      </c>
      <c r="H9" s="26"/>
      <c r="I9" s="26"/>
      <c r="J9" s="26"/>
      <c r="K9" s="26"/>
      <c r="L9" s="26"/>
      <c r="M9" s="26"/>
      <c r="N9" s="26"/>
    </row>
    <row r="10" spans="1:15" x14ac:dyDescent="0.25">
      <c r="A10" s="8" t="s">
        <v>127</v>
      </c>
      <c r="B10" s="8" t="s">
        <v>132</v>
      </c>
      <c r="C10" s="8" t="s">
        <v>133</v>
      </c>
      <c r="D10" s="8" t="s">
        <v>134</v>
      </c>
      <c r="E10" s="25">
        <v>49.5</v>
      </c>
      <c r="F10" s="25">
        <v>4.5</v>
      </c>
    </row>
    <row r="11" spans="1:15" x14ac:dyDescent="0.25">
      <c r="A11" s="8" t="s">
        <v>127</v>
      </c>
      <c r="B11" s="8" t="s">
        <v>132</v>
      </c>
      <c r="C11" s="8" t="s">
        <v>133</v>
      </c>
      <c r="D11" s="8" t="s">
        <v>136</v>
      </c>
      <c r="E11" s="25">
        <v>27.5</v>
      </c>
      <c r="F11" s="25">
        <v>2.5</v>
      </c>
      <c r="H11" s="26"/>
      <c r="I11" s="26"/>
      <c r="J11" s="26"/>
      <c r="K11" s="26"/>
      <c r="L11" s="26"/>
      <c r="M11" s="26"/>
      <c r="N11" s="26"/>
    </row>
    <row r="12" spans="1:15" x14ac:dyDescent="0.25">
      <c r="A12" s="8" t="s">
        <v>127</v>
      </c>
      <c r="B12" s="8" t="s">
        <v>137</v>
      </c>
      <c r="C12" s="8" t="s">
        <v>133</v>
      </c>
      <c r="D12" s="8" t="s">
        <v>138</v>
      </c>
      <c r="E12" s="25">
        <v>1.93</v>
      </c>
      <c r="F12" s="25">
        <v>0.18</v>
      </c>
    </row>
    <row r="13" spans="1:15" x14ac:dyDescent="0.25">
      <c r="A13" s="8" t="s">
        <v>127</v>
      </c>
      <c r="B13" s="8" t="s">
        <v>128</v>
      </c>
      <c r="C13" s="8" t="s">
        <v>139</v>
      </c>
      <c r="D13" s="8" t="s">
        <v>140</v>
      </c>
      <c r="E13" s="25">
        <v>1980</v>
      </c>
      <c r="F13" s="25">
        <v>180</v>
      </c>
      <c r="H13" s="25"/>
      <c r="I13" s="25"/>
      <c r="J13" s="25"/>
      <c r="K13" s="25"/>
      <c r="L13" s="25"/>
      <c r="M13" s="25"/>
      <c r="N13" s="25"/>
    </row>
    <row r="14" spans="1:15" x14ac:dyDescent="0.25">
      <c r="A14" s="8" t="s">
        <v>127</v>
      </c>
      <c r="B14" s="8" t="s">
        <v>128</v>
      </c>
      <c r="C14" s="8" t="s">
        <v>141</v>
      </c>
      <c r="D14" s="8" t="s">
        <v>142</v>
      </c>
      <c r="E14" s="25">
        <v>3135</v>
      </c>
      <c r="F14" s="25">
        <v>285</v>
      </c>
      <c r="H14" s="25"/>
      <c r="I14" s="25"/>
      <c r="J14" s="25"/>
      <c r="K14" s="25"/>
      <c r="L14" s="25"/>
      <c r="M14" s="25"/>
      <c r="N14" s="25"/>
    </row>
    <row r="15" spans="1:15" x14ac:dyDescent="0.25">
      <c r="A15" s="8" t="s">
        <v>127</v>
      </c>
      <c r="B15" s="8" t="s">
        <v>128</v>
      </c>
      <c r="C15" s="8" t="s">
        <v>141</v>
      </c>
      <c r="D15" s="8" t="s">
        <v>143</v>
      </c>
      <c r="E15" s="25">
        <v>935</v>
      </c>
      <c r="F15" s="25">
        <v>85</v>
      </c>
      <c r="H15" s="25"/>
      <c r="I15" s="25"/>
      <c r="J15" s="25"/>
      <c r="K15" s="25"/>
      <c r="L15" s="25"/>
      <c r="M15" s="25"/>
      <c r="N15" s="25"/>
    </row>
    <row r="16" spans="1:15" x14ac:dyDescent="0.25">
      <c r="A16" s="8" t="s">
        <v>127</v>
      </c>
      <c r="B16" s="8" t="s">
        <v>128</v>
      </c>
      <c r="C16" s="8" t="s">
        <v>141</v>
      </c>
      <c r="D16" s="8" t="s">
        <v>145</v>
      </c>
      <c r="E16" s="25">
        <v>93.5</v>
      </c>
      <c r="F16" s="25">
        <v>8.5</v>
      </c>
      <c r="H16" s="25"/>
      <c r="I16" s="25"/>
      <c r="J16" s="25"/>
      <c r="K16" s="25"/>
      <c r="L16" s="25"/>
      <c r="M16" s="25"/>
      <c r="N16" s="25"/>
    </row>
    <row r="17" spans="1:14" x14ac:dyDescent="0.25">
      <c r="A17" s="8" t="s">
        <v>127</v>
      </c>
      <c r="B17" s="8" t="s">
        <v>132</v>
      </c>
      <c r="C17" s="8" t="s">
        <v>147</v>
      </c>
      <c r="D17" s="8" t="s">
        <v>148</v>
      </c>
      <c r="E17" s="25">
        <v>297</v>
      </c>
      <c r="F17" s="25">
        <v>27</v>
      </c>
      <c r="H17" s="25"/>
      <c r="I17" s="25"/>
      <c r="J17" s="25"/>
      <c r="K17" s="25"/>
      <c r="L17" s="25"/>
      <c r="M17" s="25"/>
      <c r="N17" s="25"/>
    </row>
    <row r="18" spans="1:14" x14ac:dyDescent="0.25">
      <c r="A18" s="8" t="s">
        <v>127</v>
      </c>
      <c r="B18" s="8" t="s">
        <v>132</v>
      </c>
      <c r="C18" s="8" t="s">
        <v>147</v>
      </c>
      <c r="D18" s="8" t="s">
        <v>149</v>
      </c>
      <c r="E18" s="25">
        <v>49.5</v>
      </c>
      <c r="F18" s="25">
        <v>4.5</v>
      </c>
      <c r="H18" s="25"/>
      <c r="I18" s="25"/>
      <c r="J18" s="25"/>
      <c r="K18" s="25"/>
      <c r="L18" s="25"/>
      <c r="M18" s="25"/>
      <c r="N18" s="25"/>
    </row>
    <row r="19" spans="1:14" x14ac:dyDescent="0.25">
      <c r="A19" s="8" t="s">
        <v>127</v>
      </c>
      <c r="B19" s="8" t="s">
        <v>132</v>
      </c>
      <c r="C19" s="8" t="s">
        <v>147</v>
      </c>
      <c r="D19" s="8" t="s">
        <v>150</v>
      </c>
      <c r="E19" s="25">
        <v>304.92</v>
      </c>
      <c r="F19" s="25">
        <v>27.72</v>
      </c>
      <c r="H19" s="25"/>
      <c r="I19" s="25"/>
      <c r="J19" s="25"/>
      <c r="K19" s="25"/>
      <c r="L19" s="25"/>
      <c r="M19" s="25"/>
      <c r="N19" s="25"/>
    </row>
    <row r="20" spans="1:14" x14ac:dyDescent="0.25">
      <c r="A20" s="8" t="s">
        <v>127</v>
      </c>
      <c r="B20" s="8" t="s">
        <v>128</v>
      </c>
      <c r="C20" s="8" t="s">
        <v>151</v>
      </c>
      <c r="D20" s="8" t="s">
        <v>152</v>
      </c>
      <c r="E20" s="25">
        <v>627</v>
      </c>
      <c r="F20" s="25">
        <v>57</v>
      </c>
      <c r="H20" s="25"/>
      <c r="I20" s="25"/>
      <c r="J20" s="25"/>
      <c r="K20" s="25"/>
      <c r="L20" s="25"/>
      <c r="M20" s="25"/>
      <c r="N20" s="25"/>
    </row>
    <row r="21" spans="1:14" x14ac:dyDescent="0.25">
      <c r="A21" s="8" t="s">
        <v>127</v>
      </c>
      <c r="B21" s="8" t="s">
        <v>128</v>
      </c>
      <c r="C21" s="8" t="s">
        <v>151</v>
      </c>
      <c r="D21" s="8" t="s">
        <v>153</v>
      </c>
      <c r="E21" s="25">
        <v>27.5</v>
      </c>
      <c r="F21" s="25">
        <v>2.5</v>
      </c>
      <c r="H21" s="25"/>
      <c r="I21" s="25"/>
      <c r="J21" s="25"/>
      <c r="K21" s="25"/>
      <c r="L21" s="25"/>
      <c r="M21" s="25"/>
      <c r="N21" s="25"/>
    </row>
    <row r="22" spans="1:14" x14ac:dyDescent="0.25">
      <c r="A22" s="8" t="s">
        <v>127</v>
      </c>
      <c r="B22" s="8" t="s">
        <v>128</v>
      </c>
      <c r="C22" s="8" t="s">
        <v>151</v>
      </c>
      <c r="D22" s="8" t="s">
        <v>154</v>
      </c>
      <c r="E22" s="25">
        <v>49.5</v>
      </c>
      <c r="F22" s="25">
        <v>4.5</v>
      </c>
      <c r="H22" s="25"/>
      <c r="I22" s="25"/>
      <c r="J22" s="25"/>
      <c r="K22" s="25"/>
      <c r="L22" s="25"/>
      <c r="M22" s="25"/>
      <c r="N22" s="25"/>
    </row>
    <row r="23" spans="1:14" x14ac:dyDescent="0.25">
      <c r="A23" s="8" t="s">
        <v>127</v>
      </c>
      <c r="B23" s="8" t="s">
        <v>132</v>
      </c>
      <c r="C23" s="8" t="s">
        <v>147</v>
      </c>
      <c r="D23" s="8" t="s">
        <v>155</v>
      </c>
      <c r="E23" s="25">
        <v>27.5</v>
      </c>
      <c r="F23" s="25">
        <v>2.5</v>
      </c>
      <c r="H23" s="25"/>
      <c r="I23" s="25"/>
      <c r="J23" s="25"/>
      <c r="K23" s="25"/>
      <c r="L23" s="25"/>
      <c r="M23" s="25"/>
      <c r="N23" s="25"/>
    </row>
    <row r="24" spans="1:14" x14ac:dyDescent="0.25">
      <c r="A24" s="8" t="s">
        <v>127</v>
      </c>
      <c r="B24" s="8" t="s">
        <v>132</v>
      </c>
      <c r="C24" s="8" t="s">
        <v>147</v>
      </c>
      <c r="D24" s="8" t="s">
        <v>156</v>
      </c>
      <c r="E24" s="25">
        <v>27.5</v>
      </c>
      <c r="F24" s="25">
        <v>2.5</v>
      </c>
      <c r="H24" s="25"/>
      <c r="I24" s="25"/>
      <c r="J24" s="25"/>
      <c r="K24" s="25"/>
      <c r="L24" s="25"/>
      <c r="M24" s="25"/>
      <c r="N24" s="25"/>
    </row>
    <row r="25" spans="1:14" x14ac:dyDescent="0.25">
      <c r="A25" s="8" t="s">
        <v>127</v>
      </c>
      <c r="B25" s="8" t="s">
        <v>132</v>
      </c>
      <c r="C25" s="8" t="s">
        <v>147</v>
      </c>
      <c r="D25" s="8" t="s">
        <v>157</v>
      </c>
      <c r="E25" s="25">
        <v>49.5</v>
      </c>
      <c r="F25" s="25">
        <v>4.5</v>
      </c>
      <c r="H25" s="25"/>
      <c r="I25" s="25"/>
      <c r="J25" s="25"/>
      <c r="K25" s="25"/>
      <c r="L25" s="25"/>
      <c r="M25" s="25"/>
      <c r="N25" s="25"/>
    </row>
    <row r="26" spans="1:14" x14ac:dyDescent="0.25">
      <c r="A26" s="8" t="s">
        <v>127</v>
      </c>
      <c r="B26" s="8" t="s">
        <v>137</v>
      </c>
      <c r="C26" s="8" t="s">
        <v>147</v>
      </c>
      <c r="D26" s="8" t="s">
        <v>158</v>
      </c>
      <c r="E26" s="25">
        <v>18.899999999999999</v>
      </c>
      <c r="F26" s="25">
        <v>1.72</v>
      </c>
      <c r="H26" s="25"/>
      <c r="I26" s="25"/>
      <c r="J26" s="25"/>
      <c r="K26" s="25"/>
      <c r="L26" s="25"/>
      <c r="M26" s="25"/>
      <c r="N26" s="25"/>
    </row>
    <row r="27" spans="1:14" x14ac:dyDescent="0.25">
      <c r="A27" s="8" t="s">
        <v>127</v>
      </c>
      <c r="B27" s="8" t="s">
        <v>128</v>
      </c>
      <c r="C27" s="8" t="s">
        <v>151</v>
      </c>
      <c r="D27" s="8" t="s">
        <v>159</v>
      </c>
      <c r="E27" s="25">
        <v>328.9</v>
      </c>
      <c r="F27" s="25">
        <v>29.9</v>
      </c>
      <c r="H27" s="25"/>
      <c r="I27" s="25"/>
      <c r="J27" s="25"/>
      <c r="K27" s="25"/>
      <c r="L27" s="25"/>
      <c r="M27" s="25"/>
      <c r="N27" s="25"/>
    </row>
    <row r="28" spans="1:14" x14ac:dyDescent="0.25">
      <c r="A28" s="8" t="s">
        <v>127</v>
      </c>
      <c r="B28" s="8" t="s">
        <v>137</v>
      </c>
      <c r="C28" s="8" t="s">
        <v>151</v>
      </c>
      <c r="D28" s="8" t="s">
        <v>160</v>
      </c>
      <c r="E28" s="25">
        <v>8.23</v>
      </c>
      <c r="F28" s="25">
        <v>0.75</v>
      </c>
      <c r="H28" s="25"/>
      <c r="I28" s="25"/>
      <c r="J28" s="25"/>
      <c r="K28" s="25"/>
      <c r="L28" s="25"/>
      <c r="M28" s="25"/>
      <c r="N28" s="25"/>
    </row>
    <row r="29" spans="1:14" x14ac:dyDescent="0.25">
      <c r="A29" s="8" t="s">
        <v>127</v>
      </c>
      <c r="B29" s="8" t="s">
        <v>128</v>
      </c>
      <c r="C29" s="8" t="s">
        <v>161</v>
      </c>
      <c r="D29" s="8" t="s">
        <v>162</v>
      </c>
      <c r="E29" s="25">
        <v>218.9</v>
      </c>
      <c r="F29" s="25">
        <v>19.899999999999999</v>
      </c>
      <c r="H29" s="25"/>
      <c r="I29" s="25"/>
      <c r="J29" s="25"/>
      <c r="K29" s="25"/>
      <c r="L29" s="25"/>
      <c r="M29" s="25"/>
      <c r="N29" s="25"/>
    </row>
    <row r="30" spans="1:14" x14ac:dyDescent="0.25">
      <c r="A30" s="8" t="s">
        <v>127</v>
      </c>
      <c r="B30" s="8" t="s">
        <v>128</v>
      </c>
      <c r="C30" s="8" t="s">
        <v>163</v>
      </c>
      <c r="D30" s="8" t="s">
        <v>164</v>
      </c>
      <c r="E30" s="25">
        <v>2310</v>
      </c>
      <c r="F30" s="25">
        <v>210</v>
      </c>
      <c r="H30" s="25"/>
      <c r="I30" s="25"/>
      <c r="J30" s="25"/>
      <c r="K30" s="25"/>
      <c r="L30" s="25"/>
      <c r="M30" s="25"/>
      <c r="N30" s="25"/>
    </row>
    <row r="31" spans="1:14" x14ac:dyDescent="0.25">
      <c r="A31" s="8" t="s">
        <v>127</v>
      </c>
      <c r="B31" s="8" t="s">
        <v>128</v>
      </c>
      <c r="C31" s="8" t="s">
        <v>163</v>
      </c>
      <c r="D31" s="8" t="s">
        <v>165</v>
      </c>
      <c r="E31" s="25">
        <v>82.5</v>
      </c>
      <c r="F31" s="25">
        <v>7.5</v>
      </c>
      <c r="H31" s="25"/>
      <c r="I31" s="25"/>
      <c r="J31" s="25"/>
      <c r="K31" s="25"/>
      <c r="L31" s="25"/>
      <c r="M31" s="25"/>
      <c r="N31" s="25"/>
    </row>
    <row r="32" spans="1:14" x14ac:dyDescent="0.25">
      <c r="A32" s="8" t="s">
        <v>127</v>
      </c>
      <c r="B32" s="8" t="s">
        <v>128</v>
      </c>
      <c r="C32" s="8" t="s">
        <v>166</v>
      </c>
      <c r="D32" s="8" t="s">
        <v>167</v>
      </c>
      <c r="E32" s="25">
        <v>1287</v>
      </c>
      <c r="F32" s="25">
        <v>117</v>
      </c>
    </row>
    <row r="33" spans="1:14" x14ac:dyDescent="0.25">
      <c r="A33" s="8" t="s">
        <v>127</v>
      </c>
      <c r="B33" s="8" t="s">
        <v>128</v>
      </c>
      <c r="C33" s="8" t="s">
        <v>166</v>
      </c>
      <c r="D33" s="8" t="s">
        <v>168</v>
      </c>
      <c r="E33" s="25">
        <v>-297</v>
      </c>
      <c r="F33" s="25">
        <v>-27</v>
      </c>
    </row>
    <row r="34" spans="1:14" x14ac:dyDescent="0.25">
      <c r="A34" s="8" t="s">
        <v>127</v>
      </c>
      <c r="B34" s="8" t="s">
        <v>128</v>
      </c>
      <c r="C34" s="8" t="s">
        <v>169</v>
      </c>
      <c r="D34" s="8" t="s">
        <v>170</v>
      </c>
      <c r="E34" s="25">
        <v>3907.2</v>
      </c>
      <c r="F34" s="25">
        <v>355.2</v>
      </c>
      <c r="H34" s="25"/>
      <c r="I34" s="25"/>
      <c r="J34" s="25"/>
      <c r="K34" s="25"/>
      <c r="L34" s="25"/>
      <c r="M34" s="25"/>
      <c r="N34" s="25"/>
    </row>
    <row r="35" spans="1:14" x14ac:dyDescent="0.25">
      <c r="A35" s="8" t="s">
        <v>127</v>
      </c>
      <c r="B35" s="8" t="s">
        <v>128</v>
      </c>
      <c r="C35" s="8" t="s">
        <v>169</v>
      </c>
      <c r="D35" s="8" t="s">
        <v>171</v>
      </c>
      <c r="E35" s="25">
        <v>148.5</v>
      </c>
      <c r="F35" s="25">
        <v>13.5</v>
      </c>
      <c r="H35" s="25"/>
      <c r="I35" s="25"/>
      <c r="J35" s="25"/>
      <c r="K35" s="25"/>
      <c r="L35" s="25"/>
      <c r="M35" s="25"/>
      <c r="N35" s="25"/>
    </row>
    <row r="36" spans="1:14" x14ac:dyDescent="0.25">
      <c r="A36" s="8" t="s">
        <v>127</v>
      </c>
      <c r="B36" s="8" t="s">
        <v>128</v>
      </c>
      <c r="C36" s="8" t="s">
        <v>166</v>
      </c>
      <c r="D36" s="8" t="s">
        <v>172</v>
      </c>
      <c r="E36" s="25">
        <v>5431.25</v>
      </c>
      <c r="F36" s="25">
        <v>493.75</v>
      </c>
      <c r="H36" s="25"/>
      <c r="I36" s="25"/>
      <c r="J36" s="25"/>
      <c r="K36" s="25"/>
      <c r="L36" s="25"/>
      <c r="M36" s="25"/>
      <c r="N36" s="25"/>
    </row>
    <row r="37" spans="1:14" x14ac:dyDescent="0.25">
      <c r="A37" s="8" t="s">
        <v>127</v>
      </c>
      <c r="B37" s="8" t="s">
        <v>128</v>
      </c>
      <c r="C37" s="8" t="s">
        <v>166</v>
      </c>
      <c r="D37" s="8" t="s">
        <v>173</v>
      </c>
      <c r="E37" s="25">
        <v>1650</v>
      </c>
      <c r="F37" s="25">
        <v>150</v>
      </c>
      <c r="H37" s="25"/>
      <c r="I37" s="25"/>
      <c r="J37" s="25"/>
      <c r="K37" s="25"/>
      <c r="L37" s="25"/>
      <c r="M37" s="25"/>
      <c r="N37" s="25"/>
    </row>
    <row r="38" spans="1:14" x14ac:dyDescent="0.25">
      <c r="A38" s="8" t="s">
        <v>127</v>
      </c>
      <c r="B38" s="8" t="s">
        <v>174</v>
      </c>
      <c r="C38" s="8" t="s">
        <v>175</v>
      </c>
      <c r="D38" s="8" t="s">
        <v>176</v>
      </c>
      <c r="E38" s="25">
        <v>330</v>
      </c>
      <c r="F38" s="25">
        <v>30</v>
      </c>
    </row>
    <row r="39" spans="1:14" x14ac:dyDescent="0.25">
      <c r="A39" s="8" t="s">
        <v>127</v>
      </c>
      <c r="B39" s="8" t="s">
        <v>174</v>
      </c>
      <c r="C39" s="8" t="s">
        <v>175</v>
      </c>
      <c r="D39" s="8" t="s">
        <v>177</v>
      </c>
      <c r="E39" s="25">
        <v>27.5</v>
      </c>
      <c r="F39" s="25">
        <v>2.5</v>
      </c>
    </row>
    <row r="40" spans="1:14" x14ac:dyDescent="0.25">
      <c r="A40" s="8" t="s">
        <v>127</v>
      </c>
      <c r="B40" s="8" t="s">
        <v>128</v>
      </c>
      <c r="C40" s="8" t="s">
        <v>178</v>
      </c>
      <c r="D40" s="8" t="s">
        <v>179</v>
      </c>
      <c r="E40" s="25">
        <v>412.5</v>
      </c>
      <c r="F40" s="25">
        <v>37.5</v>
      </c>
    </row>
    <row r="41" spans="1:14" x14ac:dyDescent="0.25">
      <c r="A41" s="8" t="s">
        <v>127</v>
      </c>
      <c r="B41" s="8" t="s">
        <v>132</v>
      </c>
      <c r="C41" s="8" t="s">
        <v>180</v>
      </c>
      <c r="D41" s="8" t="s">
        <v>181</v>
      </c>
      <c r="E41" s="25">
        <v>148.5</v>
      </c>
      <c r="F41" s="25">
        <v>13.5</v>
      </c>
    </row>
    <row r="42" spans="1:14" x14ac:dyDescent="0.25">
      <c r="A42" s="8" t="s">
        <v>127</v>
      </c>
      <c r="B42" s="8" t="s">
        <v>137</v>
      </c>
      <c r="C42" s="8" t="s">
        <v>180</v>
      </c>
      <c r="D42" s="8" t="s">
        <v>182</v>
      </c>
      <c r="E42" s="25">
        <v>4.95</v>
      </c>
      <c r="F42" s="25">
        <v>0.45</v>
      </c>
    </row>
    <row r="43" spans="1:14" x14ac:dyDescent="0.25">
      <c r="A43" s="8" t="s">
        <v>127</v>
      </c>
      <c r="B43" s="8" t="s">
        <v>128</v>
      </c>
      <c r="C43" s="8" t="s">
        <v>151</v>
      </c>
      <c r="D43" s="8" t="s">
        <v>183</v>
      </c>
      <c r="E43" s="25">
        <v>330</v>
      </c>
      <c r="F43" s="25">
        <v>30</v>
      </c>
    </row>
    <row r="44" spans="1:14" x14ac:dyDescent="0.25">
      <c r="A44" s="8" t="s">
        <v>127</v>
      </c>
      <c r="B44" s="8" t="s">
        <v>174</v>
      </c>
      <c r="C44" s="8" t="s">
        <v>184</v>
      </c>
      <c r="D44" s="8" t="s">
        <v>185</v>
      </c>
      <c r="E44" s="25">
        <v>220</v>
      </c>
      <c r="F44" s="25">
        <v>20</v>
      </c>
    </row>
    <row r="45" spans="1:14" x14ac:dyDescent="0.25">
      <c r="A45" s="8" t="s">
        <v>127</v>
      </c>
      <c r="B45" s="8" t="s">
        <v>128</v>
      </c>
      <c r="C45" s="8" t="s">
        <v>178</v>
      </c>
      <c r="D45" s="8" t="s">
        <v>186</v>
      </c>
      <c r="E45" s="25">
        <v>3960</v>
      </c>
      <c r="F45" s="25">
        <v>360</v>
      </c>
    </row>
    <row r="46" spans="1:14" x14ac:dyDescent="0.25">
      <c r="A46" s="8" t="s">
        <v>127</v>
      </c>
      <c r="B46" s="8" t="s">
        <v>128</v>
      </c>
      <c r="C46" s="8" t="s">
        <v>178</v>
      </c>
      <c r="D46" s="8" t="s">
        <v>187</v>
      </c>
      <c r="E46" s="25">
        <v>1980</v>
      </c>
      <c r="F46" s="25">
        <v>180</v>
      </c>
    </row>
    <row r="47" spans="1:14" x14ac:dyDescent="0.25">
      <c r="A47" s="8" t="s">
        <v>127</v>
      </c>
      <c r="B47" s="8" t="s">
        <v>128</v>
      </c>
      <c r="C47" s="8" t="s">
        <v>178</v>
      </c>
      <c r="D47" s="8" t="s">
        <v>188</v>
      </c>
      <c r="E47" s="25">
        <v>82.5</v>
      </c>
      <c r="F47" s="25">
        <v>7.5</v>
      </c>
    </row>
    <row r="48" spans="1:14" x14ac:dyDescent="0.25">
      <c r="A48" s="8" t="s">
        <v>127</v>
      </c>
      <c r="B48" s="8" t="s">
        <v>128</v>
      </c>
      <c r="C48" s="8" t="s">
        <v>178</v>
      </c>
      <c r="D48" s="8" t="s">
        <v>189</v>
      </c>
      <c r="E48" s="25">
        <v>330</v>
      </c>
      <c r="F48" s="25">
        <v>30</v>
      </c>
    </row>
    <row r="49" spans="1:6" x14ac:dyDescent="0.25">
      <c r="A49" s="8" t="s">
        <v>127</v>
      </c>
      <c r="B49" s="8" t="s">
        <v>128</v>
      </c>
      <c r="C49" s="8" t="s">
        <v>178</v>
      </c>
      <c r="D49" s="8" t="s">
        <v>190</v>
      </c>
      <c r="E49" s="25">
        <v>742.5</v>
      </c>
      <c r="F49" s="25">
        <v>67.5</v>
      </c>
    </row>
    <row r="50" spans="1:6" x14ac:dyDescent="0.25">
      <c r="A50" s="8" t="s">
        <v>127</v>
      </c>
      <c r="B50" s="8" t="s">
        <v>128</v>
      </c>
      <c r="C50" s="8" t="s">
        <v>178</v>
      </c>
      <c r="D50" s="8" t="s">
        <v>191</v>
      </c>
      <c r="E50" s="25">
        <v>660</v>
      </c>
      <c r="F50" s="25">
        <v>60</v>
      </c>
    </row>
    <row r="51" spans="1:6" x14ac:dyDescent="0.25">
      <c r="A51" s="8" t="s">
        <v>127</v>
      </c>
      <c r="B51" s="8" t="s">
        <v>128</v>
      </c>
      <c r="C51" s="8" t="s">
        <v>166</v>
      </c>
      <c r="D51" s="8" t="s">
        <v>192</v>
      </c>
      <c r="E51" s="25">
        <v>1666.5</v>
      </c>
      <c r="F51" s="25">
        <v>151.5</v>
      </c>
    </row>
    <row r="52" spans="1:6" x14ac:dyDescent="0.25">
      <c r="A52" s="8" t="s">
        <v>127</v>
      </c>
      <c r="B52" s="8" t="s">
        <v>128</v>
      </c>
      <c r="C52" s="8" t="s">
        <v>166</v>
      </c>
      <c r="D52" s="8" t="s">
        <v>193</v>
      </c>
      <c r="E52" s="25">
        <v>82.5</v>
      </c>
      <c r="F52" s="25">
        <v>7.5</v>
      </c>
    </row>
    <row r="53" spans="1:6" x14ac:dyDescent="0.25">
      <c r="A53" s="8" t="s">
        <v>127</v>
      </c>
      <c r="B53" s="8" t="s">
        <v>128</v>
      </c>
      <c r="C53" s="8" t="s">
        <v>194</v>
      </c>
      <c r="D53" s="8" t="s">
        <v>195</v>
      </c>
      <c r="E53" s="25">
        <v>660</v>
      </c>
      <c r="F53" s="25">
        <v>60</v>
      </c>
    </row>
    <row r="54" spans="1:6" x14ac:dyDescent="0.25">
      <c r="A54" s="8" t="s">
        <v>127</v>
      </c>
      <c r="B54" s="8" t="s">
        <v>128</v>
      </c>
      <c r="C54" s="8" t="s">
        <v>194</v>
      </c>
      <c r="D54" s="8" t="s">
        <v>196</v>
      </c>
      <c r="E54" s="25">
        <v>-330</v>
      </c>
      <c r="F54" s="25">
        <v>-30</v>
      </c>
    </row>
    <row r="55" spans="1:6" x14ac:dyDescent="0.25">
      <c r="A55" s="8" t="s">
        <v>127</v>
      </c>
      <c r="B55" s="8" t="s">
        <v>132</v>
      </c>
      <c r="C55" s="8" t="s">
        <v>194</v>
      </c>
      <c r="D55" s="8" t="s">
        <v>197</v>
      </c>
      <c r="E55" s="25">
        <v>82.5</v>
      </c>
      <c r="F55" s="25">
        <v>7.5</v>
      </c>
    </row>
    <row r="56" spans="1:6" x14ac:dyDescent="0.25">
      <c r="A56" s="8" t="s">
        <v>127</v>
      </c>
      <c r="B56" s="8" t="s">
        <v>128</v>
      </c>
      <c r="C56" s="8" t="s">
        <v>178</v>
      </c>
      <c r="D56" s="8" t="s">
        <v>198</v>
      </c>
      <c r="E56" s="25">
        <v>1303.5</v>
      </c>
      <c r="F56" s="25">
        <v>118.5</v>
      </c>
    </row>
    <row r="57" spans="1:6" x14ac:dyDescent="0.25">
      <c r="A57" s="8" t="s">
        <v>127</v>
      </c>
      <c r="B57" s="8" t="s">
        <v>128</v>
      </c>
      <c r="C57" s="8" t="s">
        <v>178</v>
      </c>
      <c r="D57" s="8" t="s">
        <v>199</v>
      </c>
      <c r="E57" s="25">
        <v>-651.75</v>
      </c>
      <c r="F57" s="25">
        <v>-59.25</v>
      </c>
    </row>
    <row r="58" spans="1:6" x14ac:dyDescent="0.25">
      <c r="A58" s="8" t="s">
        <v>127</v>
      </c>
      <c r="B58" s="8" t="s">
        <v>132</v>
      </c>
      <c r="C58" s="8" t="s">
        <v>178</v>
      </c>
      <c r="D58" s="8" t="s">
        <v>200</v>
      </c>
      <c r="E58" s="25">
        <v>82.5</v>
      </c>
      <c r="F58" s="25">
        <v>7.5</v>
      </c>
    </row>
    <row r="59" spans="1:6" x14ac:dyDescent="0.25">
      <c r="A59" s="8" t="s">
        <v>127</v>
      </c>
      <c r="B59" s="8" t="s">
        <v>132</v>
      </c>
      <c r="C59" s="8" t="s">
        <v>178</v>
      </c>
      <c r="D59" s="8" t="s">
        <v>201</v>
      </c>
      <c r="E59" s="25">
        <v>-41.25</v>
      </c>
      <c r="F59" s="25">
        <v>-3.75</v>
      </c>
    </row>
    <row r="60" spans="1:6" x14ac:dyDescent="0.25">
      <c r="A60" s="8" t="s">
        <v>127</v>
      </c>
      <c r="B60" s="8" t="s">
        <v>128</v>
      </c>
      <c r="C60" s="8" t="s">
        <v>178</v>
      </c>
      <c r="D60" s="8" t="s">
        <v>202</v>
      </c>
      <c r="E60" s="25">
        <v>990</v>
      </c>
      <c r="F60" s="25">
        <v>90</v>
      </c>
    </row>
    <row r="61" spans="1:6" x14ac:dyDescent="0.25">
      <c r="A61" s="8" t="s">
        <v>127</v>
      </c>
      <c r="B61" s="8" t="s">
        <v>128</v>
      </c>
      <c r="C61" s="8" t="s">
        <v>178</v>
      </c>
      <c r="D61" s="8" t="s">
        <v>203</v>
      </c>
      <c r="E61" s="25">
        <v>82.5</v>
      </c>
      <c r="F61" s="25">
        <v>7.5</v>
      </c>
    </row>
    <row r="62" spans="1:6" x14ac:dyDescent="0.25">
      <c r="A62" s="8" t="s">
        <v>127</v>
      </c>
      <c r="B62" s="8" t="s">
        <v>128</v>
      </c>
      <c r="C62" s="8" t="s">
        <v>178</v>
      </c>
      <c r="D62" s="8" t="s">
        <v>204</v>
      </c>
      <c r="E62" s="25">
        <v>33</v>
      </c>
      <c r="F62" s="25">
        <v>3</v>
      </c>
    </row>
    <row r="63" spans="1:6" x14ac:dyDescent="0.25">
      <c r="A63" s="8" t="s">
        <v>127</v>
      </c>
      <c r="B63" s="8" t="s">
        <v>128</v>
      </c>
      <c r="C63" s="8" t="s">
        <v>205</v>
      </c>
      <c r="D63" s="8" t="s">
        <v>206</v>
      </c>
      <c r="E63" s="25">
        <v>1320</v>
      </c>
      <c r="F63" s="25">
        <v>120</v>
      </c>
    </row>
    <row r="64" spans="1:6" x14ac:dyDescent="0.25">
      <c r="A64" s="8" t="s">
        <v>127</v>
      </c>
      <c r="B64" s="8" t="s">
        <v>128</v>
      </c>
      <c r="C64" s="8" t="s">
        <v>205</v>
      </c>
      <c r="D64" s="8" t="s">
        <v>207</v>
      </c>
      <c r="E64" s="25">
        <v>82.5</v>
      </c>
      <c r="F64" s="25">
        <v>7.5</v>
      </c>
    </row>
    <row r="65" spans="1:6" x14ac:dyDescent="0.25">
      <c r="A65" s="8" t="s">
        <v>127</v>
      </c>
      <c r="B65" s="8" t="s">
        <v>128</v>
      </c>
      <c r="C65" s="8" t="s">
        <v>205</v>
      </c>
      <c r="D65" s="8" t="s">
        <v>208</v>
      </c>
      <c r="E65" s="25">
        <v>148.5</v>
      </c>
      <c r="F65" s="25">
        <v>13.5</v>
      </c>
    </row>
    <row r="66" spans="1:6" x14ac:dyDescent="0.25">
      <c r="A66" s="8" t="s">
        <v>127</v>
      </c>
      <c r="B66" s="8" t="s">
        <v>128</v>
      </c>
      <c r="C66" s="8" t="s">
        <v>205</v>
      </c>
      <c r="D66" s="8" t="s">
        <v>209</v>
      </c>
      <c r="E66" s="25">
        <v>330</v>
      </c>
      <c r="F66" s="25">
        <v>30</v>
      </c>
    </row>
    <row r="67" spans="1:6" x14ac:dyDescent="0.25">
      <c r="A67" s="8" t="s">
        <v>127</v>
      </c>
      <c r="B67" s="8" t="s">
        <v>128</v>
      </c>
      <c r="C67" s="8" t="s">
        <v>205</v>
      </c>
      <c r="D67" s="8" t="s">
        <v>210</v>
      </c>
      <c r="E67" s="25">
        <v>742.5</v>
      </c>
      <c r="F67" s="25">
        <v>67.5</v>
      </c>
    </row>
    <row r="68" spans="1:6" x14ac:dyDescent="0.25">
      <c r="A68" s="8" t="s">
        <v>127</v>
      </c>
      <c r="B68" s="8" t="s">
        <v>132</v>
      </c>
      <c r="C68" s="8" t="s">
        <v>211</v>
      </c>
      <c r="D68" s="8" t="s">
        <v>212</v>
      </c>
      <c r="E68" s="25">
        <v>1336.5</v>
      </c>
      <c r="F68" s="25">
        <v>121.5</v>
      </c>
    </row>
    <row r="69" spans="1:6" x14ac:dyDescent="0.25">
      <c r="A69" s="8" t="s">
        <v>127</v>
      </c>
      <c r="B69" s="8" t="s">
        <v>132</v>
      </c>
      <c r="C69" s="8" t="s">
        <v>211</v>
      </c>
      <c r="D69" s="8" t="s">
        <v>213</v>
      </c>
      <c r="E69" s="25">
        <v>330</v>
      </c>
      <c r="F69" s="25">
        <v>30</v>
      </c>
    </row>
    <row r="70" spans="1:6" x14ac:dyDescent="0.25">
      <c r="A70" s="8" t="s">
        <v>127</v>
      </c>
      <c r="B70" s="8" t="s">
        <v>132</v>
      </c>
      <c r="C70" s="8" t="s">
        <v>214</v>
      </c>
      <c r="D70" s="8" t="s">
        <v>215</v>
      </c>
      <c r="E70" s="25">
        <v>2079</v>
      </c>
      <c r="F70" s="25">
        <v>189</v>
      </c>
    </row>
    <row r="71" spans="1:6" x14ac:dyDescent="0.25">
      <c r="A71" s="8" t="s">
        <v>127</v>
      </c>
      <c r="B71" s="8" t="s">
        <v>132</v>
      </c>
      <c r="C71" s="8" t="s">
        <v>214</v>
      </c>
      <c r="D71" s="8" t="s">
        <v>216</v>
      </c>
      <c r="E71" s="25">
        <v>330</v>
      </c>
      <c r="F71" s="25">
        <v>30</v>
      </c>
    </row>
    <row r="72" spans="1:6" x14ac:dyDescent="0.25">
      <c r="A72" s="8" t="s">
        <v>127</v>
      </c>
      <c r="B72" s="8" t="s">
        <v>132</v>
      </c>
      <c r="C72" s="8" t="s">
        <v>214</v>
      </c>
      <c r="D72" s="8" t="s">
        <v>217</v>
      </c>
      <c r="E72" s="25">
        <v>330</v>
      </c>
      <c r="F72" s="25">
        <v>30</v>
      </c>
    </row>
    <row r="73" spans="1:6" x14ac:dyDescent="0.25">
      <c r="A73" s="8" t="s">
        <v>127</v>
      </c>
      <c r="B73" s="8" t="s">
        <v>128</v>
      </c>
      <c r="C73" s="8" t="s">
        <v>218</v>
      </c>
      <c r="D73" s="8" t="s">
        <v>219</v>
      </c>
      <c r="E73" s="25">
        <v>436.7</v>
      </c>
      <c r="F73" s="25">
        <v>39.700000000000003</v>
      </c>
    </row>
    <row r="74" spans="1:6" x14ac:dyDescent="0.25">
      <c r="A74" s="8" t="s">
        <v>127</v>
      </c>
      <c r="B74" s="8" t="s">
        <v>137</v>
      </c>
      <c r="C74" s="8" t="s">
        <v>218</v>
      </c>
      <c r="D74" s="8" t="s">
        <v>220</v>
      </c>
      <c r="E74" s="25">
        <v>10.92</v>
      </c>
      <c r="F74" s="25">
        <v>0.99</v>
      </c>
    </row>
    <row r="75" spans="1:6" x14ac:dyDescent="0.25">
      <c r="A75" s="8" t="s">
        <v>127</v>
      </c>
      <c r="B75" s="8" t="s">
        <v>128</v>
      </c>
      <c r="C75" s="8" t="s">
        <v>221</v>
      </c>
      <c r="D75" s="8" t="s">
        <v>222</v>
      </c>
      <c r="E75" s="25">
        <v>877.8</v>
      </c>
      <c r="F75" s="25">
        <v>79.8</v>
      </c>
    </row>
    <row r="76" spans="1:6" x14ac:dyDescent="0.25">
      <c r="A76" s="8" t="s">
        <v>127</v>
      </c>
      <c r="B76" s="8" t="s">
        <v>137</v>
      </c>
      <c r="C76" s="8" t="s">
        <v>221</v>
      </c>
      <c r="D76" s="8" t="s">
        <v>223</v>
      </c>
      <c r="E76" s="25">
        <v>59.69</v>
      </c>
      <c r="F76" s="25">
        <v>5.43</v>
      </c>
    </row>
    <row r="77" spans="1:6" x14ac:dyDescent="0.25">
      <c r="A77" s="8" t="s">
        <v>127</v>
      </c>
      <c r="B77" s="8" t="s">
        <v>174</v>
      </c>
      <c r="C77" s="8" t="s">
        <v>224</v>
      </c>
      <c r="D77" s="8" t="s">
        <v>225</v>
      </c>
      <c r="E77" s="25">
        <v>1589.5</v>
      </c>
      <c r="F77" s="25">
        <v>144.5</v>
      </c>
    </row>
    <row r="78" spans="1:6" x14ac:dyDescent="0.25">
      <c r="A78" s="8" t="s">
        <v>127</v>
      </c>
      <c r="B78" s="8" t="s">
        <v>174</v>
      </c>
      <c r="C78" s="8" t="s">
        <v>224</v>
      </c>
      <c r="D78" s="8" t="s">
        <v>226</v>
      </c>
      <c r="E78" s="25">
        <v>49.5</v>
      </c>
      <c r="F78" s="25">
        <v>4.5</v>
      </c>
    </row>
    <row r="79" spans="1:6" x14ac:dyDescent="0.25">
      <c r="A79" s="8" t="s">
        <v>127</v>
      </c>
      <c r="B79" s="8" t="s">
        <v>132</v>
      </c>
      <c r="C79" s="8" t="s">
        <v>224</v>
      </c>
      <c r="D79" s="8" t="s">
        <v>227</v>
      </c>
      <c r="E79" s="25">
        <v>110</v>
      </c>
      <c r="F79" s="25">
        <v>10</v>
      </c>
    </row>
    <row r="80" spans="1:6" x14ac:dyDescent="0.25">
      <c r="A80" s="8" t="s">
        <v>127</v>
      </c>
      <c r="B80" s="8" t="s">
        <v>128</v>
      </c>
      <c r="C80" s="8" t="s">
        <v>166</v>
      </c>
      <c r="D80" s="8" t="s">
        <v>228</v>
      </c>
      <c r="E80" s="25">
        <v>990</v>
      </c>
      <c r="F80" s="25">
        <v>90</v>
      </c>
    </row>
    <row r="81" spans="1:6" x14ac:dyDescent="0.25">
      <c r="A81" s="8" t="s">
        <v>127</v>
      </c>
      <c r="B81" s="8" t="s">
        <v>128</v>
      </c>
      <c r="C81" s="8" t="s">
        <v>178</v>
      </c>
      <c r="D81" s="8" t="s">
        <v>229</v>
      </c>
      <c r="E81" s="25">
        <v>1551</v>
      </c>
      <c r="F81" s="25">
        <v>141</v>
      </c>
    </row>
    <row r="82" spans="1:6" x14ac:dyDescent="0.25">
      <c r="A82" s="8" t="s">
        <v>127</v>
      </c>
      <c r="B82" s="8" t="s">
        <v>128</v>
      </c>
      <c r="C82" s="8" t="s">
        <v>178</v>
      </c>
      <c r="D82" s="8" t="s">
        <v>230</v>
      </c>
      <c r="E82" s="25">
        <v>82.5</v>
      </c>
      <c r="F82" s="25">
        <v>7.5</v>
      </c>
    </row>
    <row r="83" spans="1:6" x14ac:dyDescent="0.25">
      <c r="A83" s="8" t="s">
        <v>127</v>
      </c>
      <c r="B83" s="8" t="s">
        <v>128</v>
      </c>
      <c r="C83" s="8" t="s">
        <v>231</v>
      </c>
      <c r="D83" s="8" t="s">
        <v>232</v>
      </c>
      <c r="E83" s="25">
        <v>1283.7</v>
      </c>
      <c r="F83" s="25">
        <v>116.7</v>
      </c>
    </row>
    <row r="84" spans="1:6" x14ac:dyDescent="0.25">
      <c r="A84" s="8" t="s">
        <v>127</v>
      </c>
      <c r="B84" s="8" t="s">
        <v>128</v>
      </c>
      <c r="C84" s="8" t="s">
        <v>231</v>
      </c>
      <c r="D84" s="8" t="s">
        <v>233</v>
      </c>
      <c r="E84" s="25">
        <v>148.5</v>
      </c>
      <c r="F84" s="25">
        <v>13.5</v>
      </c>
    </row>
    <row r="85" spans="1:6" x14ac:dyDescent="0.25">
      <c r="A85" s="8" t="s">
        <v>127</v>
      </c>
      <c r="B85" s="8" t="s">
        <v>128</v>
      </c>
      <c r="C85" s="8" t="s">
        <v>231</v>
      </c>
      <c r="D85" s="8" t="s">
        <v>234</v>
      </c>
      <c r="E85" s="25">
        <v>148.5</v>
      </c>
      <c r="F85" s="25">
        <v>13.5</v>
      </c>
    </row>
    <row r="86" spans="1:6" x14ac:dyDescent="0.25">
      <c r="A86" s="8" t="s">
        <v>127</v>
      </c>
      <c r="B86" s="8" t="s">
        <v>128</v>
      </c>
      <c r="C86" s="8" t="s">
        <v>169</v>
      </c>
      <c r="D86" s="8" t="s">
        <v>235</v>
      </c>
      <c r="E86" s="25">
        <v>742.5</v>
      </c>
      <c r="F86" s="25">
        <v>67.5</v>
      </c>
    </row>
    <row r="87" spans="1:6" x14ac:dyDescent="0.25">
      <c r="A87" s="8" t="s">
        <v>127</v>
      </c>
      <c r="B87" s="8" t="s">
        <v>128</v>
      </c>
      <c r="C87" s="8" t="s">
        <v>169</v>
      </c>
      <c r="D87" s="8" t="s">
        <v>236</v>
      </c>
      <c r="E87" s="25">
        <v>82.5</v>
      </c>
      <c r="F87" s="25">
        <v>7.5</v>
      </c>
    </row>
    <row r="88" spans="1:6" x14ac:dyDescent="0.25">
      <c r="A88" s="8" t="s">
        <v>127</v>
      </c>
      <c r="B88" s="8" t="s">
        <v>128</v>
      </c>
      <c r="C88" s="8" t="s">
        <v>178</v>
      </c>
      <c r="D88" s="8" t="s">
        <v>237</v>
      </c>
      <c r="E88" s="25">
        <v>3069</v>
      </c>
      <c r="F88" s="25">
        <v>279</v>
      </c>
    </row>
    <row r="89" spans="1:6" x14ac:dyDescent="0.25">
      <c r="A89" s="8" t="s">
        <v>127</v>
      </c>
      <c r="B89" s="8" t="s">
        <v>128</v>
      </c>
      <c r="C89" s="8" t="s">
        <v>178</v>
      </c>
      <c r="D89" s="8" t="s">
        <v>238</v>
      </c>
      <c r="E89" s="25">
        <v>82.5</v>
      </c>
      <c r="F89" s="25">
        <v>7.5</v>
      </c>
    </row>
    <row r="90" spans="1:6" x14ac:dyDescent="0.25">
      <c r="A90" s="8" t="s">
        <v>127</v>
      </c>
      <c r="B90" s="8" t="s">
        <v>128</v>
      </c>
      <c r="C90" s="8" t="s">
        <v>178</v>
      </c>
      <c r="D90" s="8" t="s">
        <v>239</v>
      </c>
      <c r="E90" s="25">
        <v>-445.5</v>
      </c>
      <c r="F90" s="25">
        <v>-40.5</v>
      </c>
    </row>
    <row r="91" spans="1:6" x14ac:dyDescent="0.25">
      <c r="A91" s="8" t="s">
        <v>127</v>
      </c>
      <c r="B91" s="8" t="s">
        <v>128</v>
      </c>
      <c r="C91" s="8" t="s">
        <v>178</v>
      </c>
      <c r="D91" s="8" t="s">
        <v>240</v>
      </c>
      <c r="E91" s="25">
        <v>330</v>
      </c>
      <c r="F91" s="25">
        <v>30</v>
      </c>
    </row>
    <row r="92" spans="1:6" x14ac:dyDescent="0.25">
      <c r="A92" s="8" t="s">
        <v>127</v>
      </c>
      <c r="B92" s="8" t="s">
        <v>128</v>
      </c>
      <c r="C92" s="8" t="s">
        <v>166</v>
      </c>
      <c r="D92" s="8" t="s">
        <v>241</v>
      </c>
      <c r="E92" s="25">
        <v>495</v>
      </c>
      <c r="F92" s="25">
        <v>45</v>
      </c>
    </row>
    <row r="93" spans="1:6" x14ac:dyDescent="0.25">
      <c r="A93" s="8" t="s">
        <v>127</v>
      </c>
      <c r="B93" s="8" t="s">
        <v>128</v>
      </c>
      <c r="C93" s="8" t="s">
        <v>141</v>
      </c>
      <c r="D93" s="8" t="s">
        <v>242</v>
      </c>
      <c r="E93" s="25">
        <v>165</v>
      </c>
      <c r="F93" s="25">
        <v>15</v>
      </c>
    </row>
    <row r="94" spans="1:6" x14ac:dyDescent="0.25">
      <c r="A94" s="8" t="s">
        <v>127</v>
      </c>
      <c r="B94" s="8" t="s">
        <v>128</v>
      </c>
      <c r="C94" s="8" t="s">
        <v>141</v>
      </c>
      <c r="D94" s="8" t="s">
        <v>243</v>
      </c>
      <c r="E94" s="25">
        <v>16.5</v>
      </c>
      <c r="F94" s="25">
        <v>1.5</v>
      </c>
    </row>
    <row r="95" spans="1:6" x14ac:dyDescent="0.25">
      <c r="A95" s="8" t="s">
        <v>127</v>
      </c>
      <c r="B95" s="8" t="s">
        <v>132</v>
      </c>
      <c r="C95" s="8" t="s">
        <v>244</v>
      </c>
      <c r="D95" s="8" t="s">
        <v>245</v>
      </c>
      <c r="E95" s="25">
        <v>74.84</v>
      </c>
      <c r="F95" s="25">
        <v>6.8</v>
      </c>
    </row>
    <row r="96" spans="1:6" x14ac:dyDescent="0.25">
      <c r="A96" s="8" t="s">
        <v>127</v>
      </c>
      <c r="B96" s="8" t="s">
        <v>132</v>
      </c>
      <c r="C96" s="8" t="s">
        <v>244</v>
      </c>
      <c r="D96" s="8" t="s">
        <v>246</v>
      </c>
      <c r="E96" s="25">
        <v>68.64</v>
      </c>
      <c r="F96" s="25">
        <v>6.24</v>
      </c>
    </row>
    <row r="97" spans="1:6" x14ac:dyDescent="0.25">
      <c r="A97" s="8" t="s">
        <v>127</v>
      </c>
      <c r="B97" s="8" t="s">
        <v>128</v>
      </c>
      <c r="C97" s="8" t="s">
        <v>178</v>
      </c>
      <c r="D97" s="8" t="s">
        <v>247</v>
      </c>
      <c r="E97" s="25">
        <v>2970</v>
      </c>
      <c r="F97" s="25">
        <v>270</v>
      </c>
    </row>
    <row r="98" spans="1:6" x14ac:dyDescent="0.25">
      <c r="A98" s="8" t="s">
        <v>127</v>
      </c>
      <c r="B98" s="8" t="s">
        <v>128</v>
      </c>
      <c r="C98" s="8" t="s">
        <v>178</v>
      </c>
      <c r="D98" s="8" t="s">
        <v>248</v>
      </c>
      <c r="E98" s="25">
        <v>82.5</v>
      </c>
      <c r="F98" s="25">
        <v>7.5</v>
      </c>
    </row>
    <row r="99" spans="1:6" x14ac:dyDescent="0.25">
      <c r="A99" s="8" t="s">
        <v>127</v>
      </c>
      <c r="B99" s="8" t="s">
        <v>174</v>
      </c>
      <c r="C99" s="8" t="s">
        <v>249</v>
      </c>
      <c r="D99" s="8" t="s">
        <v>250</v>
      </c>
      <c r="E99" s="25">
        <v>994.4</v>
      </c>
      <c r="F99" s="25">
        <v>90.4</v>
      </c>
    </row>
    <row r="100" spans="1:6" x14ac:dyDescent="0.25">
      <c r="A100" s="8" t="s">
        <v>127</v>
      </c>
      <c r="B100" s="8" t="s">
        <v>128</v>
      </c>
      <c r="C100" s="8" t="s">
        <v>141</v>
      </c>
      <c r="D100" s="8" t="s">
        <v>251</v>
      </c>
      <c r="E100" s="25">
        <v>734.8</v>
      </c>
      <c r="F100" s="25">
        <v>66.8</v>
      </c>
    </row>
    <row r="101" spans="1:6" x14ac:dyDescent="0.25">
      <c r="A101" s="8" t="s">
        <v>127</v>
      </c>
      <c r="B101" s="8" t="s">
        <v>128</v>
      </c>
      <c r="C101" s="8" t="s">
        <v>141</v>
      </c>
      <c r="D101" s="8" t="s">
        <v>252</v>
      </c>
      <c r="E101" s="25">
        <v>396</v>
      </c>
      <c r="F101" s="25">
        <v>36</v>
      </c>
    </row>
    <row r="102" spans="1:6" x14ac:dyDescent="0.25">
      <c r="A102" s="8" t="s">
        <v>127</v>
      </c>
      <c r="B102" s="8" t="s">
        <v>128</v>
      </c>
      <c r="C102" s="8" t="s">
        <v>141</v>
      </c>
      <c r="D102" s="8" t="s">
        <v>253</v>
      </c>
      <c r="E102" s="25">
        <v>247.5</v>
      </c>
      <c r="F102" s="25">
        <v>22.5</v>
      </c>
    </row>
    <row r="103" spans="1:6" x14ac:dyDescent="0.25">
      <c r="A103" s="8" t="s">
        <v>127</v>
      </c>
      <c r="B103" s="8" t="s">
        <v>128</v>
      </c>
      <c r="C103" s="8" t="s">
        <v>141</v>
      </c>
      <c r="D103" s="8" t="s">
        <v>254</v>
      </c>
      <c r="E103" s="25">
        <v>220</v>
      </c>
      <c r="F103" s="25">
        <v>20</v>
      </c>
    </row>
    <row r="104" spans="1:6" x14ac:dyDescent="0.25">
      <c r="A104" s="8" t="s">
        <v>127</v>
      </c>
      <c r="B104" s="8" t="s">
        <v>128</v>
      </c>
      <c r="C104" s="8" t="s">
        <v>141</v>
      </c>
      <c r="D104" s="8" t="s">
        <v>255</v>
      </c>
      <c r="E104" s="25">
        <v>99</v>
      </c>
      <c r="F104" s="25">
        <v>9</v>
      </c>
    </row>
    <row r="105" spans="1:6" x14ac:dyDescent="0.25">
      <c r="A105" s="8" t="s">
        <v>127</v>
      </c>
      <c r="B105" s="8" t="s">
        <v>132</v>
      </c>
      <c r="C105" s="8" t="s">
        <v>256</v>
      </c>
      <c r="D105" s="8" t="s">
        <v>257</v>
      </c>
      <c r="E105" s="25">
        <v>247.5</v>
      </c>
      <c r="F105" s="25">
        <v>22.5</v>
      </c>
    </row>
    <row r="106" spans="1:6" x14ac:dyDescent="0.25">
      <c r="A106" s="8" t="s">
        <v>127</v>
      </c>
      <c r="B106" s="8" t="s">
        <v>137</v>
      </c>
      <c r="C106" s="8" t="s">
        <v>256</v>
      </c>
      <c r="D106" s="8" t="s">
        <v>258</v>
      </c>
      <c r="E106" s="25">
        <v>16.829999999999998</v>
      </c>
      <c r="F106" s="25">
        <v>1.53</v>
      </c>
    </row>
    <row r="107" spans="1:6" x14ac:dyDescent="0.25">
      <c r="A107" s="8" t="s">
        <v>127</v>
      </c>
      <c r="B107" s="8" t="s">
        <v>174</v>
      </c>
      <c r="C107" s="8" t="s">
        <v>259</v>
      </c>
      <c r="D107" s="8" t="s">
        <v>260</v>
      </c>
      <c r="E107" s="25">
        <v>825</v>
      </c>
      <c r="F107" s="25">
        <v>75</v>
      </c>
    </row>
    <row r="108" spans="1:6" x14ac:dyDescent="0.25">
      <c r="A108" s="8" t="s">
        <v>127</v>
      </c>
      <c r="B108" s="8" t="s">
        <v>174</v>
      </c>
      <c r="C108" s="8" t="s">
        <v>259</v>
      </c>
      <c r="D108" s="8" t="s">
        <v>261</v>
      </c>
      <c r="E108" s="25">
        <v>99</v>
      </c>
      <c r="F108" s="25">
        <v>9</v>
      </c>
    </row>
    <row r="109" spans="1:6" x14ac:dyDescent="0.25">
      <c r="A109" s="8" t="s">
        <v>127</v>
      </c>
      <c r="B109" s="8" t="s">
        <v>132</v>
      </c>
      <c r="C109" s="8" t="s">
        <v>262</v>
      </c>
      <c r="D109" s="8" t="s">
        <v>263</v>
      </c>
      <c r="E109" s="25">
        <v>173.25</v>
      </c>
      <c r="F109" s="25">
        <v>15.75</v>
      </c>
    </row>
    <row r="110" spans="1:6" x14ac:dyDescent="0.25">
      <c r="A110" s="8" t="s">
        <v>127</v>
      </c>
      <c r="B110" s="8" t="s">
        <v>132</v>
      </c>
      <c r="C110" s="8" t="s">
        <v>262</v>
      </c>
      <c r="D110" s="8" t="s">
        <v>264</v>
      </c>
      <c r="E110" s="25">
        <v>27.5</v>
      </c>
      <c r="F110" s="25">
        <v>2.5</v>
      </c>
    </row>
    <row r="111" spans="1:6" x14ac:dyDescent="0.25">
      <c r="A111" s="8" t="s">
        <v>127</v>
      </c>
      <c r="B111" s="8" t="s">
        <v>137</v>
      </c>
      <c r="C111" s="8" t="s">
        <v>262</v>
      </c>
      <c r="D111" s="8" t="s">
        <v>182</v>
      </c>
      <c r="E111" s="25">
        <v>5.0199999999999996</v>
      </c>
      <c r="F111" s="25">
        <v>0.46</v>
      </c>
    </row>
    <row r="112" spans="1:6" x14ac:dyDescent="0.25">
      <c r="A112" s="8" t="s">
        <v>127</v>
      </c>
      <c r="B112" s="8" t="s">
        <v>132</v>
      </c>
      <c r="C112" s="8" t="s">
        <v>265</v>
      </c>
      <c r="D112" s="8" t="s">
        <v>266</v>
      </c>
      <c r="E112" s="25">
        <v>130.08000000000001</v>
      </c>
      <c r="F112" s="25">
        <v>11.83</v>
      </c>
    </row>
    <row r="113" spans="1:6" x14ac:dyDescent="0.25">
      <c r="A113" s="8" t="s">
        <v>127</v>
      </c>
      <c r="B113" s="8" t="s">
        <v>132</v>
      </c>
      <c r="C113" s="8" t="s">
        <v>265</v>
      </c>
      <c r="D113" s="8" t="s">
        <v>267</v>
      </c>
      <c r="E113" s="25">
        <v>82.5</v>
      </c>
      <c r="F113" s="25">
        <v>7.5</v>
      </c>
    </row>
    <row r="114" spans="1:6" x14ac:dyDescent="0.25">
      <c r="A114" s="8" t="s">
        <v>127</v>
      </c>
      <c r="B114" s="8" t="s">
        <v>128</v>
      </c>
      <c r="C114" s="8" t="s">
        <v>268</v>
      </c>
      <c r="D114" s="8" t="s">
        <v>269</v>
      </c>
      <c r="E114" s="25">
        <v>6534</v>
      </c>
      <c r="F114" s="25">
        <v>594</v>
      </c>
    </row>
    <row r="115" spans="1:6" x14ac:dyDescent="0.25">
      <c r="A115" s="8" t="s">
        <v>127</v>
      </c>
      <c r="B115" s="8" t="s">
        <v>128</v>
      </c>
      <c r="C115" s="8" t="s">
        <v>161</v>
      </c>
      <c r="D115" s="8" t="s">
        <v>270</v>
      </c>
      <c r="E115" s="25">
        <v>724.9</v>
      </c>
      <c r="F115" s="25">
        <v>65.900000000000006</v>
      </c>
    </row>
    <row r="116" spans="1:6" x14ac:dyDescent="0.25">
      <c r="A116" s="8" t="s">
        <v>127</v>
      </c>
      <c r="B116" s="8" t="s">
        <v>128</v>
      </c>
      <c r="C116" s="8" t="s">
        <v>161</v>
      </c>
      <c r="D116" s="8" t="s">
        <v>271</v>
      </c>
      <c r="E116" s="25">
        <v>-247.5</v>
      </c>
      <c r="F116" s="25">
        <v>-22.5</v>
      </c>
    </row>
    <row r="117" spans="1:6" x14ac:dyDescent="0.25">
      <c r="A117" s="8" t="s">
        <v>127</v>
      </c>
      <c r="B117" s="8" t="s">
        <v>128</v>
      </c>
      <c r="C117" s="8" t="s">
        <v>161</v>
      </c>
      <c r="D117" s="8" t="s">
        <v>272</v>
      </c>
      <c r="E117" s="25">
        <v>49.5</v>
      </c>
      <c r="F117" s="25">
        <v>4.5</v>
      </c>
    </row>
    <row r="118" spans="1:6" x14ac:dyDescent="0.25">
      <c r="A118" s="8" t="s">
        <v>127</v>
      </c>
      <c r="B118" s="8" t="s">
        <v>128</v>
      </c>
      <c r="C118" s="8" t="s">
        <v>161</v>
      </c>
      <c r="D118" s="8" t="s">
        <v>273</v>
      </c>
      <c r="E118" s="25">
        <v>99</v>
      </c>
      <c r="F118" s="25">
        <v>9</v>
      </c>
    </row>
    <row r="119" spans="1:6" x14ac:dyDescent="0.25">
      <c r="A119" s="8" t="s">
        <v>127</v>
      </c>
      <c r="B119" s="8" t="s">
        <v>128</v>
      </c>
      <c r="C119" s="8" t="s">
        <v>161</v>
      </c>
      <c r="D119" s="8" t="s">
        <v>274</v>
      </c>
      <c r="E119" s="25">
        <v>49.5</v>
      </c>
      <c r="F119" s="25">
        <v>4.5</v>
      </c>
    </row>
    <row r="120" spans="1:6" x14ac:dyDescent="0.25">
      <c r="A120" s="8" t="s">
        <v>127</v>
      </c>
      <c r="B120" s="8" t="s">
        <v>128</v>
      </c>
      <c r="C120" s="8" t="s">
        <v>161</v>
      </c>
      <c r="D120" s="8" t="s">
        <v>275</v>
      </c>
      <c r="E120" s="25">
        <v>-99</v>
      </c>
      <c r="F120" s="25">
        <v>-9</v>
      </c>
    </row>
    <row r="121" spans="1:6" x14ac:dyDescent="0.25">
      <c r="A121" s="8" t="s">
        <v>127</v>
      </c>
      <c r="B121" s="8" t="s">
        <v>128</v>
      </c>
      <c r="C121" s="8" t="s">
        <v>161</v>
      </c>
      <c r="D121" s="8" t="s">
        <v>276</v>
      </c>
      <c r="E121" s="25">
        <v>110</v>
      </c>
      <c r="F121" s="25">
        <v>10</v>
      </c>
    </row>
    <row r="122" spans="1:6" x14ac:dyDescent="0.25">
      <c r="A122" s="8" t="s">
        <v>127</v>
      </c>
      <c r="B122" s="8" t="s">
        <v>128</v>
      </c>
      <c r="C122" s="8" t="s">
        <v>161</v>
      </c>
      <c r="D122" s="8" t="s">
        <v>277</v>
      </c>
      <c r="E122" s="25">
        <v>99</v>
      </c>
      <c r="F122" s="25">
        <v>9</v>
      </c>
    </row>
    <row r="123" spans="1:6" x14ac:dyDescent="0.25">
      <c r="A123" s="8" t="s">
        <v>127</v>
      </c>
      <c r="B123" s="8" t="s">
        <v>137</v>
      </c>
      <c r="C123" s="8" t="s">
        <v>161</v>
      </c>
      <c r="D123" s="8" t="s">
        <v>278</v>
      </c>
      <c r="E123" s="25">
        <v>50.11</v>
      </c>
      <c r="F123" s="25">
        <v>4.5599999999999996</v>
      </c>
    </row>
    <row r="124" spans="1:6" x14ac:dyDescent="0.25">
      <c r="A124" s="8" t="s">
        <v>127</v>
      </c>
      <c r="B124" s="8" t="s">
        <v>128</v>
      </c>
      <c r="C124" s="8" t="s">
        <v>161</v>
      </c>
      <c r="D124" s="8" t="s">
        <v>279</v>
      </c>
      <c r="E124" s="25">
        <v>49.5</v>
      </c>
      <c r="F124" s="25">
        <v>4.5</v>
      </c>
    </row>
    <row r="125" spans="1:6" x14ac:dyDescent="0.25">
      <c r="A125" s="8" t="s">
        <v>127</v>
      </c>
      <c r="B125" s="8" t="s">
        <v>128</v>
      </c>
      <c r="C125" s="8" t="s">
        <v>161</v>
      </c>
      <c r="D125" s="8" t="s">
        <v>280</v>
      </c>
      <c r="E125" s="25">
        <v>-99</v>
      </c>
      <c r="F125" s="25">
        <v>-9</v>
      </c>
    </row>
    <row r="126" spans="1:6" x14ac:dyDescent="0.25">
      <c r="A126" s="8" t="s">
        <v>127</v>
      </c>
      <c r="B126" s="8" t="s">
        <v>132</v>
      </c>
      <c r="C126" s="8" t="s">
        <v>281</v>
      </c>
      <c r="D126" s="8" t="s">
        <v>282</v>
      </c>
      <c r="E126" s="25">
        <v>445.5</v>
      </c>
      <c r="F126" s="25">
        <v>40.5</v>
      </c>
    </row>
    <row r="127" spans="1:6" x14ac:dyDescent="0.25">
      <c r="A127" s="8" t="s">
        <v>127</v>
      </c>
      <c r="B127" s="8" t="s">
        <v>128</v>
      </c>
      <c r="C127" s="8" t="s">
        <v>151</v>
      </c>
      <c r="D127" s="8" t="s">
        <v>283</v>
      </c>
      <c r="E127" s="25">
        <v>273.89999999999998</v>
      </c>
      <c r="F127" s="25">
        <v>24.9</v>
      </c>
    </row>
    <row r="128" spans="1:6" x14ac:dyDescent="0.25">
      <c r="A128" s="8" t="s">
        <v>127</v>
      </c>
      <c r="B128" s="8" t="s">
        <v>132</v>
      </c>
      <c r="C128" s="8" t="s">
        <v>284</v>
      </c>
      <c r="D128" s="8" t="s">
        <v>285</v>
      </c>
      <c r="E128" s="25">
        <v>1218.8</v>
      </c>
      <c r="F128" s="25">
        <v>110.8</v>
      </c>
    </row>
    <row r="129" spans="1:6" x14ac:dyDescent="0.25">
      <c r="A129" s="8" t="s">
        <v>127</v>
      </c>
      <c r="B129" s="8" t="s">
        <v>132</v>
      </c>
      <c r="C129" s="8" t="s">
        <v>284</v>
      </c>
      <c r="D129" s="8" t="s">
        <v>286</v>
      </c>
      <c r="E129" s="25">
        <v>82.5</v>
      </c>
      <c r="F129" s="25">
        <v>7.5</v>
      </c>
    </row>
    <row r="130" spans="1:6" x14ac:dyDescent="0.25">
      <c r="A130" s="8" t="s">
        <v>127</v>
      </c>
      <c r="B130" s="8" t="s">
        <v>132</v>
      </c>
      <c r="C130" s="8" t="s">
        <v>284</v>
      </c>
      <c r="D130" s="8" t="s">
        <v>287</v>
      </c>
      <c r="E130" s="25">
        <v>82.5</v>
      </c>
      <c r="F130" s="25">
        <v>7.5</v>
      </c>
    </row>
    <row r="131" spans="1:6" x14ac:dyDescent="0.25">
      <c r="A131" s="8" t="s">
        <v>127</v>
      </c>
      <c r="B131" s="8" t="s">
        <v>132</v>
      </c>
      <c r="C131" s="8" t="s">
        <v>284</v>
      </c>
      <c r="D131" s="8" t="s">
        <v>288</v>
      </c>
      <c r="E131" s="25">
        <v>1485</v>
      </c>
      <c r="F131" s="25">
        <v>135</v>
      </c>
    </row>
    <row r="132" spans="1:6" x14ac:dyDescent="0.25">
      <c r="A132" s="8" t="s">
        <v>127</v>
      </c>
      <c r="B132" s="8" t="s">
        <v>132</v>
      </c>
      <c r="C132" s="8" t="s">
        <v>284</v>
      </c>
      <c r="D132" s="8" t="s">
        <v>289</v>
      </c>
      <c r="E132" s="25">
        <v>123.75</v>
      </c>
      <c r="F132" s="25">
        <v>11.25</v>
      </c>
    </row>
    <row r="133" spans="1:6" x14ac:dyDescent="0.25">
      <c r="A133" s="8" t="s">
        <v>127</v>
      </c>
      <c r="B133" s="8" t="s">
        <v>128</v>
      </c>
      <c r="C133" s="8" t="s">
        <v>161</v>
      </c>
      <c r="D133" s="8" t="s">
        <v>290</v>
      </c>
      <c r="E133" s="25">
        <v>675.4</v>
      </c>
      <c r="F133" s="25">
        <v>61.4</v>
      </c>
    </row>
    <row r="134" spans="1:6" x14ac:dyDescent="0.25">
      <c r="A134" s="8" t="s">
        <v>127</v>
      </c>
      <c r="B134" s="8" t="s">
        <v>128</v>
      </c>
      <c r="C134" s="8" t="s">
        <v>161</v>
      </c>
      <c r="D134" s="8" t="s">
        <v>291</v>
      </c>
      <c r="E134" s="25">
        <v>-345.4</v>
      </c>
      <c r="F134" s="25">
        <v>-31.4</v>
      </c>
    </row>
    <row r="135" spans="1:6" x14ac:dyDescent="0.25">
      <c r="A135" s="8" t="s">
        <v>127</v>
      </c>
      <c r="B135" s="8" t="s">
        <v>128</v>
      </c>
      <c r="C135" s="8" t="s">
        <v>151</v>
      </c>
      <c r="D135" s="8" t="s">
        <v>292</v>
      </c>
      <c r="E135" s="25">
        <v>427.9</v>
      </c>
      <c r="F135" s="25">
        <v>38.9</v>
      </c>
    </row>
    <row r="136" spans="1:6" x14ac:dyDescent="0.25">
      <c r="A136" s="8" t="s">
        <v>127</v>
      </c>
      <c r="B136" s="8" t="s">
        <v>137</v>
      </c>
      <c r="C136" s="8" t="s">
        <v>151</v>
      </c>
      <c r="D136" s="8" t="s">
        <v>293</v>
      </c>
      <c r="E136" s="25">
        <v>10.7</v>
      </c>
      <c r="F136" s="25">
        <v>0.97</v>
      </c>
    </row>
    <row r="137" spans="1:6" x14ac:dyDescent="0.25">
      <c r="A137" s="8" t="s">
        <v>127</v>
      </c>
      <c r="B137" s="8" t="s">
        <v>128</v>
      </c>
      <c r="C137" s="8" t="s">
        <v>151</v>
      </c>
      <c r="D137" s="8" t="s">
        <v>294</v>
      </c>
      <c r="E137" s="25">
        <v>220</v>
      </c>
      <c r="F137" s="25">
        <v>20</v>
      </c>
    </row>
    <row r="138" spans="1:6" x14ac:dyDescent="0.25">
      <c r="A138" s="8" t="s">
        <v>127</v>
      </c>
      <c r="B138" s="8" t="s">
        <v>137</v>
      </c>
      <c r="C138" s="8" t="s">
        <v>151</v>
      </c>
      <c r="D138" s="8" t="s">
        <v>295</v>
      </c>
      <c r="E138" s="25">
        <v>5.5</v>
      </c>
      <c r="F138" s="25">
        <v>0.5</v>
      </c>
    </row>
    <row r="139" spans="1:6" x14ac:dyDescent="0.25">
      <c r="A139" s="8" t="s">
        <v>127</v>
      </c>
      <c r="B139" s="8" t="s">
        <v>128</v>
      </c>
      <c r="C139" s="8" t="s">
        <v>296</v>
      </c>
      <c r="D139" s="8" t="s">
        <v>297</v>
      </c>
      <c r="E139" s="25">
        <v>2178</v>
      </c>
      <c r="F139" s="25">
        <v>198</v>
      </c>
    </row>
    <row r="140" spans="1:6" x14ac:dyDescent="0.25">
      <c r="A140" s="8" t="s">
        <v>127</v>
      </c>
      <c r="B140" s="8" t="s">
        <v>128</v>
      </c>
      <c r="C140" s="8" t="s">
        <v>296</v>
      </c>
      <c r="D140" s="8" t="s">
        <v>298</v>
      </c>
      <c r="E140" s="25">
        <v>4537.5</v>
      </c>
      <c r="F140" s="25">
        <v>412.5</v>
      </c>
    </row>
    <row r="141" spans="1:6" x14ac:dyDescent="0.25">
      <c r="A141" s="8" t="s">
        <v>127</v>
      </c>
      <c r="B141" s="8" t="s">
        <v>128</v>
      </c>
      <c r="C141" s="8" t="s">
        <v>296</v>
      </c>
      <c r="D141" s="8" t="s">
        <v>299</v>
      </c>
      <c r="E141" s="25">
        <v>363</v>
      </c>
      <c r="F141" s="25">
        <v>33</v>
      </c>
    </row>
    <row r="142" spans="1:6" x14ac:dyDescent="0.25">
      <c r="A142" s="8" t="s">
        <v>127</v>
      </c>
      <c r="B142" s="8" t="s">
        <v>128</v>
      </c>
      <c r="C142" s="8" t="s">
        <v>296</v>
      </c>
      <c r="D142" s="8" t="s">
        <v>300</v>
      </c>
      <c r="E142" s="25">
        <v>363</v>
      </c>
      <c r="F142" s="25">
        <v>33</v>
      </c>
    </row>
    <row r="143" spans="1:6" x14ac:dyDescent="0.25">
      <c r="A143" s="8" t="s">
        <v>127</v>
      </c>
      <c r="B143" s="8" t="s">
        <v>128</v>
      </c>
      <c r="C143" s="8" t="s">
        <v>296</v>
      </c>
      <c r="D143" s="8" t="s">
        <v>301</v>
      </c>
      <c r="E143" s="25">
        <v>363</v>
      </c>
      <c r="F143" s="25">
        <v>33</v>
      </c>
    </row>
    <row r="144" spans="1:6" x14ac:dyDescent="0.25">
      <c r="A144" s="8" t="s">
        <v>127</v>
      </c>
      <c r="B144" s="8" t="s">
        <v>128</v>
      </c>
      <c r="C144" s="8" t="s">
        <v>296</v>
      </c>
      <c r="D144" s="8" t="s">
        <v>302</v>
      </c>
      <c r="E144" s="25">
        <v>181.5</v>
      </c>
      <c r="F144" s="25">
        <v>16.5</v>
      </c>
    </row>
    <row r="145" spans="1:6" x14ac:dyDescent="0.25">
      <c r="A145" s="8" t="s">
        <v>127</v>
      </c>
      <c r="B145" s="8" t="s">
        <v>128</v>
      </c>
      <c r="C145" s="8" t="s">
        <v>296</v>
      </c>
      <c r="D145" s="8" t="s">
        <v>303</v>
      </c>
      <c r="E145" s="25">
        <v>363</v>
      </c>
      <c r="F145" s="25">
        <v>33</v>
      </c>
    </row>
    <row r="146" spans="1:6" x14ac:dyDescent="0.25">
      <c r="A146" s="8" t="s">
        <v>127</v>
      </c>
      <c r="B146" s="8" t="s">
        <v>174</v>
      </c>
      <c r="C146" s="8" t="s">
        <v>304</v>
      </c>
      <c r="D146" s="8" t="s">
        <v>305</v>
      </c>
      <c r="E146" s="25">
        <v>477.4</v>
      </c>
      <c r="F146" s="25">
        <v>43.4</v>
      </c>
    </row>
    <row r="147" spans="1:6" x14ac:dyDescent="0.25">
      <c r="A147" s="8" t="s">
        <v>127</v>
      </c>
      <c r="B147" s="8" t="s">
        <v>174</v>
      </c>
      <c r="C147" s="8" t="s">
        <v>304</v>
      </c>
      <c r="D147" s="8" t="s">
        <v>306</v>
      </c>
      <c r="E147" s="25">
        <v>49.5</v>
      </c>
      <c r="F147" s="25">
        <v>4.5</v>
      </c>
    </row>
    <row r="148" spans="1:6" x14ac:dyDescent="0.25">
      <c r="A148" s="8" t="s">
        <v>127</v>
      </c>
      <c r="B148" s="8" t="s">
        <v>174</v>
      </c>
      <c r="C148" s="8" t="s">
        <v>304</v>
      </c>
      <c r="D148" s="8" t="s">
        <v>307</v>
      </c>
      <c r="E148" s="25">
        <v>679.8</v>
      </c>
      <c r="F148" s="25">
        <v>61.8</v>
      </c>
    </row>
    <row r="149" spans="1:6" x14ac:dyDescent="0.25">
      <c r="A149" s="8" t="s">
        <v>127</v>
      </c>
      <c r="B149" s="8" t="s">
        <v>174</v>
      </c>
      <c r="C149" s="8" t="s">
        <v>304</v>
      </c>
      <c r="D149" s="8" t="s">
        <v>308</v>
      </c>
      <c r="E149" s="25">
        <v>-49.5</v>
      </c>
      <c r="F149" s="25">
        <v>-4.5</v>
      </c>
    </row>
    <row r="150" spans="1:6" x14ac:dyDescent="0.25">
      <c r="A150" s="8" t="s">
        <v>127</v>
      </c>
      <c r="B150" s="8" t="s">
        <v>128</v>
      </c>
      <c r="C150" s="8" t="s">
        <v>309</v>
      </c>
      <c r="D150" s="8" t="s">
        <v>310</v>
      </c>
      <c r="E150" s="25">
        <v>6534</v>
      </c>
      <c r="F150" s="25">
        <v>594</v>
      </c>
    </row>
    <row r="151" spans="1:6" x14ac:dyDescent="0.25">
      <c r="A151" s="8" t="s">
        <v>127</v>
      </c>
      <c r="B151" s="8" t="s">
        <v>128</v>
      </c>
      <c r="C151" s="8" t="s">
        <v>309</v>
      </c>
      <c r="D151" s="8" t="s">
        <v>311</v>
      </c>
      <c r="E151" s="25">
        <v>726</v>
      </c>
      <c r="F151" s="25">
        <v>66</v>
      </c>
    </row>
    <row r="152" spans="1:6" x14ac:dyDescent="0.25">
      <c r="A152" s="8" t="s">
        <v>127</v>
      </c>
      <c r="B152" s="8" t="s">
        <v>128</v>
      </c>
      <c r="C152" s="8" t="s">
        <v>312</v>
      </c>
      <c r="D152" s="8" t="s">
        <v>313</v>
      </c>
      <c r="E152" s="25">
        <v>1320</v>
      </c>
      <c r="F152" s="25">
        <v>120</v>
      </c>
    </row>
    <row r="153" spans="1:6" x14ac:dyDescent="0.25">
      <c r="A153" s="8" t="s">
        <v>127</v>
      </c>
      <c r="B153" s="8" t="s">
        <v>128</v>
      </c>
      <c r="C153" s="8" t="s">
        <v>314</v>
      </c>
      <c r="D153" s="8" t="s">
        <v>315</v>
      </c>
      <c r="E153" s="25">
        <v>253</v>
      </c>
      <c r="F153" s="25">
        <v>23</v>
      </c>
    </row>
    <row r="154" spans="1:6" x14ac:dyDescent="0.25">
      <c r="A154" s="8" t="s">
        <v>127</v>
      </c>
      <c r="B154" s="8" t="s">
        <v>174</v>
      </c>
      <c r="C154" s="8" t="s">
        <v>316</v>
      </c>
      <c r="D154" s="8" t="s">
        <v>317</v>
      </c>
      <c r="E154" s="25">
        <v>378.4</v>
      </c>
      <c r="F154" s="25">
        <v>34.4</v>
      </c>
    </row>
    <row r="155" spans="1:6" x14ac:dyDescent="0.25">
      <c r="A155" s="8" t="s">
        <v>127</v>
      </c>
      <c r="B155" s="8" t="s">
        <v>128</v>
      </c>
      <c r="C155" s="8" t="s">
        <v>318</v>
      </c>
      <c r="D155" s="8" t="s">
        <v>319</v>
      </c>
      <c r="E155" s="25">
        <v>1914</v>
      </c>
      <c r="F155" s="25">
        <v>174</v>
      </c>
    </row>
    <row r="156" spans="1:6" x14ac:dyDescent="0.25">
      <c r="A156" s="8" t="s">
        <v>127</v>
      </c>
      <c r="B156" s="8" t="s">
        <v>174</v>
      </c>
      <c r="C156" s="8" t="s">
        <v>320</v>
      </c>
      <c r="D156" s="8" t="s">
        <v>321</v>
      </c>
      <c r="E156" s="25">
        <v>242</v>
      </c>
      <c r="F156" s="25">
        <v>22</v>
      </c>
    </row>
    <row r="157" spans="1:6" x14ac:dyDescent="0.25">
      <c r="A157" s="8" t="s">
        <v>127</v>
      </c>
      <c r="B157" s="8" t="s">
        <v>174</v>
      </c>
      <c r="C157" s="8" t="s">
        <v>320</v>
      </c>
      <c r="D157" s="8" t="s">
        <v>322</v>
      </c>
      <c r="E157" s="25">
        <v>665.5</v>
      </c>
      <c r="F157" s="25">
        <v>60.5</v>
      </c>
    </row>
    <row r="158" spans="1:6" x14ac:dyDescent="0.25">
      <c r="A158" s="8" t="s">
        <v>127</v>
      </c>
      <c r="B158" s="8" t="s">
        <v>174</v>
      </c>
      <c r="C158" s="8" t="s">
        <v>323</v>
      </c>
      <c r="D158" s="8" t="s">
        <v>324</v>
      </c>
      <c r="E158" s="25">
        <v>1654.4</v>
      </c>
      <c r="F158" s="25">
        <v>150.4</v>
      </c>
    </row>
    <row r="159" spans="1:6" x14ac:dyDescent="0.25">
      <c r="A159" s="8" t="s">
        <v>127</v>
      </c>
      <c r="B159" s="8" t="s">
        <v>174</v>
      </c>
      <c r="C159" s="8" t="s">
        <v>323</v>
      </c>
      <c r="D159" s="8" t="s">
        <v>325</v>
      </c>
      <c r="E159" s="25">
        <v>220</v>
      </c>
      <c r="F159" s="25">
        <v>20</v>
      </c>
    </row>
    <row r="160" spans="1:6" x14ac:dyDescent="0.25">
      <c r="A160" s="8" t="s">
        <v>127</v>
      </c>
      <c r="B160" s="8" t="s">
        <v>137</v>
      </c>
      <c r="C160" s="8" t="s">
        <v>323</v>
      </c>
      <c r="D160" s="8" t="s">
        <v>326</v>
      </c>
      <c r="E160" s="25">
        <v>46.86</v>
      </c>
      <c r="F160" s="25">
        <v>4.26</v>
      </c>
    </row>
    <row r="161" spans="1:6" x14ac:dyDescent="0.25">
      <c r="A161" s="8" t="s">
        <v>127</v>
      </c>
      <c r="B161" s="8" t="s">
        <v>128</v>
      </c>
      <c r="C161" s="8" t="s">
        <v>327</v>
      </c>
      <c r="D161" s="8" t="s">
        <v>328</v>
      </c>
      <c r="E161" s="25">
        <v>242</v>
      </c>
      <c r="F161" s="25">
        <v>22</v>
      </c>
    </row>
    <row r="162" spans="1:6" x14ac:dyDescent="0.25">
      <c r="A162" s="8" t="s">
        <v>127</v>
      </c>
      <c r="B162" s="8" t="s">
        <v>132</v>
      </c>
      <c r="C162" s="8" t="s">
        <v>329</v>
      </c>
      <c r="D162" s="8" t="s">
        <v>330</v>
      </c>
      <c r="E162" s="25">
        <v>387.2</v>
      </c>
      <c r="F162" s="25">
        <v>35.200000000000003</v>
      </c>
    </row>
    <row r="163" spans="1:6" x14ac:dyDescent="0.25">
      <c r="A163" s="8" t="s">
        <v>127</v>
      </c>
      <c r="B163" s="8" t="s">
        <v>132</v>
      </c>
      <c r="C163" s="8" t="s">
        <v>329</v>
      </c>
      <c r="D163" s="8" t="s">
        <v>331</v>
      </c>
      <c r="E163" s="25">
        <v>27.5</v>
      </c>
      <c r="F163" s="25">
        <v>2.5</v>
      </c>
    </row>
    <row r="164" spans="1:6" x14ac:dyDescent="0.25">
      <c r="A164" s="8" t="s">
        <v>127</v>
      </c>
      <c r="B164" s="8" t="s">
        <v>132</v>
      </c>
      <c r="C164" s="8" t="s">
        <v>329</v>
      </c>
      <c r="D164" s="8" t="s">
        <v>332</v>
      </c>
      <c r="E164" s="25">
        <v>27.5</v>
      </c>
      <c r="F164" s="25">
        <v>2.5</v>
      </c>
    </row>
    <row r="165" spans="1:6" x14ac:dyDescent="0.25">
      <c r="A165" s="8" t="s">
        <v>127</v>
      </c>
      <c r="B165" s="8" t="s">
        <v>128</v>
      </c>
      <c r="C165" s="8" t="s">
        <v>333</v>
      </c>
      <c r="D165" s="8" t="s">
        <v>334</v>
      </c>
      <c r="E165" s="25">
        <v>687.5</v>
      </c>
      <c r="F165" s="25">
        <v>62.5</v>
      </c>
    </row>
    <row r="166" spans="1:6" x14ac:dyDescent="0.25">
      <c r="A166" s="8" t="s">
        <v>127</v>
      </c>
      <c r="B166" s="8" t="s">
        <v>128</v>
      </c>
      <c r="C166" s="8" t="s">
        <v>335</v>
      </c>
      <c r="D166" s="8" t="s">
        <v>336</v>
      </c>
      <c r="E166" s="25">
        <v>1633.5</v>
      </c>
      <c r="F166" s="25">
        <v>148.5</v>
      </c>
    </row>
    <row r="167" spans="1:6" x14ac:dyDescent="0.25">
      <c r="A167" s="8" t="s">
        <v>127</v>
      </c>
      <c r="B167" s="8" t="s">
        <v>128</v>
      </c>
      <c r="C167" s="8" t="s">
        <v>335</v>
      </c>
      <c r="D167" s="8" t="s">
        <v>337</v>
      </c>
      <c r="E167" s="25">
        <v>-816.75</v>
      </c>
      <c r="F167" s="25">
        <v>-74.25</v>
      </c>
    </row>
    <row r="168" spans="1:6" x14ac:dyDescent="0.25">
      <c r="A168" s="8" t="s">
        <v>127</v>
      </c>
      <c r="B168" s="8" t="s">
        <v>132</v>
      </c>
      <c r="C168" s="8" t="s">
        <v>335</v>
      </c>
      <c r="D168" s="8" t="s">
        <v>338</v>
      </c>
      <c r="E168" s="25">
        <v>82.5</v>
      </c>
      <c r="F168" s="25">
        <v>7.5</v>
      </c>
    </row>
    <row r="169" spans="1:6" x14ac:dyDescent="0.25">
      <c r="A169" s="8" t="s">
        <v>127</v>
      </c>
      <c r="B169" s="8" t="s">
        <v>128</v>
      </c>
      <c r="C169" s="8" t="s">
        <v>339</v>
      </c>
      <c r="D169" s="8" t="s">
        <v>340</v>
      </c>
      <c r="E169" s="25">
        <v>486.2</v>
      </c>
      <c r="F169" s="25">
        <v>44.2</v>
      </c>
    </row>
    <row r="170" spans="1:6" x14ac:dyDescent="0.25">
      <c r="A170" s="8" t="s">
        <v>127</v>
      </c>
      <c r="B170" s="8" t="s">
        <v>137</v>
      </c>
      <c r="C170" s="8" t="s">
        <v>339</v>
      </c>
      <c r="D170" s="8" t="s">
        <v>341</v>
      </c>
      <c r="E170" s="25">
        <v>12.16</v>
      </c>
      <c r="F170" s="25">
        <v>1.1100000000000001</v>
      </c>
    </row>
    <row r="171" spans="1:6" x14ac:dyDescent="0.25">
      <c r="A171" s="8" t="s">
        <v>127</v>
      </c>
      <c r="B171" s="8" t="s">
        <v>128</v>
      </c>
      <c r="C171" s="8" t="s">
        <v>166</v>
      </c>
      <c r="D171" s="8" t="s">
        <v>342</v>
      </c>
      <c r="E171" s="25">
        <v>1699.5</v>
      </c>
      <c r="F171" s="25">
        <v>154.5</v>
      </c>
    </row>
    <row r="172" spans="1:6" x14ac:dyDescent="0.25">
      <c r="A172" s="8" t="s">
        <v>127</v>
      </c>
      <c r="B172" s="8" t="s">
        <v>128</v>
      </c>
      <c r="C172" s="8" t="s">
        <v>166</v>
      </c>
      <c r="D172" s="8" t="s">
        <v>343</v>
      </c>
      <c r="E172" s="25">
        <v>82.5</v>
      </c>
      <c r="F172" s="25">
        <v>7.5</v>
      </c>
    </row>
    <row r="173" spans="1:6" x14ac:dyDescent="0.25">
      <c r="A173" s="8" t="s">
        <v>344</v>
      </c>
      <c r="B173" s="8" t="s">
        <v>128</v>
      </c>
      <c r="C173" s="8" t="s">
        <v>345</v>
      </c>
      <c r="D173" s="8" t="s">
        <v>346</v>
      </c>
      <c r="E173" s="25">
        <v>419.1</v>
      </c>
      <c r="F173" s="25">
        <v>38.1</v>
      </c>
    </row>
    <row r="174" spans="1:6" x14ac:dyDescent="0.25">
      <c r="A174" s="8" t="s">
        <v>344</v>
      </c>
      <c r="B174" s="8" t="s">
        <v>347</v>
      </c>
      <c r="C174" s="8" t="s">
        <v>348</v>
      </c>
      <c r="D174" s="8" t="s">
        <v>349</v>
      </c>
      <c r="E174" s="25">
        <v>220</v>
      </c>
      <c r="F174" s="25">
        <v>20</v>
      </c>
    </row>
    <row r="175" spans="1:6" x14ac:dyDescent="0.25">
      <c r="A175" s="8" t="s">
        <v>344</v>
      </c>
      <c r="B175" s="8" t="s">
        <v>128</v>
      </c>
      <c r="C175" s="8" t="s">
        <v>348</v>
      </c>
      <c r="D175" s="8" t="s">
        <v>350</v>
      </c>
      <c r="E175" s="25">
        <v>84.15</v>
      </c>
      <c r="F175" s="25">
        <v>7.65</v>
      </c>
    </row>
    <row r="176" spans="1:6" x14ac:dyDescent="0.25">
      <c r="A176" s="8" t="s">
        <v>344</v>
      </c>
      <c r="B176" s="8" t="s">
        <v>128</v>
      </c>
      <c r="C176" s="8" t="s">
        <v>348</v>
      </c>
      <c r="D176" s="8" t="s">
        <v>351</v>
      </c>
      <c r="E176" s="25">
        <v>186.23</v>
      </c>
      <c r="F176" s="25">
        <v>16.93</v>
      </c>
    </row>
    <row r="177" spans="1:6" x14ac:dyDescent="0.25">
      <c r="A177" s="8" t="s">
        <v>344</v>
      </c>
      <c r="B177" s="8" t="s">
        <v>347</v>
      </c>
      <c r="C177" s="8" t="s">
        <v>352</v>
      </c>
      <c r="D177" s="8" t="s">
        <v>353</v>
      </c>
      <c r="E177" s="25">
        <v>220</v>
      </c>
      <c r="F177" s="25">
        <v>20</v>
      </c>
    </row>
    <row r="178" spans="1:6" x14ac:dyDescent="0.25">
      <c r="A178" s="8" t="s">
        <v>344</v>
      </c>
      <c r="B178" s="8" t="s">
        <v>128</v>
      </c>
      <c r="C178" s="8" t="s">
        <v>352</v>
      </c>
      <c r="D178" s="8" t="s">
        <v>354</v>
      </c>
      <c r="E178" s="25">
        <v>406.23</v>
      </c>
      <c r="F178" s="25">
        <v>36.93</v>
      </c>
    </row>
    <row r="179" spans="1:6" x14ac:dyDescent="0.25">
      <c r="A179" s="8" t="s">
        <v>344</v>
      </c>
      <c r="B179" s="8" t="s">
        <v>128</v>
      </c>
      <c r="C179" s="8" t="s">
        <v>352</v>
      </c>
      <c r="D179" s="8" t="s">
        <v>355</v>
      </c>
      <c r="E179" s="25">
        <v>183.15</v>
      </c>
      <c r="F179" s="25">
        <v>16.649999999999999</v>
      </c>
    </row>
    <row r="180" spans="1:6" x14ac:dyDescent="0.25">
      <c r="A180" s="8" t="s">
        <v>344</v>
      </c>
      <c r="B180" s="8" t="s">
        <v>356</v>
      </c>
      <c r="C180" s="8" t="s">
        <v>357</v>
      </c>
      <c r="D180" s="8" t="s">
        <v>358</v>
      </c>
      <c r="E180" s="25">
        <v>17908</v>
      </c>
      <c r="F180" s="25">
        <v>1628</v>
      </c>
    </row>
    <row r="181" spans="1:6" x14ac:dyDescent="0.25">
      <c r="A181" s="8" t="s">
        <v>344</v>
      </c>
      <c r="B181" s="8" t="s">
        <v>128</v>
      </c>
      <c r="C181" s="8" t="s">
        <v>359</v>
      </c>
      <c r="D181" s="8" t="s">
        <v>360</v>
      </c>
      <c r="E181" s="25">
        <v>594</v>
      </c>
      <c r="F181" s="25">
        <v>54</v>
      </c>
    </row>
    <row r="182" spans="1:6" x14ac:dyDescent="0.25">
      <c r="A182" s="8" t="s">
        <v>344</v>
      </c>
      <c r="B182" s="8" t="s">
        <v>347</v>
      </c>
      <c r="C182" s="8" t="s">
        <v>359</v>
      </c>
      <c r="D182" s="8" t="s">
        <v>361</v>
      </c>
      <c r="E182" s="25">
        <v>1320</v>
      </c>
      <c r="F182" s="25">
        <v>120</v>
      </c>
    </row>
    <row r="183" spans="1:6" x14ac:dyDescent="0.25">
      <c r="A183" s="8" t="s">
        <v>362</v>
      </c>
      <c r="B183" s="8" t="s">
        <v>132</v>
      </c>
      <c r="C183" s="8" t="s">
        <v>363</v>
      </c>
      <c r="D183" s="8" t="s">
        <v>364</v>
      </c>
      <c r="E183" s="25">
        <v>-653.4</v>
      </c>
      <c r="F183" s="25">
        <v>-59.4</v>
      </c>
    </row>
    <row r="184" spans="1:6" x14ac:dyDescent="0.25">
      <c r="A184" s="8" t="s">
        <v>362</v>
      </c>
      <c r="B184" s="8" t="s">
        <v>132</v>
      </c>
      <c r="C184" s="8" t="s">
        <v>363</v>
      </c>
      <c r="D184" s="8" t="s">
        <v>365</v>
      </c>
      <c r="E184" s="25">
        <v>-653.4</v>
      </c>
      <c r="F184" s="25">
        <v>-59.4</v>
      </c>
    </row>
    <row r="185" spans="1:6" x14ac:dyDescent="0.25">
      <c r="A185" s="8" t="s">
        <v>362</v>
      </c>
      <c r="B185" s="8" t="s">
        <v>356</v>
      </c>
      <c r="C185" s="8" t="s">
        <v>366</v>
      </c>
      <c r="D185" s="8" t="s">
        <v>367</v>
      </c>
      <c r="E185" s="25">
        <v>1221</v>
      </c>
      <c r="F185" s="25">
        <v>111</v>
      </c>
    </row>
    <row r="186" spans="1:6" x14ac:dyDescent="0.25">
      <c r="A186" s="8" t="s">
        <v>362</v>
      </c>
      <c r="B186" s="8" t="s">
        <v>128</v>
      </c>
      <c r="C186" s="8" t="s">
        <v>368</v>
      </c>
      <c r="D186" s="8" t="s">
        <v>369</v>
      </c>
      <c r="E186" s="25">
        <v>-1452</v>
      </c>
      <c r="F186" s="25">
        <v>-132</v>
      </c>
    </row>
    <row r="187" spans="1:6" x14ac:dyDescent="0.25">
      <c r="A187" s="8" t="s">
        <v>370</v>
      </c>
      <c r="B187" s="8" t="s">
        <v>356</v>
      </c>
      <c r="C187" s="8" t="s">
        <v>357</v>
      </c>
      <c r="D187" s="8" t="s">
        <v>371</v>
      </c>
      <c r="E187" s="25">
        <v>2035</v>
      </c>
      <c r="F187" s="25">
        <v>185</v>
      </c>
    </row>
    <row r="188" spans="1:6" x14ac:dyDescent="0.25">
      <c r="A188" s="8" t="s">
        <v>370</v>
      </c>
      <c r="B188" s="8" t="s">
        <v>356</v>
      </c>
      <c r="C188" s="8" t="s">
        <v>357</v>
      </c>
      <c r="D188" s="8" t="s">
        <v>372</v>
      </c>
      <c r="E188" s="25">
        <v>2849</v>
      </c>
      <c r="F188" s="25">
        <v>259</v>
      </c>
    </row>
    <row r="189" spans="1:6" x14ac:dyDescent="0.25">
      <c r="A189" s="8" t="s">
        <v>373</v>
      </c>
      <c r="B189" s="8" t="s">
        <v>174</v>
      </c>
      <c r="C189" s="8" t="s">
        <v>175</v>
      </c>
      <c r="D189" s="8" t="s">
        <v>176</v>
      </c>
      <c r="E189" s="25">
        <v>-330</v>
      </c>
      <c r="F189" s="25">
        <v>-30</v>
      </c>
    </row>
    <row r="190" spans="1:6" x14ac:dyDescent="0.25">
      <c r="A190" s="8" t="s">
        <v>373</v>
      </c>
      <c r="B190" s="8" t="s">
        <v>174</v>
      </c>
      <c r="C190" s="8" t="s">
        <v>175</v>
      </c>
      <c r="D190" s="8" t="s">
        <v>177</v>
      </c>
      <c r="E190" s="25">
        <v>-27.5</v>
      </c>
      <c r="F190" s="25">
        <v>-2.5</v>
      </c>
    </row>
    <row r="191" spans="1:6" x14ac:dyDescent="0.25">
      <c r="A191" s="8" t="s">
        <v>373</v>
      </c>
      <c r="B191" s="8" t="s">
        <v>128</v>
      </c>
      <c r="C191" s="8" t="s">
        <v>374</v>
      </c>
      <c r="D191" s="8" t="s">
        <v>375</v>
      </c>
      <c r="E191" s="25">
        <v>858</v>
      </c>
      <c r="F191" s="25">
        <v>78</v>
      </c>
    </row>
    <row r="192" spans="1:6" x14ac:dyDescent="0.25">
      <c r="A192" s="8" t="s">
        <v>376</v>
      </c>
      <c r="B192" s="8" t="s">
        <v>356</v>
      </c>
      <c r="C192" s="8" t="s">
        <v>377</v>
      </c>
      <c r="D192" s="8" t="s">
        <v>378</v>
      </c>
      <c r="E192" s="25">
        <v>1017.5</v>
      </c>
      <c r="F192" s="25">
        <v>92.5</v>
      </c>
    </row>
    <row r="193" spans="1:6" x14ac:dyDescent="0.25">
      <c r="A193" s="8" t="s">
        <v>376</v>
      </c>
      <c r="B193" s="8" t="s">
        <v>356</v>
      </c>
      <c r="C193" s="8" t="s">
        <v>379</v>
      </c>
      <c r="D193" s="8" t="s">
        <v>380</v>
      </c>
      <c r="E193" s="25">
        <v>1831.5</v>
      </c>
      <c r="F193" s="25">
        <v>166.5</v>
      </c>
    </row>
    <row r="194" spans="1:6" x14ac:dyDescent="0.25">
      <c r="A194" s="8" t="s">
        <v>376</v>
      </c>
      <c r="B194" s="8" t="s">
        <v>356</v>
      </c>
      <c r="C194" s="8" t="s">
        <v>381</v>
      </c>
      <c r="D194" s="8" t="s">
        <v>382</v>
      </c>
      <c r="E194" s="25">
        <v>1628</v>
      </c>
      <c r="F194" s="25">
        <v>148</v>
      </c>
    </row>
    <row r="195" spans="1:6" x14ac:dyDescent="0.25">
      <c r="A195" s="8" t="s">
        <v>383</v>
      </c>
      <c r="B195" s="8" t="s">
        <v>356</v>
      </c>
      <c r="C195" s="8" t="s">
        <v>384</v>
      </c>
      <c r="D195" s="8" t="s">
        <v>385</v>
      </c>
      <c r="E195" s="25">
        <v>1017.5</v>
      </c>
      <c r="F195" s="25">
        <v>92.5</v>
      </c>
    </row>
    <row r="196" spans="1:6" x14ac:dyDescent="0.25">
      <c r="A196" s="8" t="s">
        <v>386</v>
      </c>
      <c r="B196" s="8" t="s">
        <v>137</v>
      </c>
      <c r="C196" s="8" t="s">
        <v>387</v>
      </c>
      <c r="D196" s="8" t="s">
        <v>388</v>
      </c>
      <c r="E196" s="25">
        <v>3080</v>
      </c>
      <c r="F196" s="25">
        <v>280</v>
      </c>
    </row>
    <row r="197" spans="1:6" x14ac:dyDescent="0.25">
      <c r="A197" s="8" t="s">
        <v>386</v>
      </c>
      <c r="B197" s="8" t="s">
        <v>137</v>
      </c>
      <c r="C197" s="8" t="s">
        <v>389</v>
      </c>
      <c r="D197" s="8" t="s">
        <v>390</v>
      </c>
      <c r="E197" s="25">
        <v>825</v>
      </c>
      <c r="F197" s="25">
        <v>75</v>
      </c>
    </row>
    <row r="198" spans="1:6" x14ac:dyDescent="0.25">
      <c r="A198" s="8" t="s">
        <v>386</v>
      </c>
      <c r="B198" s="8" t="s">
        <v>128</v>
      </c>
      <c r="C198" s="8" t="s">
        <v>391</v>
      </c>
      <c r="D198" s="8" t="s">
        <v>392</v>
      </c>
      <c r="E198" s="25">
        <v>330</v>
      </c>
      <c r="F198" s="25">
        <v>30</v>
      </c>
    </row>
    <row r="199" spans="1:6" x14ac:dyDescent="0.25">
      <c r="A199" s="8" t="s">
        <v>393</v>
      </c>
      <c r="B199" s="8" t="s">
        <v>394</v>
      </c>
      <c r="C199" s="8" t="s">
        <v>70</v>
      </c>
      <c r="D199" s="8" t="s">
        <v>395</v>
      </c>
      <c r="E199" s="25">
        <v>4514</v>
      </c>
      <c r="F199" s="25">
        <v>410.36</v>
      </c>
    </row>
    <row r="200" spans="1:6" x14ac:dyDescent="0.25">
      <c r="A200" s="8" t="s">
        <v>393</v>
      </c>
      <c r="B200" s="8" t="s">
        <v>356</v>
      </c>
      <c r="C200" s="8" t="s">
        <v>357</v>
      </c>
      <c r="D200" s="8" t="s">
        <v>396</v>
      </c>
      <c r="E200" s="25">
        <v>874.5</v>
      </c>
      <c r="F200" s="25">
        <v>79.5</v>
      </c>
    </row>
    <row r="201" spans="1:6" x14ac:dyDescent="0.25">
      <c r="A201" s="8" t="s">
        <v>393</v>
      </c>
      <c r="B201" s="8" t="s">
        <v>128</v>
      </c>
      <c r="C201" s="8" t="s">
        <v>397</v>
      </c>
      <c r="D201" s="8" t="s">
        <v>398</v>
      </c>
      <c r="E201" s="25">
        <v>-495</v>
      </c>
      <c r="F201" s="25">
        <v>-45</v>
      </c>
    </row>
    <row r="202" spans="1:6" x14ac:dyDescent="0.25">
      <c r="A202" s="8" t="s">
        <v>393</v>
      </c>
      <c r="B202" s="8" t="s">
        <v>356</v>
      </c>
      <c r="C202" s="8" t="s">
        <v>399</v>
      </c>
      <c r="D202" s="8" t="s">
        <v>400</v>
      </c>
      <c r="E202" s="25">
        <v>610.5</v>
      </c>
      <c r="F202" s="25">
        <v>55.5</v>
      </c>
    </row>
    <row r="203" spans="1:6" x14ac:dyDescent="0.25">
      <c r="A203" s="8" t="s">
        <v>401</v>
      </c>
      <c r="B203" s="8" t="s">
        <v>394</v>
      </c>
      <c r="C203" s="8" t="s">
        <v>70</v>
      </c>
      <c r="D203" s="8" t="s">
        <v>395</v>
      </c>
      <c r="E203" s="25">
        <v>3183</v>
      </c>
      <c r="F203" s="25">
        <v>289.36</v>
      </c>
    </row>
    <row r="204" spans="1:6" x14ac:dyDescent="0.25">
      <c r="A204" s="8" t="s">
        <v>402</v>
      </c>
      <c r="B204" s="8" t="s">
        <v>128</v>
      </c>
      <c r="C204" s="8" t="s">
        <v>403</v>
      </c>
      <c r="D204" s="8" t="s">
        <v>404</v>
      </c>
      <c r="E204" s="25">
        <v>379.5</v>
      </c>
      <c r="F204" s="25">
        <v>34.5</v>
      </c>
    </row>
    <row r="205" spans="1:6" x14ac:dyDescent="0.25">
      <c r="A205" s="8" t="s">
        <v>402</v>
      </c>
      <c r="B205" s="8" t="s">
        <v>128</v>
      </c>
      <c r="C205" s="8" t="s">
        <v>403</v>
      </c>
      <c r="D205" s="8" t="s">
        <v>405</v>
      </c>
      <c r="E205" s="25">
        <v>148.5</v>
      </c>
      <c r="F205" s="25">
        <v>13.5</v>
      </c>
    </row>
    <row r="206" spans="1:6" x14ac:dyDescent="0.25">
      <c r="A206" s="8" t="s">
        <v>402</v>
      </c>
      <c r="B206" s="8" t="s">
        <v>128</v>
      </c>
      <c r="C206" s="8" t="s">
        <v>406</v>
      </c>
      <c r="D206" s="8" t="s">
        <v>407</v>
      </c>
      <c r="E206" s="25">
        <v>660</v>
      </c>
      <c r="F206" s="25">
        <v>60</v>
      </c>
    </row>
    <row r="207" spans="1:6" x14ac:dyDescent="0.25">
      <c r="A207" s="8" t="s">
        <v>402</v>
      </c>
      <c r="B207" s="8" t="s">
        <v>128</v>
      </c>
      <c r="C207" s="8" t="s">
        <v>406</v>
      </c>
      <c r="D207" s="8" t="s">
        <v>408</v>
      </c>
      <c r="E207" s="25">
        <v>82.5</v>
      </c>
      <c r="F207" s="25">
        <v>7.5</v>
      </c>
    </row>
    <row r="208" spans="1:6" x14ac:dyDescent="0.25">
      <c r="A208" s="8" t="s">
        <v>402</v>
      </c>
      <c r="B208" s="8" t="s">
        <v>128</v>
      </c>
      <c r="C208" s="8" t="s">
        <v>406</v>
      </c>
      <c r="D208" s="8" t="s">
        <v>409</v>
      </c>
      <c r="E208" s="25">
        <v>990</v>
      </c>
      <c r="F208" s="25">
        <v>90</v>
      </c>
    </row>
    <row r="209" spans="1:6" x14ac:dyDescent="0.25">
      <c r="A209" s="8" t="s">
        <v>402</v>
      </c>
      <c r="B209" s="8" t="s">
        <v>128</v>
      </c>
      <c r="C209" s="8" t="s">
        <v>406</v>
      </c>
      <c r="D209" s="8" t="s">
        <v>410</v>
      </c>
      <c r="E209" s="25">
        <v>82.5</v>
      </c>
      <c r="F209" s="25">
        <v>7.5</v>
      </c>
    </row>
    <row r="210" spans="1:6" x14ac:dyDescent="0.25">
      <c r="A210" s="8" t="s">
        <v>402</v>
      </c>
      <c r="B210" s="8" t="s">
        <v>132</v>
      </c>
      <c r="C210" s="8" t="s">
        <v>411</v>
      </c>
      <c r="D210" s="8" t="s">
        <v>412</v>
      </c>
      <c r="E210" s="25">
        <v>1247.4000000000001</v>
      </c>
      <c r="F210" s="25">
        <v>113.4</v>
      </c>
    </row>
    <row r="211" spans="1:6" x14ac:dyDescent="0.25">
      <c r="A211" s="8" t="s">
        <v>402</v>
      </c>
      <c r="B211" s="8" t="s">
        <v>132</v>
      </c>
      <c r="C211" s="8" t="s">
        <v>411</v>
      </c>
      <c r="D211" s="8" t="s">
        <v>413</v>
      </c>
      <c r="E211" s="25">
        <v>1247.4000000000001</v>
      </c>
      <c r="F211" s="25">
        <v>113.4</v>
      </c>
    </row>
    <row r="212" spans="1:6" x14ac:dyDescent="0.25">
      <c r="A212" s="8" t="s">
        <v>402</v>
      </c>
      <c r="B212" s="8" t="s">
        <v>132</v>
      </c>
      <c r="C212" s="8" t="s">
        <v>411</v>
      </c>
      <c r="D212" s="8" t="s">
        <v>414</v>
      </c>
      <c r="E212" s="25">
        <v>330</v>
      </c>
      <c r="F212" s="25">
        <v>30</v>
      </c>
    </row>
    <row r="213" spans="1:6" x14ac:dyDescent="0.25">
      <c r="A213" s="8" t="s">
        <v>402</v>
      </c>
      <c r="B213" s="8" t="s">
        <v>132</v>
      </c>
      <c r="C213" s="8" t="s">
        <v>411</v>
      </c>
      <c r="D213" s="8" t="s">
        <v>415</v>
      </c>
      <c r="E213" s="25">
        <v>330</v>
      </c>
      <c r="F213" s="25">
        <v>30</v>
      </c>
    </row>
    <row r="214" spans="1:6" x14ac:dyDescent="0.25">
      <c r="A214" s="8" t="s">
        <v>402</v>
      </c>
      <c r="B214" s="8" t="s">
        <v>132</v>
      </c>
      <c r="C214" s="8" t="s">
        <v>416</v>
      </c>
      <c r="D214" s="8" t="s">
        <v>417</v>
      </c>
      <c r="E214" s="25">
        <v>727.65</v>
      </c>
      <c r="F214" s="25">
        <v>66.150000000000006</v>
      </c>
    </row>
    <row r="215" spans="1:6" x14ac:dyDescent="0.25">
      <c r="A215" s="8" t="s">
        <v>402</v>
      </c>
      <c r="B215" s="8" t="s">
        <v>132</v>
      </c>
      <c r="C215" s="8" t="s">
        <v>416</v>
      </c>
      <c r="D215" s="8" t="s">
        <v>418</v>
      </c>
      <c r="E215" s="25">
        <v>82.5</v>
      </c>
      <c r="F215" s="25">
        <v>7.5</v>
      </c>
    </row>
    <row r="216" spans="1:6" x14ac:dyDescent="0.25">
      <c r="A216" s="8" t="s">
        <v>402</v>
      </c>
      <c r="B216" s="8" t="s">
        <v>132</v>
      </c>
      <c r="C216" s="8" t="s">
        <v>416</v>
      </c>
      <c r="D216" s="8" t="s">
        <v>419</v>
      </c>
      <c r="E216" s="25">
        <v>82.5</v>
      </c>
      <c r="F216" s="25">
        <v>7.5</v>
      </c>
    </row>
    <row r="217" spans="1:6" x14ac:dyDescent="0.25">
      <c r="A217" s="8" t="s">
        <v>402</v>
      </c>
      <c r="B217" s="8" t="s">
        <v>132</v>
      </c>
      <c r="C217" s="8" t="s">
        <v>416</v>
      </c>
      <c r="D217" s="8" t="s">
        <v>420</v>
      </c>
      <c r="E217" s="25">
        <v>103.95</v>
      </c>
      <c r="F217" s="25">
        <v>9.4499999999999993</v>
      </c>
    </row>
    <row r="218" spans="1:6" x14ac:dyDescent="0.25">
      <c r="A218" s="8" t="s">
        <v>402</v>
      </c>
      <c r="B218" s="8" t="s">
        <v>132</v>
      </c>
      <c r="C218" s="8" t="s">
        <v>416</v>
      </c>
      <c r="D218" s="8" t="s">
        <v>421</v>
      </c>
      <c r="E218" s="25">
        <v>363</v>
      </c>
      <c r="F218" s="25">
        <v>33</v>
      </c>
    </row>
    <row r="219" spans="1:6" x14ac:dyDescent="0.25">
      <c r="A219" s="8" t="s">
        <v>402</v>
      </c>
      <c r="B219" s="8" t="s">
        <v>174</v>
      </c>
      <c r="C219" s="8" t="s">
        <v>314</v>
      </c>
      <c r="D219" s="8" t="s">
        <v>225</v>
      </c>
      <c r="E219" s="25">
        <v>1589.5</v>
      </c>
      <c r="F219" s="25">
        <v>144.5</v>
      </c>
    </row>
    <row r="220" spans="1:6" x14ac:dyDescent="0.25">
      <c r="A220" s="8" t="s">
        <v>402</v>
      </c>
      <c r="B220" s="8" t="s">
        <v>174</v>
      </c>
      <c r="C220" s="8" t="s">
        <v>314</v>
      </c>
      <c r="D220" s="8" t="s">
        <v>226</v>
      </c>
      <c r="E220" s="25">
        <v>49.5</v>
      </c>
      <c r="F220" s="25">
        <v>4.5</v>
      </c>
    </row>
    <row r="221" spans="1:6" x14ac:dyDescent="0.25">
      <c r="A221" s="8" t="s">
        <v>402</v>
      </c>
      <c r="B221" s="8" t="s">
        <v>132</v>
      </c>
      <c r="C221" s="8" t="s">
        <v>314</v>
      </c>
      <c r="D221" s="8" t="s">
        <v>227</v>
      </c>
      <c r="E221" s="25">
        <v>110</v>
      </c>
      <c r="F221" s="25">
        <v>10</v>
      </c>
    </row>
    <row r="222" spans="1:6" x14ac:dyDescent="0.25">
      <c r="A222" s="8" t="s">
        <v>402</v>
      </c>
      <c r="B222" s="8" t="s">
        <v>128</v>
      </c>
      <c r="C222" s="8" t="s">
        <v>422</v>
      </c>
      <c r="D222" s="8" t="s">
        <v>423</v>
      </c>
      <c r="E222" s="25">
        <v>165</v>
      </c>
      <c r="F222" s="25">
        <v>15</v>
      </c>
    </row>
    <row r="223" spans="1:6" x14ac:dyDescent="0.25">
      <c r="A223" s="8" t="s">
        <v>402</v>
      </c>
      <c r="B223" s="8" t="s">
        <v>128</v>
      </c>
      <c r="C223" s="8" t="s">
        <v>422</v>
      </c>
      <c r="D223" s="8" t="s">
        <v>243</v>
      </c>
      <c r="E223" s="25">
        <v>16.5</v>
      </c>
      <c r="F223" s="25">
        <v>1.5</v>
      </c>
    </row>
    <row r="224" spans="1:6" x14ac:dyDescent="0.25">
      <c r="A224" s="8" t="s">
        <v>402</v>
      </c>
      <c r="B224" s="8" t="s">
        <v>128</v>
      </c>
      <c r="C224" s="8" t="s">
        <v>424</v>
      </c>
      <c r="D224" s="8" t="s">
        <v>425</v>
      </c>
      <c r="E224" s="25">
        <v>330</v>
      </c>
      <c r="F224" s="25">
        <v>30</v>
      </c>
    </row>
    <row r="225" spans="1:6" x14ac:dyDescent="0.25">
      <c r="A225" s="8" t="s">
        <v>402</v>
      </c>
      <c r="B225" s="8" t="s">
        <v>128</v>
      </c>
      <c r="C225" s="8" t="s">
        <v>426</v>
      </c>
      <c r="D225" s="8" t="s">
        <v>427</v>
      </c>
      <c r="E225" s="25">
        <v>1980</v>
      </c>
      <c r="F225" s="25">
        <v>180</v>
      </c>
    </row>
    <row r="226" spans="1:6" x14ac:dyDescent="0.25">
      <c r="A226" s="8" t="s">
        <v>402</v>
      </c>
      <c r="B226" s="8" t="s">
        <v>128</v>
      </c>
      <c r="C226" s="8" t="s">
        <v>426</v>
      </c>
      <c r="D226" s="8" t="s">
        <v>428</v>
      </c>
      <c r="E226" s="25">
        <v>-198</v>
      </c>
      <c r="F226" s="25">
        <v>-18</v>
      </c>
    </row>
    <row r="227" spans="1:6" x14ac:dyDescent="0.25">
      <c r="A227" s="8" t="s">
        <v>402</v>
      </c>
      <c r="B227" s="8" t="s">
        <v>132</v>
      </c>
      <c r="C227" s="8" t="s">
        <v>429</v>
      </c>
      <c r="D227" s="8" t="s">
        <v>330</v>
      </c>
      <c r="E227" s="25">
        <v>387.2</v>
      </c>
      <c r="F227" s="25">
        <v>35.200000000000003</v>
      </c>
    </row>
    <row r="228" spans="1:6" x14ac:dyDescent="0.25">
      <c r="A228" s="8" t="s">
        <v>402</v>
      </c>
      <c r="B228" s="8" t="s">
        <v>132</v>
      </c>
      <c r="C228" s="8" t="s">
        <v>429</v>
      </c>
      <c r="D228" s="8" t="s">
        <v>331</v>
      </c>
      <c r="E228" s="25">
        <v>27.5</v>
      </c>
      <c r="F228" s="25">
        <v>2.5</v>
      </c>
    </row>
    <row r="229" spans="1:6" x14ac:dyDescent="0.25">
      <c r="A229" s="8" t="s">
        <v>402</v>
      </c>
      <c r="B229" s="8" t="s">
        <v>132</v>
      </c>
      <c r="C229" s="8" t="s">
        <v>429</v>
      </c>
      <c r="D229" s="8" t="s">
        <v>430</v>
      </c>
      <c r="E229" s="25">
        <v>27.5</v>
      </c>
      <c r="F229" s="25">
        <v>2.5</v>
      </c>
    </row>
    <row r="230" spans="1:6" x14ac:dyDescent="0.25">
      <c r="A230" s="8" t="s">
        <v>402</v>
      </c>
      <c r="B230" s="8" t="s">
        <v>128</v>
      </c>
      <c r="C230" s="8" t="s">
        <v>391</v>
      </c>
      <c r="D230" s="8" t="s">
        <v>431</v>
      </c>
      <c r="E230" s="25">
        <v>15840</v>
      </c>
      <c r="F230" s="25">
        <v>1440</v>
      </c>
    </row>
    <row r="231" spans="1:6" x14ac:dyDescent="0.25">
      <c r="A231" s="8" t="s">
        <v>402</v>
      </c>
      <c r="B231" s="8" t="s">
        <v>128</v>
      </c>
      <c r="C231" s="8" t="s">
        <v>391</v>
      </c>
      <c r="D231" s="8" t="s">
        <v>432</v>
      </c>
      <c r="E231" s="25">
        <v>33</v>
      </c>
      <c r="F231" s="25">
        <v>3</v>
      </c>
    </row>
    <row r="232" spans="1:6" x14ac:dyDescent="0.25">
      <c r="A232" s="8" t="s">
        <v>402</v>
      </c>
      <c r="B232" s="8" t="s">
        <v>128</v>
      </c>
      <c r="C232" s="8" t="s">
        <v>391</v>
      </c>
      <c r="D232" s="8" t="s">
        <v>433</v>
      </c>
      <c r="E232" s="25">
        <v>3300</v>
      </c>
      <c r="F232" s="25">
        <v>300</v>
      </c>
    </row>
    <row r="233" spans="1:6" x14ac:dyDescent="0.25">
      <c r="A233" s="8" t="s">
        <v>402</v>
      </c>
      <c r="B233" s="8" t="s">
        <v>128</v>
      </c>
      <c r="C233" s="8" t="s">
        <v>391</v>
      </c>
      <c r="D233" s="8" t="s">
        <v>434</v>
      </c>
      <c r="E233" s="25">
        <v>23908.5</v>
      </c>
      <c r="F233" s="25">
        <v>2173.5</v>
      </c>
    </row>
    <row r="234" spans="1:6" x14ac:dyDescent="0.25">
      <c r="A234" s="8" t="s">
        <v>402</v>
      </c>
      <c r="B234" s="8" t="s">
        <v>128</v>
      </c>
      <c r="C234" s="8" t="s">
        <v>391</v>
      </c>
      <c r="D234" s="8" t="s">
        <v>435</v>
      </c>
      <c r="E234" s="25">
        <v>2640</v>
      </c>
      <c r="F234" s="25">
        <v>240</v>
      </c>
    </row>
    <row r="235" spans="1:6" x14ac:dyDescent="0.25">
      <c r="A235" s="8" t="s">
        <v>402</v>
      </c>
      <c r="B235" s="8" t="s">
        <v>128</v>
      </c>
      <c r="C235" s="8" t="s">
        <v>391</v>
      </c>
      <c r="D235" s="8" t="s">
        <v>436</v>
      </c>
      <c r="E235" s="25">
        <v>742.5</v>
      </c>
      <c r="F235" s="25">
        <v>67.5</v>
      </c>
    </row>
    <row r="236" spans="1:6" x14ac:dyDescent="0.25">
      <c r="A236" s="8" t="s">
        <v>402</v>
      </c>
      <c r="B236" s="8" t="s">
        <v>128</v>
      </c>
      <c r="C236" s="8" t="s">
        <v>391</v>
      </c>
      <c r="D236" s="8" t="s">
        <v>437</v>
      </c>
      <c r="E236" s="25">
        <v>1980</v>
      </c>
      <c r="F236" s="25">
        <v>180</v>
      </c>
    </row>
    <row r="237" spans="1:6" x14ac:dyDescent="0.25">
      <c r="A237" s="8" t="s">
        <v>402</v>
      </c>
      <c r="B237" s="8" t="s">
        <v>128</v>
      </c>
      <c r="C237" s="8" t="s">
        <v>391</v>
      </c>
      <c r="D237" s="8" t="s">
        <v>438</v>
      </c>
      <c r="E237" s="25">
        <v>742.5</v>
      </c>
      <c r="F237" s="25">
        <v>67.5</v>
      </c>
    </row>
    <row r="238" spans="1:6" x14ac:dyDescent="0.25">
      <c r="A238" s="8" t="s">
        <v>402</v>
      </c>
      <c r="B238" s="8" t="s">
        <v>128</v>
      </c>
      <c r="C238" s="8" t="s">
        <v>391</v>
      </c>
      <c r="D238" s="8" t="s">
        <v>439</v>
      </c>
      <c r="E238" s="25">
        <v>445.5</v>
      </c>
      <c r="F238" s="25">
        <v>40.5</v>
      </c>
    </row>
    <row r="239" spans="1:6" x14ac:dyDescent="0.25">
      <c r="A239" s="8" t="s">
        <v>402</v>
      </c>
      <c r="B239" s="8" t="s">
        <v>128</v>
      </c>
      <c r="C239" s="8" t="s">
        <v>391</v>
      </c>
      <c r="D239" s="8" t="s">
        <v>440</v>
      </c>
      <c r="E239" s="25">
        <v>1930.5</v>
      </c>
      <c r="F239" s="25">
        <v>175.5</v>
      </c>
    </row>
    <row r="240" spans="1:6" x14ac:dyDescent="0.25">
      <c r="A240" s="8" t="s">
        <v>402</v>
      </c>
      <c r="B240" s="8" t="s">
        <v>128</v>
      </c>
      <c r="C240" s="8" t="s">
        <v>391</v>
      </c>
      <c r="D240" s="8" t="s">
        <v>441</v>
      </c>
      <c r="E240" s="25">
        <v>742.5</v>
      </c>
      <c r="F240" s="25">
        <v>67.5</v>
      </c>
    </row>
    <row r="241" spans="1:6" x14ac:dyDescent="0.25">
      <c r="A241" s="8" t="s">
        <v>402</v>
      </c>
      <c r="B241" s="8" t="s">
        <v>128</v>
      </c>
      <c r="C241" s="8" t="s">
        <v>442</v>
      </c>
      <c r="D241" s="8" t="s">
        <v>443</v>
      </c>
      <c r="E241" s="25">
        <v>4445.1000000000004</v>
      </c>
      <c r="F241" s="25">
        <v>404.1</v>
      </c>
    </row>
    <row r="242" spans="1:6" x14ac:dyDescent="0.25">
      <c r="A242" s="8" t="s">
        <v>402</v>
      </c>
      <c r="B242" s="8" t="s">
        <v>128</v>
      </c>
      <c r="C242" s="8" t="s">
        <v>442</v>
      </c>
      <c r="D242" s="8" t="s">
        <v>444</v>
      </c>
      <c r="E242" s="25">
        <v>82.5</v>
      </c>
      <c r="F242" s="25">
        <v>7.5</v>
      </c>
    </row>
    <row r="243" spans="1:6" x14ac:dyDescent="0.25">
      <c r="A243" s="8" t="s">
        <v>402</v>
      </c>
      <c r="B243" s="8" t="s">
        <v>128</v>
      </c>
      <c r="C243" s="8" t="s">
        <v>445</v>
      </c>
      <c r="D243" s="8" t="s">
        <v>446</v>
      </c>
      <c r="E243" s="25">
        <v>990</v>
      </c>
      <c r="F243" s="25">
        <v>90</v>
      </c>
    </row>
    <row r="244" spans="1:6" x14ac:dyDescent="0.25">
      <c r="A244" s="8" t="s">
        <v>402</v>
      </c>
      <c r="B244" s="8" t="s">
        <v>128</v>
      </c>
      <c r="C244" s="8" t="s">
        <v>445</v>
      </c>
      <c r="D244" s="8" t="s">
        <v>447</v>
      </c>
      <c r="E244" s="25">
        <v>82.5</v>
      </c>
      <c r="F244" s="25">
        <v>7.5</v>
      </c>
    </row>
    <row r="245" spans="1:6" x14ac:dyDescent="0.25">
      <c r="A245" s="8" t="s">
        <v>402</v>
      </c>
      <c r="B245" s="8" t="s">
        <v>128</v>
      </c>
      <c r="C245" s="8" t="s">
        <v>391</v>
      </c>
      <c r="D245" s="8" t="s">
        <v>448</v>
      </c>
      <c r="E245" s="25">
        <v>990</v>
      </c>
      <c r="F245" s="25">
        <v>90</v>
      </c>
    </row>
    <row r="246" spans="1:6" x14ac:dyDescent="0.25">
      <c r="A246" s="8" t="s">
        <v>402</v>
      </c>
      <c r="B246" s="8" t="s">
        <v>128</v>
      </c>
      <c r="C246" s="8" t="s">
        <v>391</v>
      </c>
      <c r="D246" s="8" t="s">
        <v>449</v>
      </c>
      <c r="E246" s="25">
        <v>82.5</v>
      </c>
      <c r="F246" s="25">
        <v>7.5</v>
      </c>
    </row>
    <row r="247" spans="1:6" x14ac:dyDescent="0.25">
      <c r="A247" s="8" t="s">
        <v>402</v>
      </c>
      <c r="B247" s="8" t="s">
        <v>132</v>
      </c>
      <c r="C247" s="8" t="s">
        <v>391</v>
      </c>
      <c r="D247" s="8" t="s">
        <v>450</v>
      </c>
      <c r="E247" s="25">
        <v>99</v>
      </c>
      <c r="F247" s="25">
        <v>9</v>
      </c>
    </row>
    <row r="248" spans="1:6" x14ac:dyDescent="0.25">
      <c r="A248" s="8" t="s">
        <v>402</v>
      </c>
      <c r="B248" s="8" t="s">
        <v>128</v>
      </c>
      <c r="C248" s="8" t="s">
        <v>422</v>
      </c>
      <c r="D248" s="8" t="s">
        <v>451</v>
      </c>
      <c r="E248" s="25">
        <v>3135</v>
      </c>
      <c r="F248" s="25">
        <v>285</v>
      </c>
    </row>
    <row r="249" spans="1:6" x14ac:dyDescent="0.25">
      <c r="A249" s="8" t="s">
        <v>402</v>
      </c>
      <c r="B249" s="8" t="s">
        <v>128</v>
      </c>
      <c r="C249" s="8" t="s">
        <v>422</v>
      </c>
      <c r="D249" s="8" t="s">
        <v>143</v>
      </c>
      <c r="E249" s="25">
        <v>935</v>
      </c>
      <c r="F249" s="25">
        <v>85</v>
      </c>
    </row>
    <row r="250" spans="1:6" x14ac:dyDescent="0.25">
      <c r="A250" s="8" t="s">
        <v>402</v>
      </c>
      <c r="B250" s="8" t="s">
        <v>128</v>
      </c>
      <c r="C250" s="8" t="s">
        <v>422</v>
      </c>
      <c r="D250" s="8" t="s">
        <v>145</v>
      </c>
      <c r="E250" s="25">
        <v>93.5</v>
      </c>
      <c r="F250" s="25">
        <v>8.5</v>
      </c>
    </row>
    <row r="251" spans="1:6" x14ac:dyDescent="0.25">
      <c r="A251" s="8" t="s">
        <v>402</v>
      </c>
      <c r="B251" s="8" t="s">
        <v>128</v>
      </c>
      <c r="C251" s="8" t="s">
        <v>391</v>
      </c>
      <c r="D251" s="8" t="s">
        <v>452</v>
      </c>
      <c r="E251" s="25">
        <v>660</v>
      </c>
      <c r="F251" s="25">
        <v>60</v>
      </c>
    </row>
    <row r="252" spans="1:6" x14ac:dyDescent="0.25">
      <c r="A252" s="8" t="s">
        <v>402</v>
      </c>
      <c r="B252" s="8" t="s">
        <v>128</v>
      </c>
      <c r="C252" s="8" t="s">
        <v>391</v>
      </c>
      <c r="D252" s="8" t="s">
        <v>453</v>
      </c>
      <c r="E252" s="25">
        <v>82.5</v>
      </c>
      <c r="F252" s="25">
        <v>7.5</v>
      </c>
    </row>
    <row r="253" spans="1:6" x14ac:dyDescent="0.25">
      <c r="A253" s="8" t="s">
        <v>402</v>
      </c>
      <c r="B253" s="8" t="s">
        <v>128</v>
      </c>
      <c r="C253" s="8" t="s">
        <v>391</v>
      </c>
      <c r="D253" s="8" t="s">
        <v>454</v>
      </c>
      <c r="E253" s="25">
        <v>148.5</v>
      </c>
      <c r="F253" s="25">
        <v>13.5</v>
      </c>
    </row>
    <row r="254" spans="1:6" x14ac:dyDescent="0.25">
      <c r="A254" s="8" t="s">
        <v>402</v>
      </c>
      <c r="B254" s="8" t="s">
        <v>128</v>
      </c>
      <c r="C254" s="8" t="s">
        <v>391</v>
      </c>
      <c r="D254" s="8" t="s">
        <v>455</v>
      </c>
      <c r="E254" s="25">
        <v>148.5</v>
      </c>
      <c r="F254" s="25">
        <v>13.5</v>
      </c>
    </row>
    <row r="255" spans="1:6" x14ac:dyDescent="0.25">
      <c r="A255" s="8" t="s">
        <v>402</v>
      </c>
      <c r="B255" s="8" t="s">
        <v>132</v>
      </c>
      <c r="C255" s="8" t="s">
        <v>456</v>
      </c>
      <c r="D255" s="8" t="s">
        <v>457</v>
      </c>
      <c r="E255" s="25">
        <v>594</v>
      </c>
      <c r="F255" s="25">
        <v>54</v>
      </c>
    </row>
    <row r="256" spans="1:6" x14ac:dyDescent="0.25">
      <c r="A256" s="8" t="s">
        <v>402</v>
      </c>
      <c r="B256" s="8" t="s">
        <v>132</v>
      </c>
      <c r="C256" s="8" t="s">
        <v>456</v>
      </c>
      <c r="D256" s="8" t="s">
        <v>458</v>
      </c>
      <c r="E256" s="25">
        <v>82.5</v>
      </c>
      <c r="F256" s="25">
        <v>7.5</v>
      </c>
    </row>
    <row r="257" spans="1:6" x14ac:dyDescent="0.25">
      <c r="A257" s="8" t="s">
        <v>402</v>
      </c>
      <c r="B257" s="8" t="s">
        <v>128</v>
      </c>
      <c r="C257" s="8" t="s">
        <v>459</v>
      </c>
      <c r="D257" s="8" t="s">
        <v>460</v>
      </c>
      <c r="E257" s="25">
        <v>577.5</v>
      </c>
      <c r="F257" s="25">
        <v>52.5</v>
      </c>
    </row>
    <row r="258" spans="1:6" x14ac:dyDescent="0.25">
      <c r="A258" s="8" t="s">
        <v>402</v>
      </c>
      <c r="B258" s="8" t="s">
        <v>132</v>
      </c>
      <c r="C258" s="8" t="s">
        <v>461</v>
      </c>
      <c r="D258" s="8" t="s">
        <v>462</v>
      </c>
      <c r="E258" s="25">
        <v>247.5</v>
      </c>
      <c r="F258" s="25">
        <v>22.5</v>
      </c>
    </row>
    <row r="259" spans="1:6" x14ac:dyDescent="0.25">
      <c r="A259" s="8" t="s">
        <v>402</v>
      </c>
      <c r="B259" s="8" t="s">
        <v>137</v>
      </c>
      <c r="C259" s="8" t="s">
        <v>461</v>
      </c>
      <c r="D259" s="8" t="s">
        <v>258</v>
      </c>
      <c r="E259" s="25">
        <v>16.829999999999998</v>
      </c>
      <c r="F259" s="25">
        <v>1.53</v>
      </c>
    </row>
    <row r="260" spans="1:6" x14ac:dyDescent="0.25">
      <c r="A260" s="8" t="s">
        <v>402</v>
      </c>
      <c r="B260" s="8" t="s">
        <v>128</v>
      </c>
      <c r="C260" s="8" t="s">
        <v>463</v>
      </c>
      <c r="D260" s="8" t="s">
        <v>464</v>
      </c>
      <c r="E260" s="25">
        <v>610.5</v>
      </c>
      <c r="F260" s="25">
        <v>55.5</v>
      </c>
    </row>
    <row r="261" spans="1:6" x14ac:dyDescent="0.25">
      <c r="A261" s="8" t="s">
        <v>402</v>
      </c>
      <c r="B261" s="8" t="s">
        <v>128</v>
      </c>
      <c r="C261" s="8" t="s">
        <v>465</v>
      </c>
      <c r="D261" s="8" t="s">
        <v>466</v>
      </c>
      <c r="E261" s="25">
        <v>924</v>
      </c>
      <c r="F261" s="25">
        <v>84</v>
      </c>
    </row>
    <row r="262" spans="1:6" x14ac:dyDescent="0.25">
      <c r="A262" s="8" t="s">
        <v>402</v>
      </c>
      <c r="B262" s="8" t="s">
        <v>128</v>
      </c>
      <c r="C262" s="8" t="s">
        <v>465</v>
      </c>
      <c r="D262" s="8" t="s">
        <v>467</v>
      </c>
      <c r="E262" s="25">
        <v>148.5</v>
      </c>
      <c r="F262" s="25">
        <v>13.5</v>
      </c>
    </row>
    <row r="263" spans="1:6" x14ac:dyDescent="0.25">
      <c r="A263" s="8" t="s">
        <v>402</v>
      </c>
      <c r="B263" s="8" t="s">
        <v>128</v>
      </c>
      <c r="C263" s="8" t="s">
        <v>465</v>
      </c>
      <c r="D263" s="8" t="s">
        <v>468</v>
      </c>
      <c r="E263" s="25">
        <v>148.5</v>
      </c>
      <c r="F263" s="25">
        <v>13.5</v>
      </c>
    </row>
    <row r="264" spans="1:6" x14ac:dyDescent="0.25">
      <c r="A264" s="8" t="s">
        <v>402</v>
      </c>
      <c r="B264" s="8" t="s">
        <v>174</v>
      </c>
      <c r="C264" s="8" t="s">
        <v>161</v>
      </c>
      <c r="D264" s="8" t="s">
        <v>469</v>
      </c>
      <c r="E264" s="25">
        <v>477.4</v>
      </c>
      <c r="F264" s="25">
        <v>43.4</v>
      </c>
    </row>
    <row r="265" spans="1:6" x14ac:dyDescent="0.25">
      <c r="A265" s="8" t="s">
        <v>402</v>
      </c>
      <c r="B265" s="8" t="s">
        <v>174</v>
      </c>
      <c r="C265" s="8" t="s">
        <v>161</v>
      </c>
      <c r="D265" s="8" t="s">
        <v>306</v>
      </c>
      <c r="E265" s="25">
        <v>49.5</v>
      </c>
      <c r="F265" s="25">
        <v>4.5</v>
      </c>
    </row>
    <row r="266" spans="1:6" x14ac:dyDescent="0.25">
      <c r="A266" s="8" t="s">
        <v>402</v>
      </c>
      <c r="B266" s="8" t="s">
        <v>128</v>
      </c>
      <c r="C266" s="8" t="s">
        <v>470</v>
      </c>
      <c r="D266" s="8" t="s">
        <v>471</v>
      </c>
      <c r="E266" s="25">
        <v>253</v>
      </c>
      <c r="F266" s="25">
        <v>23</v>
      </c>
    </row>
    <row r="267" spans="1:6" x14ac:dyDescent="0.25">
      <c r="A267" s="8" t="s">
        <v>402</v>
      </c>
      <c r="B267" s="8" t="s">
        <v>174</v>
      </c>
      <c r="C267" s="8" t="s">
        <v>472</v>
      </c>
      <c r="D267" s="8" t="s">
        <v>324</v>
      </c>
      <c r="E267" s="25">
        <v>1654.4</v>
      </c>
      <c r="F267" s="25">
        <v>150.4</v>
      </c>
    </row>
    <row r="268" spans="1:6" x14ac:dyDescent="0.25">
      <c r="A268" s="8" t="s">
        <v>402</v>
      </c>
      <c r="B268" s="8" t="s">
        <v>174</v>
      </c>
      <c r="C268" s="8" t="s">
        <v>472</v>
      </c>
      <c r="D268" s="8" t="s">
        <v>325</v>
      </c>
      <c r="E268" s="25">
        <v>220</v>
      </c>
      <c r="F268" s="25">
        <v>20</v>
      </c>
    </row>
    <row r="269" spans="1:6" x14ac:dyDescent="0.25">
      <c r="A269" s="8" t="s">
        <v>402</v>
      </c>
      <c r="B269" s="8" t="s">
        <v>137</v>
      </c>
      <c r="C269" s="8" t="s">
        <v>472</v>
      </c>
      <c r="D269" s="8" t="s">
        <v>326</v>
      </c>
      <c r="E269" s="25">
        <v>46.86</v>
      </c>
      <c r="F269" s="25">
        <v>4.26</v>
      </c>
    </row>
    <row r="270" spans="1:6" x14ac:dyDescent="0.25">
      <c r="A270" s="8" t="s">
        <v>402</v>
      </c>
      <c r="B270" s="8" t="s">
        <v>128</v>
      </c>
      <c r="C270" s="8" t="s">
        <v>473</v>
      </c>
      <c r="D270" s="8" t="s">
        <v>474</v>
      </c>
      <c r="E270" s="25">
        <v>6916.8</v>
      </c>
      <c r="F270" s="25">
        <v>628.79999999999995</v>
      </c>
    </row>
    <row r="271" spans="1:6" x14ac:dyDescent="0.25">
      <c r="A271" s="8" t="s">
        <v>402</v>
      </c>
      <c r="B271" s="8" t="s">
        <v>128</v>
      </c>
      <c r="C271" s="8" t="s">
        <v>473</v>
      </c>
      <c r="D271" s="8" t="s">
        <v>475</v>
      </c>
      <c r="E271" s="25">
        <v>594</v>
      </c>
      <c r="F271" s="25">
        <v>54</v>
      </c>
    </row>
    <row r="272" spans="1:6" x14ac:dyDescent="0.25">
      <c r="A272" s="8" t="s">
        <v>402</v>
      </c>
      <c r="B272" s="8" t="s">
        <v>128</v>
      </c>
      <c r="C272" s="8" t="s">
        <v>473</v>
      </c>
      <c r="D272" s="8" t="s">
        <v>476</v>
      </c>
      <c r="E272" s="25">
        <v>-1782</v>
      </c>
      <c r="F272" s="25">
        <v>-162</v>
      </c>
    </row>
    <row r="273" spans="1:6" x14ac:dyDescent="0.25">
      <c r="A273" s="8" t="s">
        <v>402</v>
      </c>
      <c r="B273" s="8" t="s">
        <v>128</v>
      </c>
      <c r="C273" s="8" t="s">
        <v>391</v>
      </c>
      <c r="D273" s="8" t="s">
        <v>477</v>
      </c>
      <c r="E273" s="25">
        <v>2537.6999999999998</v>
      </c>
      <c r="F273" s="25">
        <v>230.7</v>
      </c>
    </row>
    <row r="274" spans="1:6" x14ac:dyDescent="0.25">
      <c r="A274" s="8" t="s">
        <v>402</v>
      </c>
      <c r="B274" s="8" t="s">
        <v>128</v>
      </c>
      <c r="C274" s="8" t="s">
        <v>391</v>
      </c>
      <c r="D274" s="8" t="s">
        <v>478</v>
      </c>
      <c r="E274" s="25">
        <v>148.5</v>
      </c>
      <c r="F274" s="25">
        <v>13.5</v>
      </c>
    </row>
    <row r="275" spans="1:6" x14ac:dyDescent="0.25">
      <c r="A275" s="8" t="s">
        <v>402</v>
      </c>
      <c r="B275" s="8" t="s">
        <v>128</v>
      </c>
      <c r="C275" s="8" t="s">
        <v>479</v>
      </c>
      <c r="D275" s="8" t="s">
        <v>480</v>
      </c>
      <c r="E275" s="25">
        <v>2620.1999999999998</v>
      </c>
      <c r="F275" s="25">
        <v>238.2</v>
      </c>
    </row>
    <row r="276" spans="1:6" x14ac:dyDescent="0.25">
      <c r="A276" s="8" t="s">
        <v>402</v>
      </c>
      <c r="B276" s="8" t="s">
        <v>128</v>
      </c>
      <c r="C276" s="8" t="s">
        <v>479</v>
      </c>
      <c r="D276" s="8" t="s">
        <v>481</v>
      </c>
      <c r="E276" s="25">
        <v>-148.5</v>
      </c>
      <c r="F276" s="25">
        <v>-13.5</v>
      </c>
    </row>
    <row r="277" spans="1:6" x14ac:dyDescent="0.25">
      <c r="A277" s="8" t="s">
        <v>402</v>
      </c>
      <c r="B277" s="8" t="s">
        <v>174</v>
      </c>
      <c r="C277" s="8" t="s">
        <v>482</v>
      </c>
      <c r="D277" s="8" t="s">
        <v>483</v>
      </c>
      <c r="E277" s="25">
        <v>994.4</v>
      </c>
      <c r="F277" s="25">
        <v>90.4</v>
      </c>
    </row>
    <row r="278" spans="1:6" x14ac:dyDescent="0.25">
      <c r="A278" s="8" t="s">
        <v>402</v>
      </c>
      <c r="B278" s="8" t="s">
        <v>174</v>
      </c>
      <c r="C278" s="8" t="s">
        <v>484</v>
      </c>
      <c r="D278" s="8" t="s">
        <v>485</v>
      </c>
      <c r="E278" s="25">
        <v>220</v>
      </c>
      <c r="F278" s="25">
        <v>20</v>
      </c>
    </row>
    <row r="279" spans="1:6" x14ac:dyDescent="0.25">
      <c r="A279" s="8" t="s">
        <v>402</v>
      </c>
      <c r="B279" s="8" t="s">
        <v>128</v>
      </c>
      <c r="C279" s="8" t="s">
        <v>486</v>
      </c>
      <c r="D279" s="8" t="s">
        <v>487</v>
      </c>
      <c r="E279" s="25">
        <v>2310</v>
      </c>
      <c r="F279" s="25">
        <v>210</v>
      </c>
    </row>
    <row r="280" spans="1:6" x14ac:dyDescent="0.25">
      <c r="A280" s="8" t="s">
        <v>402</v>
      </c>
      <c r="B280" s="8" t="s">
        <v>128</v>
      </c>
      <c r="C280" s="8" t="s">
        <v>486</v>
      </c>
      <c r="D280" s="8" t="s">
        <v>488</v>
      </c>
      <c r="E280" s="25">
        <v>297</v>
      </c>
      <c r="F280" s="25">
        <v>27</v>
      </c>
    </row>
    <row r="281" spans="1:6" x14ac:dyDescent="0.25">
      <c r="A281" s="8" t="s">
        <v>402</v>
      </c>
      <c r="B281" s="8" t="s">
        <v>174</v>
      </c>
      <c r="C281" s="8" t="s">
        <v>391</v>
      </c>
      <c r="D281" s="8" t="s">
        <v>489</v>
      </c>
      <c r="E281" s="25">
        <v>330</v>
      </c>
      <c r="F281" s="25">
        <v>30</v>
      </c>
    </row>
    <row r="282" spans="1:6" x14ac:dyDescent="0.25">
      <c r="A282" s="8" t="s">
        <v>402</v>
      </c>
      <c r="B282" s="8" t="s">
        <v>128</v>
      </c>
      <c r="C282" s="8" t="s">
        <v>422</v>
      </c>
      <c r="D282" s="8" t="s">
        <v>490</v>
      </c>
      <c r="E282" s="25">
        <v>734.8</v>
      </c>
      <c r="F282" s="25">
        <v>66.8</v>
      </c>
    </row>
    <row r="283" spans="1:6" x14ac:dyDescent="0.25">
      <c r="A283" s="8" t="s">
        <v>402</v>
      </c>
      <c r="B283" s="8" t="s">
        <v>128</v>
      </c>
      <c r="C283" s="8" t="s">
        <v>422</v>
      </c>
      <c r="D283" s="8" t="s">
        <v>252</v>
      </c>
      <c r="E283" s="25">
        <v>396</v>
      </c>
      <c r="F283" s="25">
        <v>36</v>
      </c>
    </row>
    <row r="284" spans="1:6" x14ac:dyDescent="0.25">
      <c r="A284" s="8" t="s">
        <v>402</v>
      </c>
      <c r="B284" s="8" t="s">
        <v>128</v>
      </c>
      <c r="C284" s="8" t="s">
        <v>422</v>
      </c>
      <c r="D284" s="8" t="s">
        <v>253</v>
      </c>
      <c r="E284" s="25">
        <v>247.5</v>
      </c>
      <c r="F284" s="25">
        <v>22.5</v>
      </c>
    </row>
    <row r="285" spans="1:6" x14ac:dyDescent="0.25">
      <c r="A285" s="8" t="s">
        <v>402</v>
      </c>
      <c r="B285" s="8" t="s">
        <v>128</v>
      </c>
      <c r="C285" s="8" t="s">
        <v>422</v>
      </c>
      <c r="D285" s="8" t="s">
        <v>254</v>
      </c>
      <c r="E285" s="25">
        <v>220</v>
      </c>
      <c r="F285" s="25">
        <v>20</v>
      </c>
    </row>
    <row r="286" spans="1:6" x14ac:dyDescent="0.25">
      <c r="A286" s="8" t="s">
        <v>402</v>
      </c>
      <c r="B286" s="8" t="s">
        <v>128</v>
      </c>
      <c r="C286" s="8" t="s">
        <v>422</v>
      </c>
      <c r="D286" s="8" t="s">
        <v>255</v>
      </c>
      <c r="E286" s="25">
        <v>99</v>
      </c>
      <c r="F286" s="25">
        <v>9</v>
      </c>
    </row>
    <row r="287" spans="1:6" x14ac:dyDescent="0.25">
      <c r="A287" s="8" t="s">
        <v>402</v>
      </c>
      <c r="B287" s="8" t="s">
        <v>132</v>
      </c>
      <c r="C287" s="8" t="s">
        <v>491</v>
      </c>
      <c r="D287" s="8" t="s">
        <v>134</v>
      </c>
      <c r="E287" s="25">
        <v>49.5</v>
      </c>
      <c r="F287" s="25">
        <v>4.5</v>
      </c>
    </row>
    <row r="288" spans="1:6" x14ac:dyDescent="0.25">
      <c r="A288" s="8" t="s">
        <v>402</v>
      </c>
      <c r="B288" s="8" t="s">
        <v>132</v>
      </c>
      <c r="C288" s="8" t="s">
        <v>491</v>
      </c>
      <c r="D288" s="8" t="s">
        <v>136</v>
      </c>
      <c r="E288" s="25">
        <v>27.5</v>
      </c>
      <c r="F288" s="25">
        <v>2.5</v>
      </c>
    </row>
    <row r="289" spans="1:6" x14ac:dyDescent="0.25">
      <c r="A289" s="8" t="s">
        <v>402</v>
      </c>
      <c r="B289" s="8" t="s">
        <v>137</v>
      </c>
      <c r="C289" s="8" t="s">
        <v>491</v>
      </c>
      <c r="D289" s="8" t="s">
        <v>138</v>
      </c>
      <c r="E289" s="25">
        <v>1.93</v>
      </c>
      <c r="F289" s="25">
        <v>0.18</v>
      </c>
    </row>
    <row r="290" spans="1:6" x14ac:dyDescent="0.25">
      <c r="A290" s="8" t="s">
        <v>402</v>
      </c>
      <c r="B290" s="8" t="s">
        <v>128</v>
      </c>
      <c r="C290" s="8" t="s">
        <v>391</v>
      </c>
      <c r="D290" s="8" t="s">
        <v>492</v>
      </c>
      <c r="E290" s="25">
        <v>330</v>
      </c>
      <c r="F290" s="25">
        <v>30</v>
      </c>
    </row>
    <row r="291" spans="1:6" x14ac:dyDescent="0.25">
      <c r="A291" s="8" t="s">
        <v>402</v>
      </c>
      <c r="B291" s="8" t="s">
        <v>128</v>
      </c>
      <c r="C291" s="8" t="s">
        <v>493</v>
      </c>
      <c r="D291" s="8" t="s">
        <v>494</v>
      </c>
      <c r="E291" s="25">
        <v>330</v>
      </c>
      <c r="F291" s="25">
        <v>30</v>
      </c>
    </row>
    <row r="292" spans="1:6" x14ac:dyDescent="0.25">
      <c r="A292" s="8" t="s">
        <v>402</v>
      </c>
      <c r="B292" s="8" t="s">
        <v>174</v>
      </c>
      <c r="C292" s="8" t="s">
        <v>495</v>
      </c>
      <c r="D292" s="8" t="s">
        <v>496</v>
      </c>
      <c r="E292" s="25">
        <v>825</v>
      </c>
      <c r="F292" s="25">
        <v>75</v>
      </c>
    </row>
    <row r="293" spans="1:6" x14ac:dyDescent="0.25">
      <c r="A293" s="8" t="s">
        <v>402</v>
      </c>
      <c r="B293" s="8" t="s">
        <v>174</v>
      </c>
      <c r="C293" s="8" t="s">
        <v>495</v>
      </c>
      <c r="D293" s="8" t="s">
        <v>261</v>
      </c>
      <c r="E293" s="25">
        <v>99</v>
      </c>
      <c r="F293" s="25">
        <v>9</v>
      </c>
    </row>
    <row r="294" spans="1:6" x14ac:dyDescent="0.25">
      <c r="A294" s="8" t="s">
        <v>402</v>
      </c>
      <c r="B294" s="8" t="s">
        <v>128</v>
      </c>
      <c r="C294" s="8" t="s">
        <v>497</v>
      </c>
      <c r="D294" s="8" t="s">
        <v>498</v>
      </c>
      <c r="E294" s="25">
        <v>247.5</v>
      </c>
      <c r="F294" s="25">
        <v>22.5</v>
      </c>
    </row>
    <row r="295" spans="1:6" x14ac:dyDescent="0.25">
      <c r="A295" s="8" t="s">
        <v>402</v>
      </c>
      <c r="B295" s="8" t="s">
        <v>132</v>
      </c>
      <c r="C295" s="8" t="s">
        <v>499</v>
      </c>
      <c r="D295" s="8" t="s">
        <v>181</v>
      </c>
      <c r="E295" s="25">
        <v>148.5</v>
      </c>
      <c r="F295" s="25">
        <v>13.5</v>
      </c>
    </row>
    <row r="296" spans="1:6" x14ac:dyDescent="0.25">
      <c r="A296" s="8" t="s">
        <v>402</v>
      </c>
      <c r="B296" s="8" t="s">
        <v>137</v>
      </c>
      <c r="C296" s="8" t="s">
        <v>499</v>
      </c>
      <c r="D296" s="8" t="s">
        <v>182</v>
      </c>
      <c r="E296" s="25">
        <v>4.95</v>
      </c>
      <c r="F296" s="25">
        <v>0.45</v>
      </c>
    </row>
    <row r="297" spans="1:6" x14ac:dyDescent="0.25">
      <c r="A297" s="8" t="s">
        <v>402</v>
      </c>
      <c r="B297" s="8" t="s">
        <v>128</v>
      </c>
      <c r="C297" s="8" t="s">
        <v>391</v>
      </c>
      <c r="D297" s="8" t="s">
        <v>500</v>
      </c>
      <c r="E297" s="25">
        <v>330</v>
      </c>
      <c r="F297" s="25">
        <v>30</v>
      </c>
    </row>
    <row r="298" spans="1:6" x14ac:dyDescent="0.25">
      <c r="A298" s="8" t="s">
        <v>402</v>
      </c>
      <c r="B298" s="8" t="s">
        <v>132</v>
      </c>
      <c r="C298" s="8" t="s">
        <v>501</v>
      </c>
      <c r="D298" s="8" t="s">
        <v>263</v>
      </c>
      <c r="E298" s="25">
        <v>173.25</v>
      </c>
      <c r="F298" s="25">
        <v>15.75</v>
      </c>
    </row>
    <row r="299" spans="1:6" x14ac:dyDescent="0.25">
      <c r="A299" s="8" t="s">
        <v>402</v>
      </c>
      <c r="B299" s="8" t="s">
        <v>132</v>
      </c>
      <c r="C299" s="8" t="s">
        <v>501</v>
      </c>
      <c r="D299" s="8" t="s">
        <v>264</v>
      </c>
      <c r="E299" s="25">
        <v>27.5</v>
      </c>
      <c r="F299" s="25">
        <v>2.5</v>
      </c>
    </row>
    <row r="300" spans="1:6" x14ac:dyDescent="0.25">
      <c r="A300" s="8" t="s">
        <v>402</v>
      </c>
      <c r="B300" s="8" t="s">
        <v>137</v>
      </c>
      <c r="C300" s="8" t="s">
        <v>501</v>
      </c>
      <c r="D300" s="8" t="s">
        <v>182</v>
      </c>
      <c r="E300" s="25">
        <v>5.0199999999999996</v>
      </c>
      <c r="F300" s="25">
        <v>0.46</v>
      </c>
    </row>
    <row r="301" spans="1:6" x14ac:dyDescent="0.25">
      <c r="A301" s="8" t="s">
        <v>402</v>
      </c>
      <c r="B301" s="8" t="s">
        <v>128</v>
      </c>
      <c r="C301" s="8" t="s">
        <v>502</v>
      </c>
      <c r="D301" s="8" t="s">
        <v>270</v>
      </c>
      <c r="E301" s="25">
        <v>724.9</v>
      </c>
      <c r="F301" s="25">
        <v>65.900000000000006</v>
      </c>
    </row>
    <row r="302" spans="1:6" x14ac:dyDescent="0.25">
      <c r="A302" s="8" t="s">
        <v>402</v>
      </c>
      <c r="B302" s="8" t="s">
        <v>128</v>
      </c>
      <c r="C302" s="8" t="s">
        <v>502</v>
      </c>
      <c r="D302" s="8" t="s">
        <v>271</v>
      </c>
      <c r="E302" s="25">
        <v>-247.5</v>
      </c>
      <c r="F302" s="25">
        <v>-22.5</v>
      </c>
    </row>
    <row r="303" spans="1:6" x14ac:dyDescent="0.25">
      <c r="A303" s="8" t="s">
        <v>402</v>
      </c>
      <c r="B303" s="8" t="s">
        <v>128</v>
      </c>
      <c r="C303" s="8" t="s">
        <v>502</v>
      </c>
      <c r="D303" s="8" t="s">
        <v>272</v>
      </c>
      <c r="E303" s="25">
        <v>49.5</v>
      </c>
      <c r="F303" s="25">
        <v>4.5</v>
      </c>
    </row>
    <row r="304" spans="1:6" x14ac:dyDescent="0.25">
      <c r="A304" s="8" t="s">
        <v>402</v>
      </c>
      <c r="B304" s="8" t="s">
        <v>128</v>
      </c>
      <c r="C304" s="8" t="s">
        <v>502</v>
      </c>
      <c r="D304" s="8" t="s">
        <v>273</v>
      </c>
      <c r="E304" s="25">
        <v>99</v>
      </c>
      <c r="F304" s="25">
        <v>9</v>
      </c>
    </row>
    <row r="305" spans="1:6" x14ac:dyDescent="0.25">
      <c r="A305" s="8" t="s">
        <v>402</v>
      </c>
      <c r="B305" s="8" t="s">
        <v>128</v>
      </c>
      <c r="C305" s="8" t="s">
        <v>502</v>
      </c>
      <c r="D305" s="8" t="s">
        <v>274</v>
      </c>
      <c r="E305" s="25">
        <v>49.5</v>
      </c>
      <c r="F305" s="25">
        <v>4.5</v>
      </c>
    </row>
    <row r="306" spans="1:6" x14ac:dyDescent="0.25">
      <c r="A306" s="8" t="s">
        <v>402</v>
      </c>
      <c r="B306" s="8" t="s">
        <v>128</v>
      </c>
      <c r="C306" s="8" t="s">
        <v>502</v>
      </c>
      <c r="D306" s="8" t="s">
        <v>275</v>
      </c>
      <c r="E306" s="25">
        <v>-99</v>
      </c>
      <c r="F306" s="25">
        <v>-9</v>
      </c>
    </row>
    <row r="307" spans="1:6" x14ac:dyDescent="0.25">
      <c r="A307" s="8" t="s">
        <v>402</v>
      </c>
      <c r="B307" s="8" t="s">
        <v>128</v>
      </c>
      <c r="C307" s="8" t="s">
        <v>502</v>
      </c>
      <c r="D307" s="8" t="s">
        <v>276</v>
      </c>
      <c r="E307" s="25">
        <v>110</v>
      </c>
      <c r="F307" s="25">
        <v>10</v>
      </c>
    </row>
    <row r="308" spans="1:6" x14ac:dyDescent="0.25">
      <c r="A308" s="8" t="s">
        <v>402</v>
      </c>
      <c r="B308" s="8" t="s">
        <v>128</v>
      </c>
      <c r="C308" s="8" t="s">
        <v>502</v>
      </c>
      <c r="D308" s="8" t="s">
        <v>277</v>
      </c>
      <c r="E308" s="25">
        <v>99</v>
      </c>
      <c r="F308" s="25">
        <v>9</v>
      </c>
    </row>
    <row r="309" spans="1:6" x14ac:dyDescent="0.25">
      <c r="A309" s="8" t="s">
        <v>402</v>
      </c>
      <c r="B309" s="8" t="s">
        <v>137</v>
      </c>
      <c r="C309" s="8" t="s">
        <v>502</v>
      </c>
      <c r="D309" s="8" t="s">
        <v>278</v>
      </c>
      <c r="E309" s="25">
        <v>50.11</v>
      </c>
      <c r="F309" s="25">
        <v>4.5599999999999996</v>
      </c>
    </row>
    <row r="310" spans="1:6" x14ac:dyDescent="0.25">
      <c r="A310" s="8" t="s">
        <v>402</v>
      </c>
      <c r="B310" s="8" t="s">
        <v>128</v>
      </c>
      <c r="C310" s="8" t="s">
        <v>502</v>
      </c>
      <c r="D310" s="8" t="s">
        <v>279</v>
      </c>
      <c r="E310" s="25">
        <v>49.5</v>
      </c>
      <c r="F310" s="25">
        <v>4.5</v>
      </c>
    </row>
    <row r="311" spans="1:6" x14ac:dyDescent="0.25">
      <c r="A311" s="8" t="s">
        <v>402</v>
      </c>
      <c r="B311" s="8" t="s">
        <v>128</v>
      </c>
      <c r="C311" s="8" t="s">
        <v>502</v>
      </c>
      <c r="D311" s="8" t="s">
        <v>280</v>
      </c>
      <c r="E311" s="25">
        <v>-99</v>
      </c>
      <c r="F311" s="25">
        <v>-9</v>
      </c>
    </row>
    <row r="312" spans="1:6" x14ac:dyDescent="0.25">
      <c r="A312" s="8" t="s">
        <v>402</v>
      </c>
      <c r="B312" s="8" t="s">
        <v>128</v>
      </c>
      <c r="C312" s="8" t="s">
        <v>502</v>
      </c>
      <c r="D312" s="8" t="s">
        <v>503</v>
      </c>
      <c r="E312" s="25">
        <v>110</v>
      </c>
      <c r="F312" s="25">
        <v>10</v>
      </c>
    </row>
    <row r="313" spans="1:6" x14ac:dyDescent="0.25">
      <c r="A313" s="8" t="s">
        <v>402</v>
      </c>
      <c r="B313" s="8" t="s">
        <v>128</v>
      </c>
      <c r="C313" s="8" t="s">
        <v>502</v>
      </c>
      <c r="D313" s="8" t="s">
        <v>504</v>
      </c>
      <c r="E313" s="25">
        <v>49.5</v>
      </c>
      <c r="F313" s="25">
        <v>4.5</v>
      </c>
    </row>
    <row r="314" spans="1:6" x14ac:dyDescent="0.25">
      <c r="A314" s="8" t="s">
        <v>402</v>
      </c>
      <c r="B314" s="8" t="s">
        <v>128</v>
      </c>
      <c r="C314" s="8" t="s">
        <v>505</v>
      </c>
      <c r="D314" s="8" t="s">
        <v>222</v>
      </c>
      <c r="E314" s="25">
        <v>877.8</v>
      </c>
      <c r="F314" s="25">
        <v>79.8</v>
      </c>
    </row>
    <row r="315" spans="1:6" x14ac:dyDescent="0.25">
      <c r="A315" s="8" t="s">
        <v>402</v>
      </c>
      <c r="B315" s="8" t="s">
        <v>137</v>
      </c>
      <c r="C315" s="8" t="s">
        <v>505</v>
      </c>
      <c r="D315" s="8" t="s">
        <v>223</v>
      </c>
      <c r="E315" s="25">
        <v>59.69</v>
      </c>
      <c r="F315" s="25">
        <v>5.43</v>
      </c>
    </row>
    <row r="316" spans="1:6" x14ac:dyDescent="0.25">
      <c r="A316" s="8" t="s">
        <v>402</v>
      </c>
      <c r="B316" s="8" t="s">
        <v>128</v>
      </c>
      <c r="C316" s="8" t="s">
        <v>493</v>
      </c>
      <c r="D316" s="8" t="s">
        <v>506</v>
      </c>
      <c r="E316" s="25">
        <v>328.9</v>
      </c>
      <c r="F316" s="25">
        <v>29.9</v>
      </c>
    </row>
    <row r="317" spans="1:6" x14ac:dyDescent="0.25">
      <c r="A317" s="8" t="s">
        <v>402</v>
      </c>
      <c r="B317" s="8" t="s">
        <v>137</v>
      </c>
      <c r="C317" s="8" t="s">
        <v>493</v>
      </c>
      <c r="D317" s="8" t="s">
        <v>160</v>
      </c>
      <c r="E317" s="25">
        <v>8.23</v>
      </c>
      <c r="F317" s="25">
        <v>0.75</v>
      </c>
    </row>
    <row r="318" spans="1:6" x14ac:dyDescent="0.25">
      <c r="A318" s="8" t="s">
        <v>402</v>
      </c>
      <c r="B318" s="8" t="s">
        <v>174</v>
      </c>
      <c r="C318" s="8" t="s">
        <v>161</v>
      </c>
      <c r="D318" s="8" t="s">
        <v>307</v>
      </c>
      <c r="E318" s="25">
        <v>679.8</v>
      </c>
      <c r="F318" s="25">
        <v>61.8</v>
      </c>
    </row>
    <row r="319" spans="1:6" x14ac:dyDescent="0.25">
      <c r="A319" s="8" t="s">
        <v>402</v>
      </c>
      <c r="B319" s="8" t="s">
        <v>174</v>
      </c>
      <c r="C319" s="8" t="s">
        <v>161</v>
      </c>
      <c r="D319" s="8" t="s">
        <v>308</v>
      </c>
      <c r="E319" s="25">
        <v>-49.5</v>
      </c>
      <c r="F319" s="25">
        <v>-4.5</v>
      </c>
    </row>
    <row r="320" spans="1:6" x14ac:dyDescent="0.25">
      <c r="A320" s="8" t="s">
        <v>402</v>
      </c>
      <c r="B320" s="8" t="s">
        <v>128</v>
      </c>
      <c r="C320" s="8" t="s">
        <v>502</v>
      </c>
      <c r="D320" s="8" t="s">
        <v>162</v>
      </c>
      <c r="E320" s="25">
        <v>218.9</v>
      </c>
      <c r="F320" s="25">
        <v>19.899999999999999</v>
      </c>
    </row>
    <row r="321" spans="1:6" x14ac:dyDescent="0.25">
      <c r="A321" s="8" t="s">
        <v>402</v>
      </c>
      <c r="B321" s="8" t="s">
        <v>174</v>
      </c>
      <c r="C321" s="8" t="s">
        <v>507</v>
      </c>
      <c r="D321" s="8" t="s">
        <v>508</v>
      </c>
      <c r="E321" s="25">
        <v>242</v>
      </c>
      <c r="F321" s="25">
        <v>22</v>
      </c>
    </row>
    <row r="322" spans="1:6" x14ac:dyDescent="0.25">
      <c r="A322" s="8" t="s">
        <v>402</v>
      </c>
      <c r="B322" s="8" t="s">
        <v>174</v>
      </c>
      <c r="C322" s="8" t="s">
        <v>507</v>
      </c>
      <c r="D322" s="8" t="s">
        <v>322</v>
      </c>
      <c r="E322" s="25">
        <v>665.5</v>
      </c>
      <c r="F322" s="25">
        <v>60.5</v>
      </c>
    </row>
    <row r="323" spans="1:6" x14ac:dyDescent="0.25">
      <c r="A323" s="8" t="s">
        <v>402</v>
      </c>
      <c r="B323" s="8" t="s">
        <v>128</v>
      </c>
      <c r="C323" s="8" t="s">
        <v>509</v>
      </c>
      <c r="D323" s="8" t="s">
        <v>510</v>
      </c>
      <c r="E323" s="25">
        <v>2530</v>
      </c>
      <c r="F323" s="25">
        <v>230</v>
      </c>
    </row>
    <row r="324" spans="1:6" x14ac:dyDescent="0.25">
      <c r="A324" s="8" t="s">
        <v>402</v>
      </c>
      <c r="B324" s="8" t="s">
        <v>128</v>
      </c>
      <c r="C324" s="8" t="s">
        <v>509</v>
      </c>
      <c r="D324" s="8" t="s">
        <v>511</v>
      </c>
      <c r="E324" s="25">
        <v>1188</v>
      </c>
      <c r="F324" s="25">
        <v>108</v>
      </c>
    </row>
    <row r="325" spans="1:6" x14ac:dyDescent="0.25">
      <c r="A325" s="8" t="s">
        <v>402</v>
      </c>
      <c r="B325" s="8" t="s">
        <v>128</v>
      </c>
      <c r="C325" s="8" t="s">
        <v>512</v>
      </c>
      <c r="D325" s="8" t="s">
        <v>513</v>
      </c>
      <c r="E325" s="25">
        <v>18348</v>
      </c>
      <c r="F325" s="25">
        <v>1668</v>
      </c>
    </row>
    <row r="326" spans="1:6" x14ac:dyDescent="0.25">
      <c r="A326" s="8" t="s">
        <v>402</v>
      </c>
      <c r="B326" s="8" t="s">
        <v>128</v>
      </c>
      <c r="C326" s="8" t="s">
        <v>512</v>
      </c>
      <c r="D326" s="8" t="s">
        <v>514</v>
      </c>
      <c r="E326" s="25">
        <v>594</v>
      </c>
      <c r="F326" s="25">
        <v>54</v>
      </c>
    </row>
    <row r="327" spans="1:6" x14ac:dyDescent="0.25">
      <c r="A327" s="8" t="s">
        <v>402</v>
      </c>
      <c r="B327" s="8" t="s">
        <v>128</v>
      </c>
      <c r="C327" s="8" t="s">
        <v>512</v>
      </c>
      <c r="D327" s="8" t="s">
        <v>515</v>
      </c>
      <c r="E327" s="25">
        <v>594</v>
      </c>
      <c r="F327" s="25">
        <v>54</v>
      </c>
    </row>
    <row r="328" spans="1:6" x14ac:dyDescent="0.25">
      <c r="A328" s="8" t="s">
        <v>402</v>
      </c>
      <c r="B328" s="8" t="s">
        <v>128</v>
      </c>
      <c r="C328" s="8" t="s">
        <v>516</v>
      </c>
      <c r="D328" s="8" t="s">
        <v>517</v>
      </c>
      <c r="E328" s="25">
        <v>973.5</v>
      </c>
      <c r="F328" s="25">
        <v>88.5</v>
      </c>
    </row>
    <row r="329" spans="1:6" x14ac:dyDescent="0.25">
      <c r="A329" s="8" t="s">
        <v>402</v>
      </c>
      <c r="B329" s="8" t="s">
        <v>132</v>
      </c>
      <c r="C329" s="8" t="s">
        <v>516</v>
      </c>
      <c r="D329" s="8" t="s">
        <v>518</v>
      </c>
      <c r="E329" s="25">
        <v>82.5</v>
      </c>
      <c r="F329" s="25">
        <v>7.5</v>
      </c>
    </row>
    <row r="330" spans="1:6" x14ac:dyDescent="0.25">
      <c r="A330" s="8" t="s">
        <v>402</v>
      </c>
      <c r="B330" s="8" t="s">
        <v>128</v>
      </c>
      <c r="C330" s="8" t="s">
        <v>519</v>
      </c>
      <c r="D330" s="8" t="s">
        <v>334</v>
      </c>
      <c r="E330" s="25">
        <v>687.5</v>
      </c>
      <c r="F330" s="25">
        <v>62.5</v>
      </c>
    </row>
    <row r="331" spans="1:6" x14ac:dyDescent="0.25">
      <c r="A331" s="8" t="s">
        <v>402</v>
      </c>
      <c r="B331" s="8" t="s">
        <v>128</v>
      </c>
      <c r="C331" s="8" t="s">
        <v>520</v>
      </c>
      <c r="D331" s="8" t="s">
        <v>521</v>
      </c>
      <c r="E331" s="25">
        <v>1881</v>
      </c>
      <c r="F331" s="25">
        <v>171</v>
      </c>
    </row>
    <row r="332" spans="1:6" x14ac:dyDescent="0.25">
      <c r="A332" s="8" t="s">
        <v>402</v>
      </c>
      <c r="B332" s="8" t="s">
        <v>128</v>
      </c>
      <c r="C332" s="8" t="s">
        <v>391</v>
      </c>
      <c r="D332" s="8" t="s">
        <v>522</v>
      </c>
      <c r="E332" s="25">
        <v>1580.7</v>
      </c>
      <c r="F332" s="25">
        <v>143.69999999999999</v>
      </c>
    </row>
    <row r="333" spans="1:6" x14ac:dyDescent="0.25">
      <c r="A333" s="8" t="s">
        <v>402</v>
      </c>
      <c r="B333" s="8" t="s">
        <v>128</v>
      </c>
      <c r="C333" s="8" t="s">
        <v>391</v>
      </c>
      <c r="D333" s="8" t="s">
        <v>523</v>
      </c>
      <c r="E333" s="25">
        <v>742.5</v>
      </c>
      <c r="F333" s="25">
        <v>67.5</v>
      </c>
    </row>
    <row r="334" spans="1:6" x14ac:dyDescent="0.25">
      <c r="A334" s="8" t="s">
        <v>402</v>
      </c>
      <c r="B334" s="8" t="s">
        <v>132</v>
      </c>
      <c r="C334" s="8" t="s">
        <v>391</v>
      </c>
      <c r="D334" s="8" t="s">
        <v>524</v>
      </c>
      <c r="E334" s="25">
        <v>82.5</v>
      </c>
      <c r="F334" s="25">
        <v>7.5</v>
      </c>
    </row>
    <row r="335" spans="1:6" x14ac:dyDescent="0.25">
      <c r="A335" s="8" t="s">
        <v>402</v>
      </c>
      <c r="B335" s="8" t="s">
        <v>128</v>
      </c>
      <c r="C335" s="8" t="s">
        <v>424</v>
      </c>
      <c r="D335" s="8" t="s">
        <v>525</v>
      </c>
      <c r="E335" s="25">
        <v>990</v>
      </c>
      <c r="F335" s="25">
        <v>90</v>
      </c>
    </row>
    <row r="336" spans="1:6" x14ac:dyDescent="0.25">
      <c r="A336" s="8" t="s">
        <v>402</v>
      </c>
      <c r="B336" s="8" t="s">
        <v>128</v>
      </c>
      <c r="C336" s="8" t="s">
        <v>424</v>
      </c>
      <c r="D336" s="8" t="s">
        <v>526</v>
      </c>
      <c r="E336" s="25">
        <v>82.5</v>
      </c>
      <c r="F336" s="25">
        <v>7.5</v>
      </c>
    </row>
    <row r="337" spans="1:6" x14ac:dyDescent="0.25">
      <c r="A337" s="8" t="s">
        <v>402</v>
      </c>
      <c r="B337" s="8" t="s">
        <v>128</v>
      </c>
      <c r="C337" s="8" t="s">
        <v>527</v>
      </c>
      <c r="D337" s="8" t="s">
        <v>528</v>
      </c>
      <c r="E337" s="25">
        <v>6534</v>
      </c>
      <c r="F337" s="25">
        <v>594</v>
      </c>
    </row>
    <row r="338" spans="1:6" x14ac:dyDescent="0.25">
      <c r="A338" s="8" t="s">
        <v>402</v>
      </c>
      <c r="B338" s="8" t="s">
        <v>128</v>
      </c>
      <c r="C338" s="8" t="s">
        <v>527</v>
      </c>
      <c r="D338" s="8" t="s">
        <v>529</v>
      </c>
      <c r="E338" s="25">
        <v>1122</v>
      </c>
      <c r="F338" s="25">
        <v>102</v>
      </c>
    </row>
    <row r="339" spans="1:6" x14ac:dyDescent="0.25">
      <c r="A339" s="8" t="s">
        <v>402</v>
      </c>
      <c r="B339" s="8" t="s">
        <v>128</v>
      </c>
      <c r="C339" s="8" t="s">
        <v>527</v>
      </c>
      <c r="D339" s="8" t="s">
        <v>530</v>
      </c>
      <c r="E339" s="25">
        <v>1188</v>
      </c>
      <c r="F339" s="25">
        <v>108</v>
      </c>
    </row>
    <row r="340" spans="1:6" x14ac:dyDescent="0.25">
      <c r="A340" s="8" t="s">
        <v>402</v>
      </c>
      <c r="B340" s="8" t="s">
        <v>128</v>
      </c>
      <c r="C340" s="8" t="s">
        <v>527</v>
      </c>
      <c r="D340" s="8" t="s">
        <v>531</v>
      </c>
      <c r="E340" s="25">
        <v>396</v>
      </c>
      <c r="F340" s="25">
        <v>36</v>
      </c>
    </row>
    <row r="341" spans="1:6" x14ac:dyDescent="0.25">
      <c r="A341" s="8" t="s">
        <v>402</v>
      </c>
      <c r="B341" s="8" t="s">
        <v>128</v>
      </c>
      <c r="C341" s="8" t="s">
        <v>493</v>
      </c>
      <c r="D341" s="8" t="s">
        <v>532</v>
      </c>
      <c r="E341" s="25">
        <v>627</v>
      </c>
      <c r="F341" s="25">
        <v>57</v>
      </c>
    </row>
    <row r="342" spans="1:6" x14ac:dyDescent="0.25">
      <c r="A342" s="8" t="s">
        <v>402</v>
      </c>
      <c r="B342" s="8" t="s">
        <v>128</v>
      </c>
      <c r="C342" s="8" t="s">
        <v>493</v>
      </c>
      <c r="D342" s="8" t="s">
        <v>153</v>
      </c>
      <c r="E342" s="25">
        <v>27.5</v>
      </c>
      <c r="F342" s="25">
        <v>2.5</v>
      </c>
    </row>
    <row r="343" spans="1:6" x14ac:dyDescent="0.25">
      <c r="A343" s="8" t="s">
        <v>402</v>
      </c>
      <c r="B343" s="8" t="s">
        <v>128</v>
      </c>
      <c r="C343" s="8" t="s">
        <v>493</v>
      </c>
      <c r="D343" s="8" t="s">
        <v>154</v>
      </c>
      <c r="E343" s="25">
        <v>49.5</v>
      </c>
      <c r="F343" s="25">
        <v>4.5</v>
      </c>
    </row>
    <row r="344" spans="1:6" x14ac:dyDescent="0.25">
      <c r="A344" s="8" t="s">
        <v>402</v>
      </c>
      <c r="B344" s="8" t="s">
        <v>132</v>
      </c>
      <c r="C344" s="8" t="s">
        <v>533</v>
      </c>
      <c r="D344" s="8" t="s">
        <v>148</v>
      </c>
      <c r="E344" s="25">
        <v>297</v>
      </c>
      <c r="F344" s="25">
        <v>27</v>
      </c>
    </row>
    <row r="345" spans="1:6" x14ac:dyDescent="0.25">
      <c r="A345" s="8" t="s">
        <v>402</v>
      </c>
      <c r="B345" s="8" t="s">
        <v>132</v>
      </c>
      <c r="C345" s="8" t="s">
        <v>533</v>
      </c>
      <c r="D345" s="8" t="s">
        <v>149</v>
      </c>
      <c r="E345" s="25">
        <v>49.5</v>
      </c>
      <c r="F345" s="25">
        <v>4.5</v>
      </c>
    </row>
    <row r="346" spans="1:6" x14ac:dyDescent="0.25">
      <c r="A346" s="8" t="s">
        <v>402</v>
      </c>
      <c r="B346" s="8" t="s">
        <v>132</v>
      </c>
      <c r="C346" s="8" t="s">
        <v>533</v>
      </c>
      <c r="D346" s="8" t="s">
        <v>150</v>
      </c>
      <c r="E346" s="25">
        <v>304.92</v>
      </c>
      <c r="F346" s="25">
        <v>27.72</v>
      </c>
    </row>
    <row r="347" spans="1:6" x14ac:dyDescent="0.25">
      <c r="A347" s="8" t="s">
        <v>402</v>
      </c>
      <c r="B347" s="8" t="s">
        <v>132</v>
      </c>
      <c r="C347" s="8" t="s">
        <v>533</v>
      </c>
      <c r="D347" s="8" t="s">
        <v>155</v>
      </c>
      <c r="E347" s="25">
        <v>27.5</v>
      </c>
      <c r="F347" s="25">
        <v>2.5</v>
      </c>
    </row>
    <row r="348" spans="1:6" x14ac:dyDescent="0.25">
      <c r="A348" s="8" t="s">
        <v>402</v>
      </c>
      <c r="B348" s="8" t="s">
        <v>132</v>
      </c>
      <c r="C348" s="8" t="s">
        <v>533</v>
      </c>
      <c r="D348" s="8" t="s">
        <v>156</v>
      </c>
      <c r="E348" s="25">
        <v>27.5</v>
      </c>
      <c r="F348" s="25">
        <v>2.5</v>
      </c>
    </row>
    <row r="349" spans="1:6" x14ac:dyDescent="0.25">
      <c r="A349" s="8" t="s">
        <v>402</v>
      </c>
      <c r="B349" s="8" t="s">
        <v>132</v>
      </c>
      <c r="C349" s="8" t="s">
        <v>533</v>
      </c>
      <c r="D349" s="8" t="s">
        <v>157</v>
      </c>
      <c r="E349" s="25">
        <v>49.5</v>
      </c>
      <c r="F349" s="25">
        <v>4.5</v>
      </c>
    </row>
    <row r="350" spans="1:6" x14ac:dyDescent="0.25">
      <c r="A350" s="8" t="s">
        <v>402</v>
      </c>
      <c r="B350" s="8" t="s">
        <v>137</v>
      </c>
      <c r="C350" s="8" t="s">
        <v>533</v>
      </c>
      <c r="D350" s="8" t="s">
        <v>158</v>
      </c>
      <c r="E350" s="25">
        <v>18.899999999999999</v>
      </c>
      <c r="F350" s="25">
        <v>1.72</v>
      </c>
    </row>
    <row r="351" spans="1:6" x14ac:dyDescent="0.25">
      <c r="A351" s="8" t="s">
        <v>402</v>
      </c>
      <c r="B351" s="8" t="s">
        <v>128</v>
      </c>
      <c r="C351" s="8" t="s">
        <v>534</v>
      </c>
      <c r="D351" s="8" t="s">
        <v>535</v>
      </c>
      <c r="E351" s="25">
        <v>436.7</v>
      </c>
      <c r="F351" s="25">
        <v>39.700000000000003</v>
      </c>
    </row>
    <row r="352" spans="1:6" x14ac:dyDescent="0.25">
      <c r="A352" s="8" t="s">
        <v>402</v>
      </c>
      <c r="B352" s="8" t="s">
        <v>137</v>
      </c>
      <c r="C352" s="8" t="s">
        <v>534</v>
      </c>
      <c r="D352" s="8" t="s">
        <v>220</v>
      </c>
      <c r="E352" s="25">
        <v>10.92</v>
      </c>
      <c r="F352" s="25">
        <v>0.99</v>
      </c>
    </row>
    <row r="353" spans="1:6" x14ac:dyDescent="0.25">
      <c r="A353" s="8" t="s">
        <v>402</v>
      </c>
      <c r="B353" s="8" t="s">
        <v>132</v>
      </c>
      <c r="C353" s="8" t="s">
        <v>536</v>
      </c>
      <c r="D353" s="8" t="s">
        <v>537</v>
      </c>
      <c r="E353" s="25">
        <v>1461.9</v>
      </c>
      <c r="F353" s="25">
        <v>132.9</v>
      </c>
    </row>
    <row r="354" spans="1:6" x14ac:dyDescent="0.25">
      <c r="A354" s="8" t="s">
        <v>402</v>
      </c>
      <c r="B354" s="8" t="s">
        <v>132</v>
      </c>
      <c r="C354" s="8" t="s">
        <v>536</v>
      </c>
      <c r="D354" s="8" t="s">
        <v>538</v>
      </c>
      <c r="E354" s="25">
        <v>330</v>
      </c>
      <c r="F354" s="25">
        <v>30</v>
      </c>
    </row>
    <row r="355" spans="1:6" x14ac:dyDescent="0.25">
      <c r="A355" s="8" t="s">
        <v>402</v>
      </c>
      <c r="B355" s="8" t="s">
        <v>132</v>
      </c>
      <c r="C355" s="8" t="s">
        <v>536</v>
      </c>
      <c r="D355" s="8" t="s">
        <v>539</v>
      </c>
      <c r="E355" s="25">
        <v>330</v>
      </c>
      <c r="F355" s="25">
        <v>30</v>
      </c>
    </row>
    <row r="356" spans="1:6" x14ac:dyDescent="0.25">
      <c r="A356" s="8" t="s">
        <v>402</v>
      </c>
      <c r="B356" s="8" t="s">
        <v>128</v>
      </c>
      <c r="C356" s="8" t="s">
        <v>540</v>
      </c>
      <c r="D356" s="8" t="s">
        <v>541</v>
      </c>
      <c r="E356" s="25">
        <v>3960</v>
      </c>
      <c r="F356" s="25">
        <v>360</v>
      </c>
    </row>
    <row r="357" spans="1:6" x14ac:dyDescent="0.25">
      <c r="A357" s="8" t="s">
        <v>402</v>
      </c>
      <c r="B357" s="8" t="s">
        <v>128</v>
      </c>
      <c r="C357" s="8" t="s">
        <v>493</v>
      </c>
      <c r="D357" s="8" t="s">
        <v>542</v>
      </c>
      <c r="E357" s="25">
        <v>273.89999999999998</v>
      </c>
      <c r="F357" s="25">
        <v>24.9</v>
      </c>
    </row>
    <row r="358" spans="1:6" x14ac:dyDescent="0.25">
      <c r="A358" s="8" t="s">
        <v>402</v>
      </c>
      <c r="B358" s="8" t="s">
        <v>132</v>
      </c>
      <c r="C358" s="8" t="s">
        <v>543</v>
      </c>
      <c r="D358" s="8" t="s">
        <v>544</v>
      </c>
      <c r="E358" s="25">
        <v>891</v>
      </c>
      <c r="F358" s="25">
        <v>81</v>
      </c>
    </row>
    <row r="359" spans="1:6" x14ac:dyDescent="0.25">
      <c r="A359" s="8" t="s">
        <v>402</v>
      </c>
      <c r="B359" s="8" t="s">
        <v>128</v>
      </c>
      <c r="C359" s="8" t="s">
        <v>502</v>
      </c>
      <c r="D359" s="8" t="s">
        <v>290</v>
      </c>
      <c r="E359" s="25">
        <v>675.4</v>
      </c>
      <c r="F359" s="25">
        <v>61.4</v>
      </c>
    </row>
    <row r="360" spans="1:6" x14ac:dyDescent="0.25">
      <c r="A360" s="8" t="s">
        <v>402</v>
      </c>
      <c r="B360" s="8" t="s">
        <v>128</v>
      </c>
      <c r="C360" s="8" t="s">
        <v>502</v>
      </c>
      <c r="D360" s="8" t="s">
        <v>291</v>
      </c>
      <c r="E360" s="25">
        <v>-345.4</v>
      </c>
      <c r="F360" s="25">
        <v>-31.4</v>
      </c>
    </row>
    <row r="361" spans="1:6" x14ac:dyDescent="0.25">
      <c r="A361" s="8" t="s">
        <v>402</v>
      </c>
      <c r="B361" s="8" t="s">
        <v>128</v>
      </c>
      <c r="C361" s="8" t="s">
        <v>493</v>
      </c>
      <c r="D361" s="8" t="s">
        <v>545</v>
      </c>
      <c r="E361" s="25">
        <v>427.9</v>
      </c>
      <c r="F361" s="25">
        <v>38.9</v>
      </c>
    </row>
    <row r="362" spans="1:6" x14ac:dyDescent="0.25">
      <c r="A362" s="8" t="s">
        <v>402</v>
      </c>
      <c r="B362" s="8" t="s">
        <v>137</v>
      </c>
      <c r="C362" s="8" t="s">
        <v>493</v>
      </c>
      <c r="D362" s="8" t="s">
        <v>293</v>
      </c>
      <c r="E362" s="25">
        <v>10.7</v>
      </c>
      <c r="F362" s="25">
        <v>0.97</v>
      </c>
    </row>
    <row r="363" spans="1:6" x14ac:dyDescent="0.25">
      <c r="A363" s="8" t="s">
        <v>402</v>
      </c>
      <c r="B363" s="8" t="s">
        <v>128</v>
      </c>
      <c r="C363" s="8" t="s">
        <v>493</v>
      </c>
      <c r="D363" s="8" t="s">
        <v>294</v>
      </c>
      <c r="E363" s="25">
        <v>220</v>
      </c>
      <c r="F363" s="25">
        <v>20</v>
      </c>
    </row>
    <row r="364" spans="1:6" x14ac:dyDescent="0.25">
      <c r="A364" s="8" t="s">
        <v>402</v>
      </c>
      <c r="B364" s="8" t="s">
        <v>137</v>
      </c>
      <c r="C364" s="8" t="s">
        <v>493</v>
      </c>
      <c r="D364" s="8" t="s">
        <v>295</v>
      </c>
      <c r="E364" s="25">
        <v>5.5</v>
      </c>
      <c r="F364" s="25">
        <v>0.5</v>
      </c>
    </row>
    <row r="365" spans="1:6" x14ac:dyDescent="0.25">
      <c r="A365" s="8" t="s">
        <v>402</v>
      </c>
      <c r="B365" s="8" t="s">
        <v>174</v>
      </c>
      <c r="C365" s="8" t="s">
        <v>546</v>
      </c>
      <c r="D365" s="8" t="s">
        <v>547</v>
      </c>
      <c r="E365" s="25">
        <v>378.4</v>
      </c>
      <c r="F365" s="25">
        <v>34.4</v>
      </c>
    </row>
    <row r="366" spans="1:6" x14ac:dyDescent="0.25">
      <c r="A366" s="8" t="s">
        <v>402</v>
      </c>
      <c r="B366" s="8" t="s">
        <v>128</v>
      </c>
      <c r="C366" s="8" t="s">
        <v>548</v>
      </c>
      <c r="D366" s="8" t="s">
        <v>549</v>
      </c>
      <c r="E366" s="25">
        <v>242</v>
      </c>
      <c r="F366" s="25">
        <v>22</v>
      </c>
    </row>
    <row r="367" spans="1:6" x14ac:dyDescent="0.25">
      <c r="A367" s="8" t="s">
        <v>402</v>
      </c>
      <c r="B367" s="8" t="s">
        <v>128</v>
      </c>
      <c r="C367" s="8" t="s">
        <v>550</v>
      </c>
      <c r="D367" s="8" t="s">
        <v>551</v>
      </c>
      <c r="E367" s="25">
        <v>280.5</v>
      </c>
      <c r="F367" s="25">
        <v>25.5</v>
      </c>
    </row>
    <row r="368" spans="1:6" x14ac:dyDescent="0.25">
      <c r="A368" s="8" t="s">
        <v>552</v>
      </c>
      <c r="B368" s="8" t="s">
        <v>356</v>
      </c>
      <c r="C368" s="8" t="s">
        <v>553</v>
      </c>
      <c r="D368" s="8" t="s">
        <v>554</v>
      </c>
      <c r="E368" s="25">
        <v>610.5</v>
      </c>
      <c r="F368" s="25">
        <v>55.5</v>
      </c>
    </row>
    <row r="369" spans="1:6" x14ac:dyDescent="0.25">
      <c r="A369" s="8" t="s">
        <v>552</v>
      </c>
      <c r="B369" s="8" t="s">
        <v>132</v>
      </c>
      <c r="C369" s="8" t="s">
        <v>555</v>
      </c>
      <c r="D369" s="8" t="s">
        <v>556</v>
      </c>
      <c r="E369" s="25">
        <v>-498.3</v>
      </c>
      <c r="F369" s="25">
        <v>-45.3</v>
      </c>
    </row>
    <row r="370" spans="1:6" x14ac:dyDescent="0.25">
      <c r="A370" s="8" t="s">
        <v>552</v>
      </c>
      <c r="B370" s="8" t="s">
        <v>132</v>
      </c>
      <c r="C370" s="8" t="s">
        <v>555</v>
      </c>
      <c r="D370" s="8" t="s">
        <v>557</v>
      </c>
      <c r="E370" s="25">
        <v>-330</v>
      </c>
      <c r="F370" s="25">
        <v>-30</v>
      </c>
    </row>
    <row r="371" spans="1:6" x14ac:dyDescent="0.25">
      <c r="A371" s="8" t="s">
        <v>552</v>
      </c>
      <c r="B371" s="8" t="s">
        <v>128</v>
      </c>
      <c r="C371" s="8" t="s">
        <v>558</v>
      </c>
      <c r="D371" s="8" t="s">
        <v>559</v>
      </c>
      <c r="E371" s="25">
        <v>330</v>
      </c>
      <c r="F371" s="25">
        <v>30</v>
      </c>
    </row>
    <row r="372" spans="1:6" x14ac:dyDescent="0.25">
      <c r="A372" s="8" t="s">
        <v>552</v>
      </c>
      <c r="B372" s="8" t="s">
        <v>356</v>
      </c>
      <c r="C372" s="8" t="s">
        <v>560</v>
      </c>
      <c r="D372" s="8" t="s">
        <v>561</v>
      </c>
      <c r="E372" s="25">
        <v>-2442</v>
      </c>
      <c r="F372" s="25">
        <v>-222</v>
      </c>
    </row>
    <row r="373" spans="1:6" x14ac:dyDescent="0.25">
      <c r="A373" s="8" t="s">
        <v>562</v>
      </c>
      <c r="B373" s="8" t="s">
        <v>347</v>
      </c>
      <c r="C373" s="8" t="s">
        <v>563</v>
      </c>
      <c r="D373" s="8" t="s">
        <v>564</v>
      </c>
      <c r="E373" s="25">
        <v>220</v>
      </c>
      <c r="F373" s="25">
        <v>20</v>
      </c>
    </row>
    <row r="374" spans="1:6" x14ac:dyDescent="0.25">
      <c r="A374" s="8" t="s">
        <v>562</v>
      </c>
      <c r="B374" s="8" t="s">
        <v>128</v>
      </c>
      <c r="C374" s="8" t="s">
        <v>563</v>
      </c>
      <c r="D374" s="8" t="s">
        <v>565</v>
      </c>
      <c r="E374" s="25">
        <v>636.02</v>
      </c>
      <c r="F374" s="25">
        <v>57.82</v>
      </c>
    </row>
    <row r="375" spans="1:6" x14ac:dyDescent="0.25">
      <c r="A375" s="8" t="s">
        <v>562</v>
      </c>
      <c r="B375" s="8" t="s">
        <v>356</v>
      </c>
      <c r="C375" s="8" t="s">
        <v>566</v>
      </c>
      <c r="D375" s="8" t="s">
        <v>567</v>
      </c>
      <c r="E375" s="25">
        <v>814</v>
      </c>
      <c r="F375" s="25">
        <v>74</v>
      </c>
    </row>
    <row r="376" spans="1:6" x14ac:dyDescent="0.25">
      <c r="A376" s="8" t="s">
        <v>562</v>
      </c>
      <c r="B376" s="8" t="s">
        <v>356</v>
      </c>
      <c r="C376" s="8" t="s">
        <v>568</v>
      </c>
      <c r="D376" s="8" t="s">
        <v>569</v>
      </c>
      <c r="E376" s="25">
        <v>814</v>
      </c>
      <c r="F376" s="25">
        <v>74</v>
      </c>
    </row>
    <row r="377" spans="1:6" x14ac:dyDescent="0.25">
      <c r="A377" s="8" t="s">
        <v>562</v>
      </c>
      <c r="B377" s="8" t="s">
        <v>356</v>
      </c>
      <c r="C377" s="8" t="s">
        <v>570</v>
      </c>
      <c r="D377" s="8" t="s">
        <v>571</v>
      </c>
      <c r="E377" s="25">
        <v>407</v>
      </c>
      <c r="F377" s="25">
        <v>37</v>
      </c>
    </row>
    <row r="378" spans="1:6" x14ac:dyDescent="0.25">
      <c r="A378" s="8" t="s">
        <v>562</v>
      </c>
      <c r="B378" s="8" t="s">
        <v>356</v>
      </c>
      <c r="C378" s="8" t="s">
        <v>572</v>
      </c>
      <c r="D378" s="8" t="s">
        <v>573</v>
      </c>
      <c r="E378" s="25">
        <v>1017.5</v>
      </c>
      <c r="F378" s="25">
        <v>92.5</v>
      </c>
    </row>
    <row r="379" spans="1:6" x14ac:dyDescent="0.25">
      <c r="A379" s="8" t="s">
        <v>574</v>
      </c>
      <c r="B379" s="8" t="s">
        <v>356</v>
      </c>
      <c r="C379" s="8" t="s">
        <v>575</v>
      </c>
      <c r="D379" s="8" t="s">
        <v>576</v>
      </c>
      <c r="E379" s="25">
        <v>610.5</v>
      </c>
      <c r="F379" s="25">
        <v>55.5</v>
      </c>
    </row>
    <row r="380" spans="1:6" x14ac:dyDescent="0.25">
      <c r="A380" s="8" t="s">
        <v>574</v>
      </c>
      <c r="B380" s="8" t="s">
        <v>356</v>
      </c>
      <c r="C380" s="8" t="s">
        <v>577</v>
      </c>
      <c r="D380" s="8" t="s">
        <v>578</v>
      </c>
      <c r="E380" s="25">
        <v>874.5</v>
      </c>
      <c r="F380" s="25">
        <v>79.5</v>
      </c>
    </row>
    <row r="381" spans="1:6" x14ac:dyDescent="0.25">
      <c r="A381" s="8" t="s">
        <v>574</v>
      </c>
      <c r="B381" s="8" t="s">
        <v>132</v>
      </c>
      <c r="C381" s="8" t="s">
        <v>577</v>
      </c>
      <c r="D381" s="8" t="s">
        <v>579</v>
      </c>
      <c r="E381" s="25">
        <v>162.86000000000001</v>
      </c>
      <c r="F381" s="25">
        <v>14.81</v>
      </c>
    </row>
    <row r="382" spans="1:6" x14ac:dyDescent="0.25">
      <c r="A382" s="8" t="s">
        <v>574</v>
      </c>
      <c r="B382" s="8" t="s">
        <v>132</v>
      </c>
      <c r="C382" s="8" t="s">
        <v>577</v>
      </c>
      <c r="D382" s="8" t="s">
        <v>580</v>
      </c>
      <c r="E382" s="25">
        <v>-171.62</v>
      </c>
      <c r="F382" s="25">
        <v>-15.6</v>
      </c>
    </row>
    <row r="383" spans="1:6" x14ac:dyDescent="0.25">
      <c r="A383" s="8" t="s">
        <v>574</v>
      </c>
      <c r="B383" s="8" t="s">
        <v>356</v>
      </c>
      <c r="C383" s="8" t="s">
        <v>581</v>
      </c>
      <c r="D383" s="8" t="s">
        <v>582</v>
      </c>
      <c r="E383" s="25">
        <v>1017.5</v>
      </c>
      <c r="F383" s="25">
        <v>92.5</v>
      </c>
    </row>
    <row r="384" spans="1:6" x14ac:dyDescent="0.25">
      <c r="A384" s="8" t="s">
        <v>583</v>
      </c>
      <c r="B384" s="8" t="s">
        <v>347</v>
      </c>
      <c r="C384" s="8" t="s">
        <v>584</v>
      </c>
      <c r="D384" s="8" t="s">
        <v>585</v>
      </c>
      <c r="E384" s="25">
        <v>110</v>
      </c>
      <c r="F384" s="25">
        <v>10</v>
      </c>
    </row>
    <row r="385" spans="1:6" x14ac:dyDescent="0.25">
      <c r="A385" s="8" t="s">
        <v>583</v>
      </c>
      <c r="B385" s="8" t="s">
        <v>128</v>
      </c>
      <c r="C385" s="8" t="s">
        <v>584</v>
      </c>
      <c r="D385" s="8" t="s">
        <v>586</v>
      </c>
      <c r="E385" s="25">
        <v>158.4</v>
      </c>
      <c r="F385" s="25">
        <v>14.4</v>
      </c>
    </row>
    <row r="386" spans="1:6" x14ac:dyDescent="0.25">
      <c r="A386" s="8" t="s">
        <v>587</v>
      </c>
      <c r="B386" s="8" t="s">
        <v>588</v>
      </c>
      <c r="C386" s="8" t="s">
        <v>527</v>
      </c>
      <c r="D386" s="8" t="s">
        <v>528</v>
      </c>
      <c r="E386" s="25">
        <v>-6534</v>
      </c>
      <c r="F386" s="25">
        <v>-594</v>
      </c>
    </row>
    <row r="387" spans="1:6" x14ac:dyDescent="0.25">
      <c r="A387" s="8" t="s">
        <v>587</v>
      </c>
      <c r="B387" s="8" t="s">
        <v>588</v>
      </c>
      <c r="C387" s="8" t="s">
        <v>527</v>
      </c>
      <c r="D387" s="8" t="s">
        <v>529</v>
      </c>
      <c r="E387" s="25">
        <v>-1122</v>
      </c>
      <c r="F387" s="25">
        <v>-102</v>
      </c>
    </row>
    <row r="388" spans="1:6" x14ac:dyDescent="0.25">
      <c r="A388" s="8" t="s">
        <v>587</v>
      </c>
      <c r="B388" s="8" t="s">
        <v>588</v>
      </c>
      <c r="C388" s="8" t="s">
        <v>527</v>
      </c>
      <c r="D388" s="8" t="s">
        <v>530</v>
      </c>
      <c r="E388" s="25">
        <v>-1188</v>
      </c>
      <c r="F388" s="25">
        <v>-108</v>
      </c>
    </row>
    <row r="389" spans="1:6" x14ac:dyDescent="0.25">
      <c r="A389" s="8" t="s">
        <v>587</v>
      </c>
      <c r="B389" s="8" t="s">
        <v>588</v>
      </c>
      <c r="C389" s="8" t="s">
        <v>527</v>
      </c>
      <c r="D389" s="8" t="s">
        <v>531</v>
      </c>
      <c r="E389" s="25">
        <v>-396</v>
      </c>
      <c r="F389" s="25">
        <v>-36</v>
      </c>
    </row>
    <row r="390" spans="1:6" x14ac:dyDescent="0.25">
      <c r="A390" s="8" t="s">
        <v>587</v>
      </c>
      <c r="B390" s="8" t="s">
        <v>347</v>
      </c>
      <c r="C390" s="8" t="s">
        <v>589</v>
      </c>
      <c r="D390" s="8" t="s">
        <v>590</v>
      </c>
      <c r="E390" s="25">
        <v>220</v>
      </c>
      <c r="F390" s="25">
        <v>20</v>
      </c>
    </row>
    <row r="391" spans="1:6" x14ac:dyDescent="0.25">
      <c r="A391" s="8" t="s">
        <v>587</v>
      </c>
      <c r="B391" s="8" t="s">
        <v>347</v>
      </c>
      <c r="C391" s="8" t="s">
        <v>589</v>
      </c>
      <c r="D391" s="8" t="s">
        <v>591</v>
      </c>
      <c r="E391" s="25">
        <v>-220</v>
      </c>
      <c r="F391" s="25">
        <v>-20</v>
      </c>
    </row>
    <row r="392" spans="1:6" x14ac:dyDescent="0.25">
      <c r="A392" s="8" t="s">
        <v>587</v>
      </c>
      <c r="B392" s="8" t="s">
        <v>128</v>
      </c>
      <c r="C392" s="8" t="s">
        <v>589</v>
      </c>
      <c r="D392" s="8" t="s">
        <v>592</v>
      </c>
      <c r="E392" s="25">
        <v>297</v>
      </c>
      <c r="F392" s="25">
        <v>27</v>
      </c>
    </row>
    <row r="393" spans="1:6" x14ac:dyDescent="0.25">
      <c r="A393" s="8" t="s">
        <v>587</v>
      </c>
      <c r="B393" s="8" t="s">
        <v>128</v>
      </c>
      <c r="C393" s="8" t="s">
        <v>589</v>
      </c>
      <c r="D393" s="8" t="s">
        <v>593</v>
      </c>
      <c r="E393" s="25">
        <v>-297</v>
      </c>
      <c r="F393" s="25">
        <v>-27</v>
      </c>
    </row>
    <row r="394" spans="1:6" x14ac:dyDescent="0.25">
      <c r="A394" s="8" t="s">
        <v>594</v>
      </c>
      <c r="B394" s="8" t="s">
        <v>132</v>
      </c>
      <c r="C394" s="8" t="s">
        <v>595</v>
      </c>
      <c r="D394" s="8" t="s">
        <v>596</v>
      </c>
      <c r="E394" s="25">
        <v>357.5</v>
      </c>
      <c r="F394" s="25">
        <v>32.5</v>
      </c>
    </row>
    <row r="395" spans="1:6" x14ac:dyDescent="0.25">
      <c r="A395" s="8" t="s">
        <v>594</v>
      </c>
      <c r="B395" s="8" t="s">
        <v>128</v>
      </c>
      <c r="C395" s="8" t="s">
        <v>597</v>
      </c>
      <c r="D395" s="8" t="s">
        <v>598</v>
      </c>
      <c r="E395" s="25">
        <v>-527.12</v>
      </c>
      <c r="F395" s="25">
        <v>-47.92</v>
      </c>
    </row>
    <row r="396" spans="1:6" x14ac:dyDescent="0.25">
      <c r="A396" s="8" t="s">
        <v>599</v>
      </c>
      <c r="B396" s="8" t="s">
        <v>347</v>
      </c>
      <c r="C396" s="8" t="s">
        <v>600</v>
      </c>
      <c r="D396" s="8" t="s">
        <v>601</v>
      </c>
      <c r="E396" s="25">
        <v>110</v>
      </c>
      <c r="F396" s="25">
        <v>10</v>
      </c>
    </row>
    <row r="397" spans="1:6" x14ac:dyDescent="0.25">
      <c r="A397" s="8" t="s">
        <v>599</v>
      </c>
      <c r="B397" s="8" t="s">
        <v>128</v>
      </c>
      <c r="C397" s="8" t="s">
        <v>600</v>
      </c>
      <c r="D397" s="8" t="s">
        <v>602</v>
      </c>
      <c r="E397" s="25">
        <v>600.82000000000005</v>
      </c>
      <c r="F397" s="25">
        <v>54.62</v>
      </c>
    </row>
    <row r="398" spans="1:6" x14ac:dyDescent="0.25">
      <c r="A398" s="8" t="s">
        <v>599</v>
      </c>
      <c r="B398" s="8" t="s">
        <v>356</v>
      </c>
      <c r="C398" s="8" t="s">
        <v>357</v>
      </c>
      <c r="D398" s="8" t="s">
        <v>603</v>
      </c>
      <c r="E398" s="25">
        <v>407</v>
      </c>
      <c r="F398" s="25">
        <v>37</v>
      </c>
    </row>
    <row r="399" spans="1:6" x14ac:dyDescent="0.25">
      <c r="A399" s="8" t="s">
        <v>599</v>
      </c>
      <c r="B399" s="8" t="s">
        <v>356</v>
      </c>
      <c r="C399" s="8" t="s">
        <v>357</v>
      </c>
      <c r="D399" s="8" t="s">
        <v>604</v>
      </c>
      <c r="E399" s="25">
        <v>407</v>
      </c>
      <c r="F399" s="25">
        <v>37</v>
      </c>
    </row>
    <row r="400" spans="1:6" x14ac:dyDescent="0.25">
      <c r="A400" s="8" t="s">
        <v>605</v>
      </c>
      <c r="B400" s="8" t="s">
        <v>347</v>
      </c>
      <c r="C400" s="8" t="s">
        <v>606</v>
      </c>
      <c r="D400" s="8" t="s">
        <v>607</v>
      </c>
      <c r="E400" s="25">
        <v>4290</v>
      </c>
      <c r="F400" s="25">
        <v>390</v>
      </c>
    </row>
    <row r="401" spans="1:6" x14ac:dyDescent="0.25">
      <c r="A401" s="8" t="s">
        <v>605</v>
      </c>
      <c r="B401" s="8" t="s">
        <v>347</v>
      </c>
      <c r="C401" s="8" t="s">
        <v>606</v>
      </c>
      <c r="D401" s="8" t="s">
        <v>608</v>
      </c>
      <c r="E401" s="25">
        <v>-429</v>
      </c>
      <c r="F401" s="25">
        <v>-39</v>
      </c>
    </row>
    <row r="402" spans="1:6" x14ac:dyDescent="0.25">
      <c r="A402" s="8" t="s">
        <v>605</v>
      </c>
      <c r="B402" s="8" t="s">
        <v>347</v>
      </c>
      <c r="C402" s="8" t="s">
        <v>606</v>
      </c>
      <c r="D402" s="8" t="s">
        <v>609</v>
      </c>
      <c r="E402" s="25">
        <v>874.5</v>
      </c>
      <c r="F402" s="25">
        <v>79.5</v>
      </c>
    </row>
    <row r="403" spans="1:6" x14ac:dyDescent="0.25">
      <c r="A403" s="8" t="s">
        <v>605</v>
      </c>
      <c r="B403" s="8" t="s">
        <v>347</v>
      </c>
      <c r="C403" s="8" t="s">
        <v>606</v>
      </c>
      <c r="D403" s="8" t="s">
        <v>610</v>
      </c>
      <c r="E403" s="25">
        <v>654.5</v>
      </c>
      <c r="F403" s="25">
        <v>59.5</v>
      </c>
    </row>
    <row r="404" spans="1:6" x14ac:dyDescent="0.25">
      <c r="A404" s="8" t="s">
        <v>605</v>
      </c>
      <c r="B404" s="8" t="s">
        <v>128</v>
      </c>
      <c r="C404" s="8" t="s">
        <v>611</v>
      </c>
      <c r="D404" s="8" t="s">
        <v>612</v>
      </c>
      <c r="E404" s="25">
        <v>2508</v>
      </c>
      <c r="F404" s="25">
        <v>228</v>
      </c>
    </row>
    <row r="405" spans="1:6" x14ac:dyDescent="0.25">
      <c r="A405" s="8" t="s">
        <v>605</v>
      </c>
      <c r="B405" s="8" t="s">
        <v>128</v>
      </c>
      <c r="C405" s="8" t="s">
        <v>611</v>
      </c>
      <c r="D405" s="8" t="s">
        <v>613</v>
      </c>
      <c r="E405" s="25">
        <v>82.5</v>
      </c>
      <c r="F405" s="25">
        <v>7.5</v>
      </c>
    </row>
    <row r="406" spans="1:6" x14ac:dyDescent="0.25">
      <c r="A406" s="8" t="s">
        <v>614</v>
      </c>
      <c r="B406" s="8" t="s">
        <v>347</v>
      </c>
      <c r="C406" s="8" t="s">
        <v>615</v>
      </c>
      <c r="D406" s="8" t="s">
        <v>616</v>
      </c>
      <c r="E406" s="25">
        <v>110</v>
      </c>
      <c r="F406" s="25">
        <v>10</v>
      </c>
    </row>
    <row r="407" spans="1:6" x14ac:dyDescent="0.25">
      <c r="A407" s="8" t="s">
        <v>614</v>
      </c>
      <c r="B407" s="8" t="s">
        <v>347</v>
      </c>
      <c r="C407" s="8" t="s">
        <v>615</v>
      </c>
      <c r="D407" s="8" t="s">
        <v>617</v>
      </c>
      <c r="E407" s="25">
        <v>-110</v>
      </c>
      <c r="F407" s="25">
        <v>-10</v>
      </c>
    </row>
    <row r="408" spans="1:6" x14ac:dyDescent="0.25">
      <c r="A408" s="8" t="s">
        <v>614</v>
      </c>
      <c r="B408" s="8" t="s">
        <v>128</v>
      </c>
      <c r="C408" s="8" t="s">
        <v>615</v>
      </c>
      <c r="D408" s="8" t="s">
        <v>618</v>
      </c>
      <c r="E408" s="25">
        <v>148.5</v>
      </c>
      <c r="F408" s="25">
        <v>13.5</v>
      </c>
    </row>
    <row r="409" spans="1:6" x14ac:dyDescent="0.25">
      <c r="A409" s="8" t="s">
        <v>614</v>
      </c>
      <c r="B409" s="8" t="s">
        <v>128</v>
      </c>
      <c r="C409" s="8" t="s">
        <v>615</v>
      </c>
      <c r="D409" s="8" t="s">
        <v>619</v>
      </c>
      <c r="E409" s="25">
        <v>-148.5</v>
      </c>
      <c r="F409" s="25">
        <v>-13.5</v>
      </c>
    </row>
    <row r="410" spans="1:6" x14ac:dyDescent="0.25">
      <c r="A410" s="8" t="s">
        <v>614</v>
      </c>
      <c r="B410" s="8" t="s">
        <v>347</v>
      </c>
      <c r="C410" s="8" t="s">
        <v>620</v>
      </c>
      <c r="D410" s="8" t="s">
        <v>621</v>
      </c>
      <c r="E410" s="25">
        <v>110</v>
      </c>
      <c r="F410" s="25">
        <v>10</v>
      </c>
    </row>
    <row r="411" spans="1:6" x14ac:dyDescent="0.25">
      <c r="A411" s="8" t="s">
        <v>614</v>
      </c>
      <c r="B411" s="8" t="s">
        <v>347</v>
      </c>
      <c r="C411" s="8" t="s">
        <v>620</v>
      </c>
      <c r="D411" s="8" t="s">
        <v>622</v>
      </c>
      <c r="E411" s="25">
        <v>-110</v>
      </c>
      <c r="F411" s="25">
        <v>-10</v>
      </c>
    </row>
    <row r="412" spans="1:6" x14ac:dyDescent="0.25">
      <c r="A412" s="8" t="s">
        <v>614</v>
      </c>
      <c r="B412" s="8" t="s">
        <v>128</v>
      </c>
      <c r="C412" s="8" t="s">
        <v>620</v>
      </c>
      <c r="D412" s="8" t="s">
        <v>623</v>
      </c>
      <c r="E412" s="25">
        <v>330</v>
      </c>
      <c r="F412" s="25">
        <v>30</v>
      </c>
    </row>
    <row r="413" spans="1:6" x14ac:dyDescent="0.25">
      <c r="A413" s="8" t="s">
        <v>614</v>
      </c>
      <c r="B413" s="8" t="s">
        <v>128</v>
      </c>
      <c r="C413" s="8" t="s">
        <v>620</v>
      </c>
      <c r="D413" s="8" t="s">
        <v>624</v>
      </c>
      <c r="E413" s="25">
        <v>-330</v>
      </c>
      <c r="F413" s="25">
        <v>-30</v>
      </c>
    </row>
    <row r="414" spans="1:6" x14ac:dyDescent="0.25">
      <c r="A414" s="8" t="s">
        <v>625</v>
      </c>
      <c r="B414" s="8" t="s">
        <v>356</v>
      </c>
      <c r="C414" s="8" t="s">
        <v>357</v>
      </c>
      <c r="D414" s="8" t="s">
        <v>626</v>
      </c>
      <c r="E414" s="25">
        <v>1628</v>
      </c>
      <c r="F414" s="25">
        <v>148</v>
      </c>
    </row>
    <row r="415" spans="1:6" x14ac:dyDescent="0.25">
      <c r="A415" s="8" t="s">
        <v>625</v>
      </c>
      <c r="B415" s="8" t="s">
        <v>356</v>
      </c>
      <c r="C415" s="8" t="s">
        <v>627</v>
      </c>
      <c r="D415" s="8" t="s">
        <v>628</v>
      </c>
      <c r="E415" s="25">
        <v>814</v>
      </c>
      <c r="F415" s="25">
        <v>74</v>
      </c>
    </row>
    <row r="416" spans="1:6" x14ac:dyDescent="0.25">
      <c r="A416" s="8" t="s">
        <v>625</v>
      </c>
      <c r="B416" s="8" t="s">
        <v>356</v>
      </c>
      <c r="C416" s="8" t="s">
        <v>629</v>
      </c>
      <c r="D416" s="8" t="s">
        <v>630</v>
      </c>
      <c r="E416" s="25">
        <v>814</v>
      </c>
      <c r="F416" s="25">
        <v>74</v>
      </c>
    </row>
    <row r="417" spans="1:6" x14ac:dyDescent="0.25">
      <c r="A417" s="8" t="s">
        <v>625</v>
      </c>
      <c r="B417" s="8" t="s">
        <v>347</v>
      </c>
      <c r="C417" s="8" t="s">
        <v>631</v>
      </c>
      <c r="D417" s="8" t="s">
        <v>632</v>
      </c>
      <c r="E417" s="25">
        <v>5445</v>
      </c>
      <c r="F417" s="25">
        <v>495</v>
      </c>
    </row>
    <row r="418" spans="1:6" x14ac:dyDescent="0.25">
      <c r="A418" s="8" t="s">
        <v>625</v>
      </c>
      <c r="B418" s="8" t="s">
        <v>128</v>
      </c>
      <c r="C418" s="8" t="s">
        <v>633</v>
      </c>
      <c r="D418" s="8" t="s">
        <v>634</v>
      </c>
      <c r="E418" s="25">
        <v>1303.5</v>
      </c>
      <c r="F418" s="25">
        <v>118.5</v>
      </c>
    </row>
    <row r="419" spans="1:6" x14ac:dyDescent="0.25">
      <c r="A419" s="8" t="s">
        <v>625</v>
      </c>
      <c r="B419" s="8" t="s">
        <v>356</v>
      </c>
      <c r="C419" s="8" t="s">
        <v>635</v>
      </c>
      <c r="D419" s="8" t="s">
        <v>636</v>
      </c>
      <c r="E419" s="25">
        <v>-407</v>
      </c>
      <c r="F419" s="25">
        <v>-37</v>
      </c>
    </row>
    <row r="420" spans="1:6" x14ac:dyDescent="0.25">
      <c r="A420" s="8" t="s">
        <v>625</v>
      </c>
      <c r="B420" s="8" t="s">
        <v>132</v>
      </c>
      <c r="C420" s="8" t="s">
        <v>637</v>
      </c>
      <c r="D420" s="8" t="s">
        <v>638</v>
      </c>
      <c r="E420" s="25">
        <v>-1066.3</v>
      </c>
      <c r="F420" s="25">
        <v>-96.94</v>
      </c>
    </row>
    <row r="421" spans="1:6" x14ac:dyDescent="0.25">
      <c r="A421" s="8" t="s">
        <v>625</v>
      </c>
      <c r="B421" s="8" t="s">
        <v>132</v>
      </c>
      <c r="C421" s="8" t="s">
        <v>637</v>
      </c>
      <c r="D421" s="8" t="s">
        <v>639</v>
      </c>
      <c r="E421" s="25">
        <v>-82.5</v>
      </c>
      <c r="F421" s="25">
        <v>-7.5</v>
      </c>
    </row>
    <row r="422" spans="1:6" x14ac:dyDescent="0.25">
      <c r="A422" s="8" t="s">
        <v>625</v>
      </c>
      <c r="B422" s="8" t="s">
        <v>347</v>
      </c>
      <c r="C422" s="8" t="s">
        <v>640</v>
      </c>
      <c r="D422" s="8" t="s">
        <v>641</v>
      </c>
      <c r="E422" s="25">
        <v>330</v>
      </c>
      <c r="F422" s="25">
        <v>30</v>
      </c>
    </row>
    <row r="423" spans="1:6" x14ac:dyDescent="0.25">
      <c r="A423" s="8" t="s">
        <v>625</v>
      </c>
      <c r="B423" s="8" t="s">
        <v>347</v>
      </c>
      <c r="C423" s="8" t="s">
        <v>640</v>
      </c>
      <c r="D423" s="8" t="s">
        <v>642</v>
      </c>
      <c r="E423" s="25">
        <v>-330</v>
      </c>
      <c r="F423" s="25">
        <v>-30</v>
      </c>
    </row>
    <row r="424" spans="1:6" x14ac:dyDescent="0.25">
      <c r="A424" s="8" t="s">
        <v>625</v>
      </c>
      <c r="B424" s="8" t="s">
        <v>128</v>
      </c>
      <c r="C424" s="8" t="s">
        <v>640</v>
      </c>
      <c r="D424" s="8" t="s">
        <v>643</v>
      </c>
      <c r="E424" s="25">
        <v>445.5</v>
      </c>
      <c r="F424" s="25">
        <v>40.5</v>
      </c>
    </row>
    <row r="425" spans="1:6" x14ac:dyDescent="0.25">
      <c r="A425" s="8" t="s">
        <v>625</v>
      </c>
      <c r="B425" s="8" t="s">
        <v>128</v>
      </c>
      <c r="C425" s="8" t="s">
        <v>640</v>
      </c>
      <c r="D425" s="8" t="s">
        <v>644</v>
      </c>
      <c r="E425" s="25">
        <v>-445.5</v>
      </c>
      <c r="F425" s="25">
        <v>-40.5</v>
      </c>
    </row>
    <row r="426" spans="1:6" x14ac:dyDescent="0.25">
      <c r="A426" s="8" t="s">
        <v>625</v>
      </c>
      <c r="B426" s="8" t="s">
        <v>356</v>
      </c>
      <c r="C426" s="8" t="s">
        <v>645</v>
      </c>
      <c r="D426" s="8" t="s">
        <v>646</v>
      </c>
      <c r="E426" s="25">
        <v>1221</v>
      </c>
      <c r="F426" s="25">
        <v>111</v>
      </c>
    </row>
    <row r="427" spans="1:6" x14ac:dyDescent="0.25">
      <c r="A427" s="8" t="s">
        <v>625</v>
      </c>
      <c r="B427" s="8" t="s">
        <v>356</v>
      </c>
      <c r="C427" s="8" t="s">
        <v>647</v>
      </c>
      <c r="D427" s="8" t="s">
        <v>648</v>
      </c>
      <c r="E427" s="25">
        <v>407</v>
      </c>
      <c r="F427" s="25">
        <v>37</v>
      </c>
    </row>
    <row r="428" spans="1:6" x14ac:dyDescent="0.25">
      <c r="A428" s="8" t="s">
        <v>625</v>
      </c>
      <c r="B428" s="8" t="s">
        <v>356</v>
      </c>
      <c r="C428" s="8" t="s">
        <v>627</v>
      </c>
      <c r="D428" s="8" t="s">
        <v>628</v>
      </c>
      <c r="E428" s="25">
        <v>-814</v>
      </c>
      <c r="F428" s="25">
        <v>-74</v>
      </c>
    </row>
    <row r="429" spans="1:6" x14ac:dyDescent="0.25">
      <c r="A429" s="8" t="s">
        <v>649</v>
      </c>
      <c r="B429" s="8" t="s">
        <v>347</v>
      </c>
      <c r="C429" s="8" t="s">
        <v>650</v>
      </c>
      <c r="D429" s="8" t="s">
        <v>651</v>
      </c>
      <c r="E429" s="25">
        <v>110</v>
      </c>
      <c r="F429" s="25">
        <v>10</v>
      </c>
    </row>
    <row r="430" spans="1:6" x14ac:dyDescent="0.25">
      <c r="A430" s="8" t="s">
        <v>649</v>
      </c>
      <c r="B430" s="8" t="s">
        <v>347</v>
      </c>
      <c r="C430" s="8" t="s">
        <v>650</v>
      </c>
      <c r="D430" s="8" t="s">
        <v>652</v>
      </c>
      <c r="E430" s="25">
        <v>-110</v>
      </c>
      <c r="F430" s="25">
        <v>-10</v>
      </c>
    </row>
    <row r="431" spans="1:6" x14ac:dyDescent="0.25">
      <c r="A431" s="8" t="s">
        <v>649</v>
      </c>
      <c r="B431" s="8" t="s">
        <v>128</v>
      </c>
      <c r="C431" s="8" t="s">
        <v>650</v>
      </c>
      <c r="D431" s="8" t="s">
        <v>653</v>
      </c>
      <c r="E431" s="25">
        <v>148.5</v>
      </c>
      <c r="F431" s="25">
        <v>13.5</v>
      </c>
    </row>
    <row r="432" spans="1:6" x14ac:dyDescent="0.25">
      <c r="A432" s="8" t="s">
        <v>649</v>
      </c>
      <c r="B432" s="8" t="s">
        <v>128</v>
      </c>
      <c r="C432" s="8" t="s">
        <v>650</v>
      </c>
      <c r="D432" s="8" t="s">
        <v>654</v>
      </c>
      <c r="E432" s="25">
        <v>-148.5</v>
      </c>
      <c r="F432" s="25">
        <v>-13.5</v>
      </c>
    </row>
    <row r="433" spans="1:6" x14ac:dyDescent="0.25">
      <c r="A433" s="8" t="s">
        <v>655</v>
      </c>
      <c r="B433" s="8" t="s">
        <v>356</v>
      </c>
      <c r="C433" s="8" t="s">
        <v>357</v>
      </c>
      <c r="D433" s="8" t="s">
        <v>656</v>
      </c>
      <c r="E433" s="25">
        <v>874.5</v>
      </c>
      <c r="F433" s="25">
        <v>79.5</v>
      </c>
    </row>
    <row r="434" spans="1:6" x14ac:dyDescent="0.25">
      <c r="A434" s="8" t="s">
        <v>655</v>
      </c>
      <c r="B434" s="8" t="s">
        <v>132</v>
      </c>
      <c r="C434" s="8" t="s">
        <v>357</v>
      </c>
      <c r="D434" s="8" t="s">
        <v>657</v>
      </c>
      <c r="E434" s="25">
        <v>55</v>
      </c>
      <c r="F434" s="25">
        <v>5</v>
      </c>
    </row>
    <row r="435" spans="1:6" x14ac:dyDescent="0.25">
      <c r="A435" s="8" t="s">
        <v>658</v>
      </c>
      <c r="B435" s="8" t="s">
        <v>132</v>
      </c>
      <c r="C435" s="8" t="s">
        <v>659</v>
      </c>
      <c r="D435" s="8" t="s">
        <v>660</v>
      </c>
      <c r="E435" s="25">
        <v>8464.5</v>
      </c>
      <c r="F435" s="25">
        <v>769.5</v>
      </c>
    </row>
    <row r="436" spans="1:6" x14ac:dyDescent="0.25">
      <c r="A436" s="8" t="s">
        <v>658</v>
      </c>
      <c r="B436" s="8" t="s">
        <v>132</v>
      </c>
      <c r="C436" s="8" t="s">
        <v>659</v>
      </c>
      <c r="D436" s="8" t="s">
        <v>661</v>
      </c>
      <c r="E436" s="25">
        <v>-8464.5</v>
      </c>
      <c r="F436" s="25">
        <v>-769.5</v>
      </c>
    </row>
    <row r="437" spans="1:6" x14ac:dyDescent="0.25">
      <c r="A437" s="8" t="s">
        <v>658</v>
      </c>
      <c r="B437" s="8" t="s">
        <v>132</v>
      </c>
      <c r="C437" s="8" t="s">
        <v>659</v>
      </c>
      <c r="D437" s="8" t="s">
        <v>662</v>
      </c>
      <c r="E437" s="25">
        <v>423.23</v>
      </c>
      <c r="F437" s="25">
        <v>38.479999999999997</v>
      </c>
    </row>
    <row r="438" spans="1:6" x14ac:dyDescent="0.25">
      <c r="A438" s="8" t="s">
        <v>658</v>
      </c>
      <c r="B438" s="8" t="s">
        <v>132</v>
      </c>
      <c r="C438" s="8" t="s">
        <v>659</v>
      </c>
      <c r="D438" s="8" t="s">
        <v>663</v>
      </c>
      <c r="E438" s="25">
        <v>-423.23</v>
      </c>
      <c r="F438" s="25">
        <v>-38.479999999999997</v>
      </c>
    </row>
    <row r="439" spans="1:6" x14ac:dyDescent="0.25">
      <c r="A439" s="8" t="s">
        <v>664</v>
      </c>
      <c r="B439" s="8" t="s">
        <v>132</v>
      </c>
      <c r="C439" s="8" t="s">
        <v>665</v>
      </c>
      <c r="D439" s="8" t="s">
        <v>666</v>
      </c>
      <c r="E439" s="25">
        <v>6534</v>
      </c>
      <c r="F439" s="25">
        <v>594</v>
      </c>
    </row>
    <row r="440" spans="1:6" x14ac:dyDescent="0.25">
      <c r="A440" s="8" t="s">
        <v>664</v>
      </c>
      <c r="B440" s="8" t="s">
        <v>132</v>
      </c>
      <c r="C440" s="8" t="s">
        <v>665</v>
      </c>
      <c r="D440" s="8" t="s">
        <v>667</v>
      </c>
      <c r="E440" s="25">
        <v>-6534</v>
      </c>
      <c r="F440" s="25">
        <v>-594</v>
      </c>
    </row>
    <row r="441" spans="1:6" x14ac:dyDescent="0.25">
      <c r="A441" s="8" t="s">
        <v>664</v>
      </c>
      <c r="B441" s="8" t="s">
        <v>132</v>
      </c>
      <c r="C441" s="8" t="s">
        <v>665</v>
      </c>
      <c r="D441" s="8" t="s">
        <v>668</v>
      </c>
      <c r="E441" s="25">
        <v>326.7</v>
      </c>
      <c r="F441" s="25">
        <v>29.7</v>
      </c>
    </row>
    <row r="442" spans="1:6" x14ac:dyDescent="0.25">
      <c r="A442" s="8" t="s">
        <v>664</v>
      </c>
      <c r="B442" s="8" t="s">
        <v>132</v>
      </c>
      <c r="C442" s="8" t="s">
        <v>665</v>
      </c>
      <c r="D442" s="8" t="s">
        <v>669</v>
      </c>
      <c r="E442" s="25">
        <v>-326.7</v>
      </c>
      <c r="F442" s="25">
        <v>-29.7</v>
      </c>
    </row>
    <row r="443" spans="1:6" x14ac:dyDescent="0.25">
      <c r="A443" s="8" t="s">
        <v>664</v>
      </c>
      <c r="B443" s="8" t="s">
        <v>132</v>
      </c>
      <c r="C443" s="8" t="s">
        <v>665</v>
      </c>
      <c r="D443" s="8" t="s">
        <v>670</v>
      </c>
      <c r="E443" s="25">
        <v>297</v>
      </c>
      <c r="F443" s="25">
        <v>27</v>
      </c>
    </row>
    <row r="444" spans="1:6" x14ac:dyDescent="0.25">
      <c r="A444" s="8" t="s">
        <v>664</v>
      </c>
      <c r="B444" s="8" t="s">
        <v>132</v>
      </c>
      <c r="C444" s="8" t="s">
        <v>665</v>
      </c>
      <c r="D444" s="8" t="s">
        <v>671</v>
      </c>
      <c r="E444" s="25">
        <v>-297</v>
      </c>
      <c r="F444" s="25">
        <v>-27</v>
      </c>
    </row>
    <row r="445" spans="1:6" x14ac:dyDescent="0.25">
      <c r="A445" s="8" t="s">
        <v>664</v>
      </c>
      <c r="B445" s="8" t="s">
        <v>356</v>
      </c>
      <c r="C445" s="8" t="s">
        <v>629</v>
      </c>
      <c r="D445" s="8" t="s">
        <v>630</v>
      </c>
      <c r="E445" s="25">
        <v>-814</v>
      </c>
      <c r="F445" s="25">
        <v>-74</v>
      </c>
    </row>
    <row r="446" spans="1:6" x14ac:dyDescent="0.25">
      <c r="A446" s="8" t="s">
        <v>672</v>
      </c>
      <c r="B446" s="8" t="s">
        <v>132</v>
      </c>
      <c r="C446" s="8" t="s">
        <v>673</v>
      </c>
      <c r="D446" s="8" t="s">
        <v>674</v>
      </c>
      <c r="E446" s="25">
        <v>5643</v>
      </c>
      <c r="F446" s="25">
        <v>513</v>
      </c>
    </row>
    <row r="447" spans="1:6" x14ac:dyDescent="0.25">
      <c r="A447" s="8" t="s">
        <v>672</v>
      </c>
      <c r="B447" s="8" t="s">
        <v>132</v>
      </c>
      <c r="C447" s="8" t="s">
        <v>673</v>
      </c>
      <c r="D447" s="8" t="s">
        <v>675</v>
      </c>
      <c r="E447" s="25">
        <v>-5643</v>
      </c>
      <c r="F447" s="25">
        <v>-513</v>
      </c>
    </row>
    <row r="448" spans="1:6" x14ac:dyDescent="0.25">
      <c r="A448" s="8" t="s">
        <v>672</v>
      </c>
      <c r="B448" s="8" t="s">
        <v>132</v>
      </c>
      <c r="C448" s="8" t="s">
        <v>673</v>
      </c>
      <c r="D448" s="8" t="s">
        <v>676</v>
      </c>
      <c r="E448" s="25">
        <v>282.14999999999998</v>
      </c>
      <c r="F448" s="25">
        <v>25.65</v>
      </c>
    </row>
    <row r="449" spans="1:6" x14ac:dyDescent="0.25">
      <c r="A449" s="8" t="s">
        <v>672</v>
      </c>
      <c r="B449" s="8" t="s">
        <v>132</v>
      </c>
      <c r="C449" s="8" t="s">
        <v>673</v>
      </c>
      <c r="D449" s="8" t="s">
        <v>663</v>
      </c>
      <c r="E449" s="25">
        <v>-282.14999999999998</v>
      </c>
      <c r="F449" s="25">
        <v>-25.65</v>
      </c>
    </row>
    <row r="450" spans="1:6" x14ac:dyDescent="0.25">
      <c r="A450" s="8" t="s">
        <v>672</v>
      </c>
      <c r="B450" s="8" t="s">
        <v>347</v>
      </c>
      <c r="C450" s="8" t="s">
        <v>677</v>
      </c>
      <c r="D450" s="8" t="s">
        <v>678</v>
      </c>
      <c r="E450" s="25">
        <v>220</v>
      </c>
      <c r="F450" s="25">
        <v>20</v>
      </c>
    </row>
    <row r="451" spans="1:6" x14ac:dyDescent="0.25">
      <c r="A451" s="8" t="s">
        <v>672</v>
      </c>
      <c r="B451" s="8" t="s">
        <v>347</v>
      </c>
      <c r="C451" s="8" t="s">
        <v>677</v>
      </c>
      <c r="D451" s="8" t="s">
        <v>679</v>
      </c>
      <c r="E451" s="25">
        <v>-220</v>
      </c>
      <c r="F451" s="25">
        <v>-20</v>
      </c>
    </row>
    <row r="452" spans="1:6" x14ac:dyDescent="0.25">
      <c r="A452" s="8" t="s">
        <v>672</v>
      </c>
      <c r="B452" s="8" t="s">
        <v>128</v>
      </c>
      <c r="C452" s="8" t="s">
        <v>677</v>
      </c>
      <c r="D452" s="8" t="s">
        <v>680</v>
      </c>
      <c r="E452" s="25">
        <v>660</v>
      </c>
      <c r="F452" s="25">
        <v>60</v>
      </c>
    </row>
    <row r="453" spans="1:6" x14ac:dyDescent="0.25">
      <c r="A453" s="8" t="s">
        <v>672</v>
      </c>
      <c r="B453" s="8" t="s">
        <v>128</v>
      </c>
      <c r="C453" s="8" t="s">
        <v>677</v>
      </c>
      <c r="D453" s="8" t="s">
        <v>681</v>
      </c>
      <c r="E453" s="25">
        <v>-660</v>
      </c>
      <c r="F453" s="25">
        <v>-60</v>
      </c>
    </row>
    <row r="454" spans="1:6" x14ac:dyDescent="0.25">
      <c r="A454" s="8" t="s">
        <v>672</v>
      </c>
      <c r="B454" s="8" t="s">
        <v>682</v>
      </c>
      <c r="C454" s="8" t="s">
        <v>683</v>
      </c>
      <c r="D454" s="8" t="s">
        <v>684</v>
      </c>
      <c r="E454" s="25">
        <v>9355.5</v>
      </c>
      <c r="F454" s="25">
        <v>850.5</v>
      </c>
    </row>
    <row r="455" spans="1:6" x14ac:dyDescent="0.25">
      <c r="A455" s="8" t="s">
        <v>672</v>
      </c>
      <c r="B455" s="8" t="s">
        <v>682</v>
      </c>
      <c r="C455" s="8" t="s">
        <v>683</v>
      </c>
      <c r="D455" s="8" t="s">
        <v>685</v>
      </c>
      <c r="E455" s="25">
        <v>-9355.5</v>
      </c>
      <c r="F455" s="25">
        <v>-850.5</v>
      </c>
    </row>
    <row r="456" spans="1:6" x14ac:dyDescent="0.25">
      <c r="A456" s="8" t="s">
        <v>672</v>
      </c>
      <c r="B456" s="8" t="s">
        <v>132</v>
      </c>
      <c r="C456" s="8" t="s">
        <v>683</v>
      </c>
      <c r="D456" s="8" t="s">
        <v>686</v>
      </c>
      <c r="E456" s="25">
        <v>445.5</v>
      </c>
      <c r="F456" s="25">
        <v>40.5</v>
      </c>
    </row>
    <row r="457" spans="1:6" x14ac:dyDescent="0.25">
      <c r="A457" s="8" t="s">
        <v>672</v>
      </c>
      <c r="B457" s="8" t="s">
        <v>132</v>
      </c>
      <c r="C457" s="8" t="s">
        <v>683</v>
      </c>
      <c r="D457" s="8" t="s">
        <v>687</v>
      </c>
      <c r="E457" s="25">
        <v>-445.5</v>
      </c>
      <c r="F457" s="25">
        <v>-40.5</v>
      </c>
    </row>
    <row r="458" spans="1:6" x14ac:dyDescent="0.25">
      <c r="A458" s="8" t="s">
        <v>672</v>
      </c>
      <c r="B458" s="8" t="s">
        <v>682</v>
      </c>
      <c r="C458" s="8" t="s">
        <v>688</v>
      </c>
      <c r="D458" s="8" t="s">
        <v>689</v>
      </c>
      <c r="E458" s="25">
        <v>4870.8</v>
      </c>
      <c r="F458" s="25">
        <v>442.8</v>
      </c>
    </row>
    <row r="459" spans="1:6" x14ac:dyDescent="0.25">
      <c r="A459" s="8" t="s">
        <v>672</v>
      </c>
      <c r="B459" s="8" t="s">
        <v>682</v>
      </c>
      <c r="C459" s="8" t="s">
        <v>688</v>
      </c>
      <c r="D459" s="8" t="s">
        <v>690</v>
      </c>
      <c r="E459" s="25">
        <v>-4870.8</v>
      </c>
      <c r="F459" s="25">
        <v>-442.8</v>
      </c>
    </row>
    <row r="460" spans="1:6" x14ac:dyDescent="0.25">
      <c r="A460" s="8" t="s">
        <v>672</v>
      </c>
      <c r="B460" s="8" t="s">
        <v>132</v>
      </c>
      <c r="C460" s="8" t="s">
        <v>688</v>
      </c>
      <c r="D460" s="8" t="s">
        <v>691</v>
      </c>
      <c r="E460" s="25">
        <v>228.69</v>
      </c>
      <c r="F460" s="25">
        <v>20.79</v>
      </c>
    </row>
    <row r="461" spans="1:6" x14ac:dyDescent="0.25">
      <c r="A461" s="8" t="s">
        <v>672</v>
      </c>
      <c r="B461" s="8" t="s">
        <v>132</v>
      </c>
      <c r="C461" s="8" t="s">
        <v>688</v>
      </c>
      <c r="D461" s="8" t="s">
        <v>692</v>
      </c>
      <c r="E461" s="25">
        <v>-228.69</v>
      </c>
      <c r="F461" s="25">
        <v>-20.79</v>
      </c>
    </row>
    <row r="462" spans="1:6" x14ac:dyDescent="0.25">
      <c r="A462" s="8" t="s">
        <v>672</v>
      </c>
      <c r="B462" s="8" t="s">
        <v>132</v>
      </c>
      <c r="C462" s="8" t="s">
        <v>688</v>
      </c>
      <c r="D462" s="8" t="s">
        <v>693</v>
      </c>
      <c r="E462" s="25">
        <v>148.5</v>
      </c>
      <c r="F462" s="25">
        <v>13.5</v>
      </c>
    </row>
    <row r="463" spans="1:6" x14ac:dyDescent="0.25">
      <c r="A463" s="8" t="s">
        <v>672</v>
      </c>
      <c r="B463" s="8" t="s">
        <v>132</v>
      </c>
      <c r="C463" s="8" t="s">
        <v>688</v>
      </c>
      <c r="D463" s="8" t="s">
        <v>694</v>
      </c>
      <c r="E463" s="25">
        <v>-148.5</v>
      </c>
      <c r="F463" s="25">
        <v>-13.5</v>
      </c>
    </row>
    <row r="464" spans="1:6" x14ac:dyDescent="0.25">
      <c r="A464" s="8" t="s">
        <v>695</v>
      </c>
      <c r="B464" s="8" t="s">
        <v>132</v>
      </c>
      <c r="C464" s="8" t="s">
        <v>696</v>
      </c>
      <c r="D464" s="8" t="s">
        <v>674</v>
      </c>
      <c r="E464" s="25">
        <v>5643</v>
      </c>
      <c r="F464" s="25">
        <v>513</v>
      </c>
    </row>
    <row r="465" spans="1:6" x14ac:dyDescent="0.25">
      <c r="A465" s="8" t="s">
        <v>695</v>
      </c>
      <c r="B465" s="8" t="s">
        <v>132</v>
      </c>
      <c r="C465" s="8" t="s">
        <v>696</v>
      </c>
      <c r="D465" s="8" t="s">
        <v>675</v>
      </c>
      <c r="E465" s="25">
        <v>-5643</v>
      </c>
      <c r="F465" s="25">
        <v>-513</v>
      </c>
    </row>
    <row r="466" spans="1:6" x14ac:dyDescent="0.25">
      <c r="A466" s="8" t="s">
        <v>695</v>
      </c>
      <c r="B466" s="8" t="s">
        <v>132</v>
      </c>
      <c r="C466" s="8" t="s">
        <v>696</v>
      </c>
      <c r="D466" s="8" t="s">
        <v>676</v>
      </c>
      <c r="E466" s="25">
        <v>282.14999999999998</v>
      </c>
      <c r="F466" s="25">
        <v>25.65</v>
      </c>
    </row>
    <row r="467" spans="1:6" x14ac:dyDescent="0.25">
      <c r="A467" s="8" t="s">
        <v>695</v>
      </c>
      <c r="B467" s="8" t="s">
        <v>132</v>
      </c>
      <c r="C467" s="8" t="s">
        <v>696</v>
      </c>
      <c r="D467" s="8" t="s">
        <v>663</v>
      </c>
      <c r="E467" s="25">
        <v>-282.14999999999998</v>
      </c>
      <c r="F467" s="25">
        <v>-25.65</v>
      </c>
    </row>
    <row r="468" spans="1:6" x14ac:dyDescent="0.25">
      <c r="A468" s="8" t="s">
        <v>695</v>
      </c>
      <c r="B468" s="8" t="s">
        <v>356</v>
      </c>
      <c r="C468" s="8" t="s">
        <v>357</v>
      </c>
      <c r="D468" s="8" t="s">
        <v>697</v>
      </c>
      <c r="E468" s="25">
        <v>1221</v>
      </c>
      <c r="F468" s="25">
        <v>111</v>
      </c>
    </row>
    <row r="469" spans="1:6" x14ac:dyDescent="0.25">
      <c r="A469" s="8" t="s">
        <v>695</v>
      </c>
      <c r="B469" s="8" t="s">
        <v>347</v>
      </c>
      <c r="C469" s="8" t="s">
        <v>698</v>
      </c>
      <c r="D469" s="8" t="s">
        <v>699</v>
      </c>
      <c r="E469" s="25">
        <v>110</v>
      </c>
      <c r="F469" s="25">
        <v>10</v>
      </c>
    </row>
    <row r="470" spans="1:6" x14ac:dyDescent="0.25">
      <c r="A470" s="8" t="s">
        <v>695</v>
      </c>
      <c r="B470" s="8" t="s">
        <v>347</v>
      </c>
      <c r="C470" s="8" t="s">
        <v>698</v>
      </c>
      <c r="D470" s="8" t="s">
        <v>700</v>
      </c>
      <c r="E470" s="25">
        <v>-110</v>
      </c>
      <c r="F470" s="25">
        <v>-10</v>
      </c>
    </row>
    <row r="471" spans="1:6" x14ac:dyDescent="0.25">
      <c r="A471" s="8" t="s">
        <v>695</v>
      </c>
      <c r="B471" s="8" t="s">
        <v>128</v>
      </c>
      <c r="C471" s="8" t="s">
        <v>698</v>
      </c>
      <c r="D471" s="8" t="s">
        <v>701</v>
      </c>
      <c r="E471" s="25">
        <v>148.5</v>
      </c>
      <c r="F471" s="25">
        <v>13.5</v>
      </c>
    </row>
    <row r="472" spans="1:6" x14ac:dyDescent="0.25">
      <c r="A472" s="8" t="s">
        <v>695</v>
      </c>
      <c r="B472" s="8" t="s">
        <v>128</v>
      </c>
      <c r="C472" s="8" t="s">
        <v>698</v>
      </c>
      <c r="D472" s="8" t="s">
        <v>702</v>
      </c>
      <c r="E472" s="25">
        <v>-148.5</v>
      </c>
      <c r="F472" s="25">
        <v>-13.5</v>
      </c>
    </row>
    <row r="473" spans="1:6" x14ac:dyDescent="0.25">
      <c r="A473" s="8" t="s">
        <v>695</v>
      </c>
      <c r="B473" s="8" t="s">
        <v>356</v>
      </c>
      <c r="C473" s="8" t="s">
        <v>357</v>
      </c>
      <c r="D473" s="8" t="s">
        <v>703</v>
      </c>
      <c r="E473" s="25">
        <v>4884</v>
      </c>
      <c r="F473" s="25">
        <v>444</v>
      </c>
    </row>
    <row r="474" spans="1:6" x14ac:dyDescent="0.25">
      <c r="A474" s="8" t="s">
        <v>695</v>
      </c>
      <c r="B474" s="8" t="s">
        <v>356</v>
      </c>
      <c r="C474" s="8" t="s">
        <v>357</v>
      </c>
      <c r="D474" s="8" t="s">
        <v>704</v>
      </c>
      <c r="E474" s="25">
        <v>9157.5</v>
      </c>
      <c r="F474" s="25">
        <v>832.5</v>
      </c>
    </row>
    <row r="475" spans="1:6" x14ac:dyDescent="0.25">
      <c r="A475" s="8" t="s">
        <v>695</v>
      </c>
      <c r="B475" s="8" t="s">
        <v>347</v>
      </c>
      <c r="C475" s="8" t="s">
        <v>705</v>
      </c>
      <c r="D475" s="8" t="s">
        <v>706</v>
      </c>
      <c r="E475" s="25">
        <v>770</v>
      </c>
      <c r="F475" s="25">
        <v>70</v>
      </c>
    </row>
    <row r="476" spans="1:6" x14ac:dyDescent="0.25">
      <c r="A476" s="8" t="s">
        <v>695</v>
      </c>
      <c r="B476" s="8" t="s">
        <v>347</v>
      </c>
      <c r="C476" s="8" t="s">
        <v>705</v>
      </c>
      <c r="D476" s="8" t="s">
        <v>707</v>
      </c>
      <c r="E476" s="25">
        <v>-770</v>
      </c>
      <c r="F476" s="25">
        <v>-70</v>
      </c>
    </row>
    <row r="477" spans="1:6" x14ac:dyDescent="0.25">
      <c r="A477" s="8" t="s">
        <v>695</v>
      </c>
      <c r="B477" s="8" t="s">
        <v>128</v>
      </c>
      <c r="C477" s="8" t="s">
        <v>705</v>
      </c>
      <c r="D477" s="8" t="s">
        <v>708</v>
      </c>
      <c r="E477" s="25">
        <v>1039.5</v>
      </c>
      <c r="F477" s="25">
        <v>94.5</v>
      </c>
    </row>
    <row r="478" spans="1:6" x14ac:dyDescent="0.25">
      <c r="A478" s="8" t="s">
        <v>695</v>
      </c>
      <c r="B478" s="8" t="s">
        <v>128</v>
      </c>
      <c r="C478" s="8" t="s">
        <v>705</v>
      </c>
      <c r="D478" s="8" t="s">
        <v>709</v>
      </c>
      <c r="E478" s="25">
        <v>-1039.5</v>
      </c>
      <c r="F478" s="25">
        <v>-94.5</v>
      </c>
    </row>
    <row r="479" spans="1:6" x14ac:dyDescent="0.25">
      <c r="A479" s="8" t="s">
        <v>695</v>
      </c>
      <c r="B479" s="8" t="s">
        <v>347</v>
      </c>
      <c r="C479" s="8" t="s">
        <v>710</v>
      </c>
      <c r="D479" s="8" t="s">
        <v>711</v>
      </c>
      <c r="E479" s="25">
        <v>110</v>
      </c>
      <c r="F479" s="25">
        <v>10</v>
      </c>
    </row>
    <row r="480" spans="1:6" x14ac:dyDescent="0.25">
      <c r="A480" s="8" t="s">
        <v>695</v>
      </c>
      <c r="B480" s="8" t="s">
        <v>347</v>
      </c>
      <c r="C480" s="8" t="s">
        <v>710</v>
      </c>
      <c r="D480" s="8" t="s">
        <v>712</v>
      </c>
      <c r="E480" s="25">
        <v>-110</v>
      </c>
      <c r="F480" s="25">
        <v>-10</v>
      </c>
    </row>
    <row r="481" spans="1:6" x14ac:dyDescent="0.25">
      <c r="A481" s="8" t="s">
        <v>695</v>
      </c>
      <c r="B481" s="8" t="s">
        <v>128</v>
      </c>
      <c r="C481" s="8" t="s">
        <v>710</v>
      </c>
      <c r="D481" s="8" t="s">
        <v>713</v>
      </c>
      <c r="E481" s="25">
        <v>330</v>
      </c>
      <c r="F481" s="25">
        <v>30</v>
      </c>
    </row>
    <row r="482" spans="1:6" x14ac:dyDescent="0.25">
      <c r="A482" s="8" t="s">
        <v>695</v>
      </c>
      <c r="B482" s="8" t="s">
        <v>128</v>
      </c>
      <c r="C482" s="8" t="s">
        <v>710</v>
      </c>
      <c r="D482" s="8" t="s">
        <v>714</v>
      </c>
      <c r="E482" s="25">
        <v>-330</v>
      </c>
      <c r="F482" s="25">
        <v>-30</v>
      </c>
    </row>
    <row r="483" spans="1:6" x14ac:dyDescent="0.25">
      <c r="A483" s="8" t="s">
        <v>715</v>
      </c>
      <c r="B483" s="8" t="s">
        <v>128</v>
      </c>
      <c r="C483" s="8" t="s">
        <v>716</v>
      </c>
      <c r="D483" s="8" t="s">
        <v>717</v>
      </c>
      <c r="E483" s="25">
        <v>242</v>
      </c>
      <c r="F483" s="25">
        <v>22</v>
      </c>
    </row>
    <row r="484" spans="1:6" x14ac:dyDescent="0.25">
      <c r="A484" s="8" t="s">
        <v>715</v>
      </c>
      <c r="B484" s="8" t="s">
        <v>128</v>
      </c>
      <c r="C484" s="8" t="s">
        <v>718</v>
      </c>
      <c r="D484" s="8" t="s">
        <v>719</v>
      </c>
      <c r="E484" s="25">
        <v>5280</v>
      </c>
      <c r="F484" s="25">
        <v>480</v>
      </c>
    </row>
    <row r="485" spans="1:6" x14ac:dyDescent="0.25">
      <c r="A485" s="8" t="s">
        <v>715</v>
      </c>
      <c r="B485" s="8" t="s">
        <v>128</v>
      </c>
      <c r="C485" s="8" t="s">
        <v>720</v>
      </c>
      <c r="D485" s="8" t="s">
        <v>721</v>
      </c>
      <c r="E485" s="25">
        <v>427.9</v>
      </c>
      <c r="F485" s="25">
        <v>38.9</v>
      </c>
    </row>
    <row r="486" spans="1:6" x14ac:dyDescent="0.25">
      <c r="A486" s="8" t="s">
        <v>715</v>
      </c>
      <c r="B486" s="8" t="s">
        <v>137</v>
      </c>
      <c r="C486" s="8" t="s">
        <v>720</v>
      </c>
      <c r="D486" s="8" t="s">
        <v>293</v>
      </c>
      <c r="E486" s="25">
        <v>10.7</v>
      </c>
      <c r="F486" s="25">
        <v>0.97</v>
      </c>
    </row>
    <row r="487" spans="1:6" x14ac:dyDescent="0.25">
      <c r="A487" s="8" t="s">
        <v>715</v>
      </c>
      <c r="B487" s="8" t="s">
        <v>128</v>
      </c>
      <c r="C487" s="8" t="s">
        <v>611</v>
      </c>
      <c r="D487" s="8" t="s">
        <v>722</v>
      </c>
      <c r="E487" s="25">
        <v>825</v>
      </c>
      <c r="F487" s="25">
        <v>75</v>
      </c>
    </row>
    <row r="488" spans="1:6" x14ac:dyDescent="0.25">
      <c r="A488" s="8" t="s">
        <v>715</v>
      </c>
      <c r="B488" s="8" t="s">
        <v>128</v>
      </c>
      <c r="C488" s="8" t="s">
        <v>611</v>
      </c>
      <c r="D488" s="8" t="s">
        <v>723</v>
      </c>
      <c r="E488" s="25">
        <v>1039.5</v>
      </c>
      <c r="F488" s="25">
        <v>94.5</v>
      </c>
    </row>
    <row r="489" spans="1:6" x14ac:dyDescent="0.25">
      <c r="A489" s="8" t="s">
        <v>715</v>
      </c>
      <c r="B489" s="8" t="s">
        <v>128</v>
      </c>
      <c r="C489" s="8" t="s">
        <v>611</v>
      </c>
      <c r="D489" s="8" t="s">
        <v>724</v>
      </c>
      <c r="E489" s="25">
        <v>148.5</v>
      </c>
      <c r="F489" s="25">
        <v>13.5</v>
      </c>
    </row>
    <row r="490" spans="1:6" x14ac:dyDescent="0.25">
      <c r="A490" s="8" t="s">
        <v>715</v>
      </c>
      <c r="B490" s="8" t="s">
        <v>128</v>
      </c>
      <c r="C490" s="8" t="s">
        <v>611</v>
      </c>
      <c r="D490" s="8" t="s">
        <v>725</v>
      </c>
      <c r="E490" s="25">
        <v>330</v>
      </c>
      <c r="F490" s="25">
        <v>30</v>
      </c>
    </row>
    <row r="491" spans="1:6" x14ac:dyDescent="0.25">
      <c r="A491" s="8" t="s">
        <v>715</v>
      </c>
      <c r="B491" s="8" t="s">
        <v>128</v>
      </c>
      <c r="C491" s="8" t="s">
        <v>726</v>
      </c>
      <c r="D491" s="8" t="s">
        <v>727</v>
      </c>
      <c r="E491" s="25">
        <v>990</v>
      </c>
      <c r="F491" s="25">
        <v>90</v>
      </c>
    </row>
    <row r="492" spans="1:6" x14ac:dyDescent="0.25">
      <c r="A492" s="8" t="s">
        <v>715</v>
      </c>
      <c r="B492" s="8" t="s">
        <v>128</v>
      </c>
      <c r="C492" s="8" t="s">
        <v>728</v>
      </c>
      <c r="D492" s="8" t="s">
        <v>729</v>
      </c>
      <c r="E492" s="25">
        <v>495</v>
      </c>
      <c r="F492" s="25">
        <v>45</v>
      </c>
    </row>
    <row r="493" spans="1:6" x14ac:dyDescent="0.25">
      <c r="A493" s="8" t="s">
        <v>715</v>
      </c>
      <c r="B493" s="8" t="s">
        <v>128</v>
      </c>
      <c r="C493" s="8" t="s">
        <v>720</v>
      </c>
      <c r="D493" s="8" t="s">
        <v>730</v>
      </c>
      <c r="E493" s="25">
        <v>627</v>
      </c>
      <c r="F493" s="25">
        <v>57</v>
      </c>
    </row>
    <row r="494" spans="1:6" x14ac:dyDescent="0.25">
      <c r="A494" s="8" t="s">
        <v>715</v>
      </c>
      <c r="B494" s="8" t="s">
        <v>128</v>
      </c>
      <c r="C494" s="8" t="s">
        <v>720</v>
      </c>
      <c r="D494" s="8" t="s">
        <v>153</v>
      </c>
      <c r="E494" s="25">
        <v>27.5</v>
      </c>
      <c r="F494" s="25">
        <v>2.5</v>
      </c>
    </row>
    <row r="495" spans="1:6" x14ac:dyDescent="0.25">
      <c r="A495" s="8" t="s">
        <v>715</v>
      </c>
      <c r="B495" s="8" t="s">
        <v>128</v>
      </c>
      <c r="C495" s="8" t="s">
        <v>720</v>
      </c>
      <c r="D495" s="8" t="s">
        <v>154</v>
      </c>
      <c r="E495" s="25">
        <v>49.5</v>
      </c>
      <c r="F495" s="25">
        <v>4.5</v>
      </c>
    </row>
    <row r="496" spans="1:6" x14ac:dyDescent="0.25">
      <c r="A496" s="8" t="s">
        <v>715</v>
      </c>
      <c r="B496" s="8" t="s">
        <v>128</v>
      </c>
      <c r="C496" s="8" t="s">
        <v>731</v>
      </c>
      <c r="D496" s="8" t="s">
        <v>732</v>
      </c>
      <c r="E496" s="25">
        <v>328.9</v>
      </c>
      <c r="F496" s="25">
        <v>29.9</v>
      </c>
    </row>
    <row r="497" spans="1:6" x14ac:dyDescent="0.25">
      <c r="A497" s="8" t="s">
        <v>715</v>
      </c>
      <c r="B497" s="8" t="s">
        <v>137</v>
      </c>
      <c r="C497" s="8" t="s">
        <v>731</v>
      </c>
      <c r="D497" s="8" t="s">
        <v>160</v>
      </c>
      <c r="E497" s="25">
        <v>8.23</v>
      </c>
      <c r="F497" s="25">
        <v>0.75</v>
      </c>
    </row>
    <row r="498" spans="1:6" x14ac:dyDescent="0.25">
      <c r="A498" s="8" t="s">
        <v>715</v>
      </c>
      <c r="B498" s="8" t="s">
        <v>132</v>
      </c>
      <c r="C498" s="8" t="s">
        <v>733</v>
      </c>
      <c r="D498" s="8" t="s">
        <v>734</v>
      </c>
      <c r="E498" s="25">
        <v>653.4</v>
      </c>
      <c r="F498" s="25">
        <v>59.4</v>
      </c>
    </row>
    <row r="499" spans="1:6" x14ac:dyDescent="0.25">
      <c r="A499" s="8" t="s">
        <v>715</v>
      </c>
      <c r="B499" s="8" t="s">
        <v>132</v>
      </c>
      <c r="C499" s="8" t="s">
        <v>733</v>
      </c>
      <c r="D499" s="8" t="s">
        <v>735</v>
      </c>
      <c r="E499" s="25">
        <v>594</v>
      </c>
      <c r="F499" s="25">
        <v>54</v>
      </c>
    </row>
    <row r="500" spans="1:6" x14ac:dyDescent="0.25">
      <c r="A500" s="8" t="s">
        <v>715</v>
      </c>
      <c r="B500" s="8" t="s">
        <v>132</v>
      </c>
      <c r="C500" s="8" t="s">
        <v>733</v>
      </c>
      <c r="D500" s="8" t="s">
        <v>736</v>
      </c>
      <c r="E500" s="25">
        <v>82.5</v>
      </c>
      <c r="F500" s="25">
        <v>7.5</v>
      </c>
    </row>
    <row r="501" spans="1:6" x14ac:dyDescent="0.25">
      <c r="A501" s="8" t="s">
        <v>715</v>
      </c>
      <c r="B501" s="8" t="s">
        <v>132</v>
      </c>
      <c r="C501" s="8" t="s">
        <v>733</v>
      </c>
      <c r="D501" s="8" t="s">
        <v>737</v>
      </c>
      <c r="E501" s="25">
        <v>148.5</v>
      </c>
      <c r="F501" s="25">
        <v>13.5</v>
      </c>
    </row>
    <row r="502" spans="1:6" x14ac:dyDescent="0.25">
      <c r="A502" s="8" t="s">
        <v>715</v>
      </c>
      <c r="B502" s="8" t="s">
        <v>128</v>
      </c>
      <c r="C502" s="8" t="s">
        <v>738</v>
      </c>
      <c r="D502" s="8" t="s">
        <v>334</v>
      </c>
      <c r="E502" s="25">
        <v>687.5</v>
      </c>
      <c r="F502" s="25">
        <v>62.5</v>
      </c>
    </row>
    <row r="503" spans="1:6" x14ac:dyDescent="0.25">
      <c r="A503" s="8" t="s">
        <v>715</v>
      </c>
      <c r="B503" s="8" t="s">
        <v>128</v>
      </c>
      <c r="C503" s="8" t="s">
        <v>726</v>
      </c>
      <c r="D503" s="8" t="s">
        <v>739</v>
      </c>
      <c r="E503" s="25">
        <v>1877.7</v>
      </c>
      <c r="F503" s="25">
        <v>170.7</v>
      </c>
    </row>
    <row r="504" spans="1:6" x14ac:dyDescent="0.25">
      <c r="A504" s="8" t="s">
        <v>715</v>
      </c>
      <c r="B504" s="8" t="s">
        <v>128</v>
      </c>
      <c r="C504" s="8" t="s">
        <v>726</v>
      </c>
      <c r="D504" s="8" t="s">
        <v>740</v>
      </c>
      <c r="E504" s="25">
        <v>330</v>
      </c>
      <c r="F504" s="25">
        <v>30</v>
      </c>
    </row>
    <row r="505" spans="1:6" x14ac:dyDescent="0.25">
      <c r="A505" s="8" t="s">
        <v>715</v>
      </c>
      <c r="B505" s="8" t="s">
        <v>128</v>
      </c>
      <c r="C505" s="8" t="s">
        <v>611</v>
      </c>
      <c r="D505" s="8" t="s">
        <v>741</v>
      </c>
      <c r="E505" s="25">
        <v>1996.5</v>
      </c>
      <c r="F505" s="25">
        <v>181.5</v>
      </c>
    </row>
    <row r="506" spans="1:6" x14ac:dyDescent="0.25">
      <c r="A506" s="8" t="s">
        <v>715</v>
      </c>
      <c r="B506" s="8" t="s">
        <v>128</v>
      </c>
      <c r="C506" s="8" t="s">
        <v>611</v>
      </c>
      <c r="D506" s="8" t="s">
        <v>742</v>
      </c>
      <c r="E506" s="25">
        <v>577.5</v>
      </c>
      <c r="F506" s="25">
        <v>52.5</v>
      </c>
    </row>
    <row r="507" spans="1:6" x14ac:dyDescent="0.25">
      <c r="A507" s="8" t="s">
        <v>715</v>
      </c>
      <c r="B507" s="8" t="s">
        <v>128</v>
      </c>
      <c r="C507" s="8" t="s">
        <v>611</v>
      </c>
      <c r="D507" s="8" t="s">
        <v>743</v>
      </c>
      <c r="E507" s="25">
        <v>-161.69999999999999</v>
      </c>
      <c r="F507" s="25">
        <v>-14.7</v>
      </c>
    </row>
    <row r="508" spans="1:6" x14ac:dyDescent="0.25">
      <c r="A508" s="8" t="s">
        <v>715</v>
      </c>
      <c r="B508" s="8" t="s">
        <v>174</v>
      </c>
      <c r="C508" s="8" t="s">
        <v>744</v>
      </c>
      <c r="D508" s="8" t="s">
        <v>745</v>
      </c>
      <c r="E508" s="25">
        <v>994.4</v>
      </c>
      <c r="F508" s="25">
        <v>90.4</v>
      </c>
    </row>
    <row r="509" spans="1:6" x14ac:dyDescent="0.25">
      <c r="A509" s="8" t="s">
        <v>715</v>
      </c>
      <c r="B509" s="8" t="s">
        <v>128</v>
      </c>
      <c r="C509" s="8" t="s">
        <v>746</v>
      </c>
      <c r="D509" s="8" t="s">
        <v>222</v>
      </c>
      <c r="E509" s="25">
        <v>877.8</v>
      </c>
      <c r="F509" s="25">
        <v>79.8</v>
      </c>
    </row>
    <row r="510" spans="1:6" x14ac:dyDescent="0.25">
      <c r="A510" s="8" t="s">
        <v>715</v>
      </c>
      <c r="B510" s="8" t="s">
        <v>137</v>
      </c>
      <c r="C510" s="8" t="s">
        <v>746</v>
      </c>
      <c r="D510" s="8" t="s">
        <v>223</v>
      </c>
      <c r="E510" s="25">
        <v>59.69</v>
      </c>
      <c r="F510" s="25">
        <v>5.43</v>
      </c>
    </row>
    <row r="511" spans="1:6" x14ac:dyDescent="0.25">
      <c r="A511" s="8" t="s">
        <v>715</v>
      </c>
      <c r="B511" s="8" t="s">
        <v>174</v>
      </c>
      <c r="C511" s="8" t="s">
        <v>747</v>
      </c>
      <c r="D511" s="8" t="s">
        <v>324</v>
      </c>
      <c r="E511" s="25">
        <v>1654.4</v>
      </c>
      <c r="F511" s="25">
        <v>150.4</v>
      </c>
    </row>
    <row r="512" spans="1:6" x14ac:dyDescent="0.25">
      <c r="A512" s="8" t="s">
        <v>715</v>
      </c>
      <c r="B512" s="8" t="s">
        <v>174</v>
      </c>
      <c r="C512" s="8" t="s">
        <v>747</v>
      </c>
      <c r="D512" s="8" t="s">
        <v>325</v>
      </c>
      <c r="E512" s="25">
        <v>220</v>
      </c>
      <c r="F512" s="25">
        <v>20</v>
      </c>
    </row>
    <row r="513" spans="1:6" x14ac:dyDescent="0.25">
      <c r="A513" s="8" t="s">
        <v>715</v>
      </c>
      <c r="B513" s="8" t="s">
        <v>137</v>
      </c>
      <c r="C513" s="8" t="s">
        <v>747</v>
      </c>
      <c r="D513" s="8" t="s">
        <v>326</v>
      </c>
      <c r="E513" s="25">
        <v>46.86</v>
      </c>
      <c r="F513" s="25">
        <v>4.26</v>
      </c>
    </row>
    <row r="514" spans="1:6" x14ac:dyDescent="0.25">
      <c r="A514" s="8" t="s">
        <v>715</v>
      </c>
      <c r="B514" s="8" t="s">
        <v>128</v>
      </c>
      <c r="C514" s="8" t="s">
        <v>720</v>
      </c>
      <c r="D514" s="8" t="s">
        <v>294</v>
      </c>
      <c r="E514" s="25">
        <v>220</v>
      </c>
      <c r="F514" s="25">
        <v>20</v>
      </c>
    </row>
    <row r="515" spans="1:6" x14ac:dyDescent="0.25">
      <c r="A515" s="8" t="s">
        <v>715</v>
      </c>
      <c r="B515" s="8" t="s">
        <v>137</v>
      </c>
      <c r="C515" s="8" t="s">
        <v>720</v>
      </c>
      <c r="D515" s="8" t="s">
        <v>295</v>
      </c>
      <c r="E515" s="25">
        <v>5.5</v>
      </c>
      <c r="F515" s="25">
        <v>0.5</v>
      </c>
    </row>
    <row r="516" spans="1:6" x14ac:dyDescent="0.25">
      <c r="A516" s="8" t="s">
        <v>715</v>
      </c>
      <c r="B516" s="8" t="s">
        <v>174</v>
      </c>
      <c r="C516" s="8" t="s">
        <v>502</v>
      </c>
      <c r="D516" s="8" t="s">
        <v>748</v>
      </c>
      <c r="E516" s="25">
        <v>477.4</v>
      </c>
      <c r="F516" s="25">
        <v>43.4</v>
      </c>
    </row>
    <row r="517" spans="1:6" x14ac:dyDescent="0.25">
      <c r="A517" s="8" t="s">
        <v>715</v>
      </c>
      <c r="B517" s="8" t="s">
        <v>174</v>
      </c>
      <c r="C517" s="8" t="s">
        <v>502</v>
      </c>
      <c r="D517" s="8" t="s">
        <v>306</v>
      </c>
      <c r="E517" s="25">
        <v>49.5</v>
      </c>
      <c r="F517" s="25">
        <v>4.5</v>
      </c>
    </row>
    <row r="518" spans="1:6" x14ac:dyDescent="0.25">
      <c r="A518" s="8" t="s">
        <v>715</v>
      </c>
      <c r="B518" s="8" t="s">
        <v>174</v>
      </c>
      <c r="C518" s="8" t="s">
        <v>502</v>
      </c>
      <c r="D518" s="8" t="s">
        <v>307</v>
      </c>
      <c r="E518" s="25">
        <v>679.8</v>
      </c>
      <c r="F518" s="25">
        <v>61.8</v>
      </c>
    </row>
    <row r="519" spans="1:6" x14ac:dyDescent="0.25">
      <c r="A519" s="8" t="s">
        <v>715</v>
      </c>
      <c r="B519" s="8" t="s">
        <v>174</v>
      </c>
      <c r="C519" s="8" t="s">
        <v>502</v>
      </c>
      <c r="D519" s="8" t="s">
        <v>308</v>
      </c>
      <c r="E519" s="25">
        <v>-49.5</v>
      </c>
      <c r="F519" s="25">
        <v>-4.5</v>
      </c>
    </row>
    <row r="520" spans="1:6" x14ac:dyDescent="0.25">
      <c r="A520" s="8" t="s">
        <v>715</v>
      </c>
      <c r="B520" s="8" t="s">
        <v>132</v>
      </c>
      <c r="C520" s="8" t="s">
        <v>749</v>
      </c>
      <c r="D520" s="8" t="s">
        <v>750</v>
      </c>
      <c r="E520" s="25">
        <v>103.95</v>
      </c>
      <c r="F520" s="25">
        <v>9.4499999999999993</v>
      </c>
    </row>
    <row r="521" spans="1:6" x14ac:dyDescent="0.25">
      <c r="A521" s="8" t="s">
        <v>715</v>
      </c>
      <c r="B521" s="8" t="s">
        <v>128</v>
      </c>
      <c r="C521" s="8" t="s">
        <v>751</v>
      </c>
      <c r="D521" s="8" t="s">
        <v>752</v>
      </c>
      <c r="E521" s="25">
        <v>986.7</v>
      </c>
      <c r="F521" s="25">
        <v>89.7</v>
      </c>
    </row>
    <row r="522" spans="1:6" x14ac:dyDescent="0.25">
      <c r="A522" s="8" t="s">
        <v>715</v>
      </c>
      <c r="B522" s="8" t="s">
        <v>128</v>
      </c>
      <c r="C522" s="8" t="s">
        <v>751</v>
      </c>
      <c r="D522" s="8" t="s">
        <v>753</v>
      </c>
      <c r="E522" s="25">
        <v>297</v>
      </c>
      <c r="F522" s="25">
        <v>27</v>
      </c>
    </row>
    <row r="523" spans="1:6" x14ac:dyDescent="0.25">
      <c r="A523" s="8" t="s">
        <v>715</v>
      </c>
      <c r="B523" s="8" t="s">
        <v>128</v>
      </c>
      <c r="C523" s="8" t="s">
        <v>611</v>
      </c>
      <c r="D523" s="8" t="s">
        <v>754</v>
      </c>
      <c r="E523" s="25">
        <v>1729.2</v>
      </c>
      <c r="F523" s="25">
        <v>157.19999999999999</v>
      </c>
    </row>
    <row r="524" spans="1:6" x14ac:dyDescent="0.25">
      <c r="A524" s="8" t="s">
        <v>715</v>
      </c>
      <c r="B524" s="8" t="s">
        <v>128</v>
      </c>
      <c r="C524" s="8" t="s">
        <v>611</v>
      </c>
      <c r="D524" s="8" t="s">
        <v>755</v>
      </c>
      <c r="E524" s="25">
        <v>297</v>
      </c>
      <c r="F524" s="25">
        <v>27</v>
      </c>
    </row>
    <row r="525" spans="1:6" x14ac:dyDescent="0.25">
      <c r="A525" s="8" t="s">
        <v>715</v>
      </c>
      <c r="B525" s="8" t="s">
        <v>128</v>
      </c>
      <c r="C525" s="8" t="s">
        <v>756</v>
      </c>
      <c r="D525" s="8" t="s">
        <v>757</v>
      </c>
      <c r="E525" s="25">
        <v>3135</v>
      </c>
      <c r="F525" s="25">
        <v>285</v>
      </c>
    </row>
    <row r="526" spans="1:6" x14ac:dyDescent="0.25">
      <c r="A526" s="8" t="s">
        <v>715</v>
      </c>
      <c r="B526" s="8" t="s">
        <v>128</v>
      </c>
      <c r="C526" s="8" t="s">
        <v>756</v>
      </c>
      <c r="D526" s="8" t="s">
        <v>143</v>
      </c>
      <c r="E526" s="25">
        <v>935</v>
      </c>
      <c r="F526" s="25">
        <v>85</v>
      </c>
    </row>
    <row r="527" spans="1:6" x14ac:dyDescent="0.25">
      <c r="A527" s="8" t="s">
        <v>715</v>
      </c>
      <c r="B527" s="8" t="s">
        <v>128</v>
      </c>
      <c r="C527" s="8" t="s">
        <v>756</v>
      </c>
      <c r="D527" s="8" t="s">
        <v>145</v>
      </c>
      <c r="E527" s="25">
        <v>93.5</v>
      </c>
      <c r="F527" s="25">
        <v>8.5</v>
      </c>
    </row>
    <row r="528" spans="1:6" x14ac:dyDescent="0.25">
      <c r="A528" s="8" t="s">
        <v>715</v>
      </c>
      <c r="B528" s="8" t="s">
        <v>132</v>
      </c>
      <c r="C528" s="8" t="s">
        <v>758</v>
      </c>
      <c r="D528" s="8" t="s">
        <v>759</v>
      </c>
      <c r="E528" s="25">
        <v>556.88</v>
      </c>
      <c r="F528" s="25">
        <v>50.63</v>
      </c>
    </row>
    <row r="529" spans="1:6" x14ac:dyDescent="0.25">
      <c r="A529" s="8" t="s">
        <v>715</v>
      </c>
      <c r="B529" s="8" t="s">
        <v>132</v>
      </c>
      <c r="C529" s="8" t="s">
        <v>758</v>
      </c>
      <c r="D529" s="8" t="s">
        <v>760</v>
      </c>
      <c r="E529" s="25">
        <v>82.5</v>
      </c>
      <c r="F529" s="25">
        <v>7.5</v>
      </c>
    </row>
    <row r="530" spans="1:6" x14ac:dyDescent="0.25">
      <c r="A530" s="8" t="s">
        <v>715</v>
      </c>
      <c r="B530" s="8" t="s">
        <v>132</v>
      </c>
      <c r="C530" s="8" t="s">
        <v>758</v>
      </c>
      <c r="D530" s="8" t="s">
        <v>761</v>
      </c>
      <c r="E530" s="25">
        <v>-63.93</v>
      </c>
      <c r="F530" s="25">
        <v>-5.81</v>
      </c>
    </row>
    <row r="531" spans="1:6" x14ac:dyDescent="0.25">
      <c r="A531" s="8" t="s">
        <v>715</v>
      </c>
      <c r="B531" s="8" t="s">
        <v>132</v>
      </c>
      <c r="C531" s="8" t="s">
        <v>762</v>
      </c>
      <c r="D531" s="8" t="s">
        <v>763</v>
      </c>
      <c r="E531" s="25">
        <v>2910.6</v>
      </c>
      <c r="F531" s="25">
        <v>264.60000000000002</v>
      </c>
    </row>
    <row r="532" spans="1:6" x14ac:dyDescent="0.25">
      <c r="A532" s="8" t="s">
        <v>715</v>
      </c>
      <c r="B532" s="8" t="s">
        <v>132</v>
      </c>
      <c r="C532" s="8" t="s">
        <v>762</v>
      </c>
      <c r="D532" s="8" t="s">
        <v>764</v>
      </c>
      <c r="E532" s="25">
        <v>330</v>
      </c>
      <c r="F532" s="25">
        <v>30</v>
      </c>
    </row>
    <row r="533" spans="1:6" x14ac:dyDescent="0.25">
      <c r="A533" s="8" t="s">
        <v>715</v>
      </c>
      <c r="B533" s="8" t="s">
        <v>128</v>
      </c>
      <c r="C533" s="8" t="s">
        <v>765</v>
      </c>
      <c r="D533" s="8" t="s">
        <v>766</v>
      </c>
      <c r="E533" s="25">
        <v>3564</v>
      </c>
      <c r="F533" s="25">
        <v>324</v>
      </c>
    </row>
    <row r="534" spans="1:6" x14ac:dyDescent="0.25">
      <c r="A534" s="8" t="s">
        <v>715</v>
      </c>
      <c r="B534" s="8" t="s">
        <v>132</v>
      </c>
      <c r="C534" s="8" t="s">
        <v>767</v>
      </c>
      <c r="D534" s="8" t="s">
        <v>768</v>
      </c>
      <c r="E534" s="25">
        <v>247.5</v>
      </c>
      <c r="F534" s="25">
        <v>22.5</v>
      </c>
    </row>
    <row r="535" spans="1:6" x14ac:dyDescent="0.25">
      <c r="A535" s="8" t="s">
        <v>715</v>
      </c>
      <c r="B535" s="8" t="s">
        <v>137</v>
      </c>
      <c r="C535" s="8" t="s">
        <v>767</v>
      </c>
      <c r="D535" s="8" t="s">
        <v>258</v>
      </c>
      <c r="E535" s="25">
        <v>16.829999999999998</v>
      </c>
      <c r="F535" s="25">
        <v>1.53</v>
      </c>
    </row>
    <row r="536" spans="1:6" x14ac:dyDescent="0.25">
      <c r="A536" s="8" t="s">
        <v>715</v>
      </c>
      <c r="B536" s="8" t="s">
        <v>132</v>
      </c>
      <c r="C536" s="8" t="s">
        <v>769</v>
      </c>
      <c r="D536" s="8" t="s">
        <v>330</v>
      </c>
      <c r="E536" s="25">
        <v>387.2</v>
      </c>
      <c r="F536" s="25">
        <v>35.200000000000003</v>
      </c>
    </row>
    <row r="537" spans="1:6" x14ac:dyDescent="0.25">
      <c r="A537" s="8" t="s">
        <v>715</v>
      </c>
      <c r="B537" s="8" t="s">
        <v>132</v>
      </c>
      <c r="C537" s="8" t="s">
        <v>769</v>
      </c>
      <c r="D537" s="8" t="s">
        <v>331</v>
      </c>
      <c r="E537" s="25">
        <v>27.5</v>
      </c>
      <c r="F537" s="25">
        <v>2.5</v>
      </c>
    </row>
    <row r="538" spans="1:6" x14ac:dyDescent="0.25">
      <c r="A538" s="8" t="s">
        <v>715</v>
      </c>
      <c r="B538" s="8" t="s">
        <v>132</v>
      </c>
      <c r="C538" s="8" t="s">
        <v>769</v>
      </c>
      <c r="D538" s="8" t="s">
        <v>430</v>
      </c>
      <c r="E538" s="25">
        <v>27.5</v>
      </c>
      <c r="F538" s="25">
        <v>2.5</v>
      </c>
    </row>
    <row r="539" spans="1:6" x14ac:dyDescent="0.25">
      <c r="A539" s="8" t="s">
        <v>715</v>
      </c>
      <c r="B539" s="8" t="s">
        <v>132</v>
      </c>
      <c r="C539" s="8" t="s">
        <v>770</v>
      </c>
      <c r="D539" s="8" t="s">
        <v>134</v>
      </c>
      <c r="E539" s="25">
        <v>49.5</v>
      </c>
      <c r="F539" s="25">
        <v>4.5</v>
      </c>
    </row>
    <row r="540" spans="1:6" x14ac:dyDescent="0.25">
      <c r="A540" s="8" t="s">
        <v>715</v>
      </c>
      <c r="B540" s="8" t="s">
        <v>132</v>
      </c>
      <c r="C540" s="8" t="s">
        <v>770</v>
      </c>
      <c r="D540" s="8" t="s">
        <v>136</v>
      </c>
      <c r="E540" s="25">
        <v>27.5</v>
      </c>
      <c r="F540" s="25">
        <v>2.5</v>
      </c>
    </row>
    <row r="541" spans="1:6" x14ac:dyDescent="0.25">
      <c r="A541" s="8" t="s">
        <v>715</v>
      </c>
      <c r="B541" s="8" t="s">
        <v>137</v>
      </c>
      <c r="C541" s="8" t="s">
        <v>770</v>
      </c>
      <c r="D541" s="8" t="s">
        <v>138</v>
      </c>
      <c r="E541" s="25">
        <v>1.93</v>
      </c>
      <c r="F541" s="25">
        <v>0.18</v>
      </c>
    </row>
    <row r="542" spans="1:6" x14ac:dyDescent="0.25">
      <c r="A542" s="8" t="s">
        <v>715</v>
      </c>
      <c r="B542" s="8" t="s">
        <v>132</v>
      </c>
      <c r="C542" s="8" t="s">
        <v>771</v>
      </c>
      <c r="D542" s="8" t="s">
        <v>772</v>
      </c>
      <c r="E542" s="25">
        <v>357.49</v>
      </c>
      <c r="F542" s="25">
        <v>32.5</v>
      </c>
    </row>
    <row r="543" spans="1:6" x14ac:dyDescent="0.25">
      <c r="A543" s="8" t="s">
        <v>715</v>
      </c>
      <c r="B543" s="8" t="s">
        <v>132</v>
      </c>
      <c r="C543" s="8" t="s">
        <v>771</v>
      </c>
      <c r="D543" s="8" t="s">
        <v>773</v>
      </c>
      <c r="E543" s="25">
        <v>82.5</v>
      </c>
      <c r="F543" s="25">
        <v>7.5</v>
      </c>
    </row>
    <row r="544" spans="1:6" x14ac:dyDescent="0.25">
      <c r="A544" s="8" t="s">
        <v>715</v>
      </c>
      <c r="B544" s="8" t="s">
        <v>132</v>
      </c>
      <c r="C544" s="8" t="s">
        <v>774</v>
      </c>
      <c r="D544" s="8" t="s">
        <v>181</v>
      </c>
      <c r="E544" s="25">
        <v>148.5</v>
      </c>
      <c r="F544" s="25">
        <v>13.5</v>
      </c>
    </row>
    <row r="545" spans="1:6" x14ac:dyDescent="0.25">
      <c r="A545" s="8" t="s">
        <v>715</v>
      </c>
      <c r="B545" s="8" t="s">
        <v>137</v>
      </c>
      <c r="C545" s="8" t="s">
        <v>774</v>
      </c>
      <c r="D545" s="8" t="s">
        <v>182</v>
      </c>
      <c r="E545" s="25">
        <v>4.95</v>
      </c>
      <c r="F545" s="25">
        <v>0.45</v>
      </c>
    </row>
    <row r="546" spans="1:6" x14ac:dyDescent="0.25">
      <c r="A546" s="8" t="s">
        <v>715</v>
      </c>
      <c r="B546" s="8" t="s">
        <v>128</v>
      </c>
      <c r="C546" s="8" t="s">
        <v>775</v>
      </c>
      <c r="D546" s="8" t="s">
        <v>776</v>
      </c>
      <c r="E546" s="25">
        <v>436.7</v>
      </c>
      <c r="F546" s="25">
        <v>39.700000000000003</v>
      </c>
    </row>
    <row r="547" spans="1:6" x14ac:dyDescent="0.25">
      <c r="A547" s="8" t="s">
        <v>715</v>
      </c>
      <c r="B547" s="8" t="s">
        <v>137</v>
      </c>
      <c r="C547" s="8" t="s">
        <v>775</v>
      </c>
      <c r="D547" s="8" t="s">
        <v>220</v>
      </c>
      <c r="E547" s="25">
        <v>10.92</v>
      </c>
      <c r="F547" s="25">
        <v>0.99</v>
      </c>
    </row>
    <row r="548" spans="1:6" x14ac:dyDescent="0.25">
      <c r="A548" s="8" t="s">
        <v>715</v>
      </c>
      <c r="B548" s="8" t="s">
        <v>128</v>
      </c>
      <c r="C548" s="8" t="s">
        <v>777</v>
      </c>
      <c r="D548" s="8" t="s">
        <v>162</v>
      </c>
      <c r="E548" s="25">
        <v>218.9</v>
      </c>
      <c r="F548" s="25">
        <v>19.899999999999999</v>
      </c>
    </row>
    <row r="549" spans="1:6" x14ac:dyDescent="0.25">
      <c r="A549" s="8" t="s">
        <v>715</v>
      </c>
      <c r="B549" s="8" t="s">
        <v>128</v>
      </c>
      <c r="C549" s="8" t="s">
        <v>778</v>
      </c>
      <c r="D549" s="8" t="s">
        <v>779</v>
      </c>
      <c r="E549" s="25">
        <v>253</v>
      </c>
      <c r="F549" s="25">
        <v>23</v>
      </c>
    </row>
    <row r="550" spans="1:6" x14ac:dyDescent="0.25">
      <c r="A550" s="8" t="s">
        <v>715</v>
      </c>
      <c r="B550" s="8" t="s">
        <v>128</v>
      </c>
      <c r="C550" s="8" t="s">
        <v>611</v>
      </c>
      <c r="D550" s="8" t="s">
        <v>780</v>
      </c>
      <c r="E550" s="25">
        <v>1710.79</v>
      </c>
      <c r="F550" s="25">
        <v>155.53</v>
      </c>
    </row>
    <row r="551" spans="1:6" x14ac:dyDescent="0.25">
      <c r="A551" s="8" t="s">
        <v>715</v>
      </c>
      <c r="B551" s="8" t="s">
        <v>128</v>
      </c>
      <c r="C551" s="8" t="s">
        <v>611</v>
      </c>
      <c r="D551" s="8" t="s">
        <v>781</v>
      </c>
      <c r="E551" s="25">
        <v>462</v>
      </c>
      <c r="F551" s="25">
        <v>42</v>
      </c>
    </row>
    <row r="552" spans="1:6" x14ac:dyDescent="0.25">
      <c r="A552" s="8" t="s">
        <v>715</v>
      </c>
      <c r="B552" s="8" t="s">
        <v>128</v>
      </c>
      <c r="C552" s="8" t="s">
        <v>611</v>
      </c>
      <c r="D552" s="8" t="s">
        <v>782</v>
      </c>
      <c r="E552" s="25">
        <v>-594</v>
      </c>
      <c r="F552" s="25">
        <v>-54</v>
      </c>
    </row>
    <row r="553" spans="1:6" x14ac:dyDescent="0.25">
      <c r="A553" s="8" t="s">
        <v>715</v>
      </c>
      <c r="B553" s="8" t="s">
        <v>132</v>
      </c>
      <c r="C553" s="8" t="s">
        <v>783</v>
      </c>
      <c r="D553" s="8" t="s">
        <v>784</v>
      </c>
      <c r="E553" s="25">
        <v>2376</v>
      </c>
      <c r="F553" s="25">
        <v>216</v>
      </c>
    </row>
    <row r="554" spans="1:6" x14ac:dyDescent="0.25">
      <c r="A554" s="8" t="s">
        <v>715</v>
      </c>
      <c r="B554" s="8" t="s">
        <v>174</v>
      </c>
      <c r="C554" s="8" t="s">
        <v>785</v>
      </c>
      <c r="D554" s="8" t="s">
        <v>786</v>
      </c>
      <c r="E554" s="25">
        <v>220</v>
      </c>
      <c r="F554" s="25">
        <v>20</v>
      </c>
    </row>
    <row r="555" spans="1:6" x14ac:dyDescent="0.25">
      <c r="A555" s="8" t="s">
        <v>715</v>
      </c>
      <c r="B555" s="8" t="s">
        <v>128</v>
      </c>
      <c r="C555" s="8" t="s">
        <v>726</v>
      </c>
      <c r="D555" s="8" t="s">
        <v>787</v>
      </c>
      <c r="E555" s="25">
        <v>544.5</v>
      </c>
      <c r="F555" s="25">
        <v>49.5</v>
      </c>
    </row>
    <row r="556" spans="1:6" x14ac:dyDescent="0.25">
      <c r="A556" s="8" t="s">
        <v>715</v>
      </c>
      <c r="B556" s="8" t="s">
        <v>128</v>
      </c>
      <c r="C556" s="8" t="s">
        <v>726</v>
      </c>
      <c r="D556" s="8" t="s">
        <v>788</v>
      </c>
      <c r="E556" s="25">
        <v>990</v>
      </c>
      <c r="F556" s="25">
        <v>90</v>
      </c>
    </row>
    <row r="557" spans="1:6" x14ac:dyDescent="0.25">
      <c r="A557" s="8" t="s">
        <v>715</v>
      </c>
      <c r="B557" s="8" t="s">
        <v>128</v>
      </c>
      <c r="C557" s="8" t="s">
        <v>726</v>
      </c>
      <c r="D557" s="8" t="s">
        <v>789</v>
      </c>
      <c r="E557" s="25">
        <v>330</v>
      </c>
      <c r="F557" s="25">
        <v>30</v>
      </c>
    </row>
    <row r="558" spans="1:6" x14ac:dyDescent="0.25">
      <c r="A558" s="8" t="s">
        <v>715</v>
      </c>
      <c r="B558" s="8" t="s">
        <v>128</v>
      </c>
      <c r="C558" s="8" t="s">
        <v>726</v>
      </c>
      <c r="D558" s="8" t="s">
        <v>790</v>
      </c>
      <c r="E558" s="25">
        <v>891</v>
      </c>
      <c r="F558" s="25">
        <v>81</v>
      </c>
    </row>
    <row r="559" spans="1:6" x14ac:dyDescent="0.25">
      <c r="A559" s="8" t="s">
        <v>715</v>
      </c>
      <c r="B559" s="8" t="s">
        <v>128</v>
      </c>
      <c r="C559" s="8" t="s">
        <v>726</v>
      </c>
      <c r="D559" s="8" t="s">
        <v>164</v>
      </c>
      <c r="E559" s="25">
        <v>2310</v>
      </c>
      <c r="F559" s="25">
        <v>210</v>
      </c>
    </row>
    <row r="560" spans="1:6" x14ac:dyDescent="0.25">
      <c r="A560" s="8" t="s">
        <v>715</v>
      </c>
      <c r="B560" s="8" t="s">
        <v>128</v>
      </c>
      <c r="C560" s="8" t="s">
        <v>726</v>
      </c>
      <c r="D560" s="8" t="s">
        <v>165</v>
      </c>
      <c r="E560" s="25">
        <v>82.5</v>
      </c>
      <c r="F560" s="25">
        <v>7.5</v>
      </c>
    </row>
    <row r="561" spans="1:6" x14ac:dyDescent="0.25">
      <c r="A561" s="8" t="s">
        <v>715</v>
      </c>
      <c r="B561" s="8" t="s">
        <v>128</v>
      </c>
      <c r="C561" s="8" t="s">
        <v>791</v>
      </c>
      <c r="D561" s="8" t="s">
        <v>792</v>
      </c>
      <c r="E561" s="25">
        <v>363</v>
      </c>
      <c r="F561" s="25">
        <v>33</v>
      </c>
    </row>
    <row r="562" spans="1:6" x14ac:dyDescent="0.25">
      <c r="A562" s="8" t="s">
        <v>715</v>
      </c>
      <c r="B562" s="8" t="s">
        <v>128</v>
      </c>
      <c r="C562" s="8" t="s">
        <v>793</v>
      </c>
      <c r="D562" s="8" t="s">
        <v>794</v>
      </c>
      <c r="E562" s="25">
        <v>1593.9</v>
      </c>
      <c r="F562" s="25">
        <v>144.9</v>
      </c>
    </row>
    <row r="563" spans="1:6" x14ac:dyDescent="0.25">
      <c r="A563" s="8" t="s">
        <v>715</v>
      </c>
      <c r="B563" s="8" t="s">
        <v>128</v>
      </c>
      <c r="C563" s="8" t="s">
        <v>793</v>
      </c>
      <c r="D563" s="8" t="s">
        <v>795</v>
      </c>
      <c r="E563" s="25">
        <v>660</v>
      </c>
      <c r="F563" s="25">
        <v>60</v>
      </c>
    </row>
    <row r="564" spans="1:6" x14ac:dyDescent="0.25">
      <c r="A564" s="8" t="s">
        <v>715</v>
      </c>
      <c r="B564" s="8" t="s">
        <v>128</v>
      </c>
      <c r="C564" s="8" t="s">
        <v>793</v>
      </c>
      <c r="D564" s="8" t="s">
        <v>796</v>
      </c>
      <c r="E564" s="25">
        <v>330</v>
      </c>
      <c r="F564" s="25">
        <v>30</v>
      </c>
    </row>
    <row r="565" spans="1:6" x14ac:dyDescent="0.25">
      <c r="A565" s="8" t="s">
        <v>715</v>
      </c>
      <c r="B565" s="8" t="s">
        <v>128</v>
      </c>
      <c r="C565" s="8" t="s">
        <v>793</v>
      </c>
      <c r="D565" s="8" t="s">
        <v>797</v>
      </c>
      <c r="E565" s="25">
        <v>330</v>
      </c>
      <c r="F565" s="25">
        <v>30</v>
      </c>
    </row>
    <row r="566" spans="1:6" x14ac:dyDescent="0.25">
      <c r="A566" s="8" t="s">
        <v>715</v>
      </c>
      <c r="B566" s="8" t="s">
        <v>128</v>
      </c>
      <c r="C566" s="8" t="s">
        <v>793</v>
      </c>
      <c r="D566" s="8" t="s">
        <v>798</v>
      </c>
      <c r="E566" s="25">
        <v>148.5</v>
      </c>
      <c r="F566" s="25">
        <v>13.5</v>
      </c>
    </row>
    <row r="567" spans="1:6" x14ac:dyDescent="0.25">
      <c r="A567" s="8" t="s">
        <v>715</v>
      </c>
      <c r="B567" s="8" t="s">
        <v>128</v>
      </c>
      <c r="C567" s="8" t="s">
        <v>799</v>
      </c>
      <c r="D567" s="8" t="s">
        <v>800</v>
      </c>
      <c r="E567" s="25">
        <v>1580.7</v>
      </c>
      <c r="F567" s="25">
        <v>143.69999999999999</v>
      </c>
    </row>
    <row r="568" spans="1:6" x14ac:dyDescent="0.25">
      <c r="A568" s="8" t="s">
        <v>715</v>
      </c>
      <c r="B568" s="8" t="s">
        <v>128</v>
      </c>
      <c r="C568" s="8" t="s">
        <v>799</v>
      </c>
      <c r="D568" s="8" t="s">
        <v>801</v>
      </c>
      <c r="E568" s="25">
        <v>330</v>
      </c>
      <c r="F568" s="25">
        <v>30</v>
      </c>
    </row>
    <row r="569" spans="1:6" x14ac:dyDescent="0.25">
      <c r="A569" s="8" t="s">
        <v>715</v>
      </c>
      <c r="B569" s="8" t="s">
        <v>128</v>
      </c>
      <c r="C569" s="8" t="s">
        <v>611</v>
      </c>
      <c r="D569" s="8" t="s">
        <v>802</v>
      </c>
      <c r="E569" s="25">
        <v>2640</v>
      </c>
      <c r="F569" s="25">
        <v>240</v>
      </c>
    </row>
    <row r="570" spans="1:6" x14ac:dyDescent="0.25">
      <c r="A570" s="8" t="s">
        <v>715</v>
      </c>
      <c r="B570" s="8" t="s">
        <v>128</v>
      </c>
      <c r="C570" s="8" t="s">
        <v>611</v>
      </c>
      <c r="D570" s="8" t="s">
        <v>803</v>
      </c>
      <c r="E570" s="25">
        <v>330</v>
      </c>
      <c r="F570" s="25">
        <v>30</v>
      </c>
    </row>
    <row r="571" spans="1:6" x14ac:dyDescent="0.25">
      <c r="A571" s="8" t="s">
        <v>715</v>
      </c>
      <c r="B571" s="8" t="s">
        <v>128</v>
      </c>
      <c r="C571" s="8" t="s">
        <v>611</v>
      </c>
      <c r="D571" s="8" t="s">
        <v>804</v>
      </c>
      <c r="E571" s="25">
        <v>297</v>
      </c>
      <c r="F571" s="25">
        <v>27</v>
      </c>
    </row>
    <row r="572" spans="1:6" x14ac:dyDescent="0.25">
      <c r="A572" s="8" t="s">
        <v>715</v>
      </c>
      <c r="B572" s="8" t="s">
        <v>128</v>
      </c>
      <c r="C572" s="8" t="s">
        <v>611</v>
      </c>
      <c r="D572" s="8" t="s">
        <v>805</v>
      </c>
      <c r="E572" s="25">
        <v>297</v>
      </c>
      <c r="F572" s="25">
        <v>27</v>
      </c>
    </row>
    <row r="573" spans="1:6" x14ac:dyDescent="0.25">
      <c r="A573" s="8" t="s">
        <v>715</v>
      </c>
      <c r="B573" s="8" t="s">
        <v>128</v>
      </c>
      <c r="C573" s="8" t="s">
        <v>611</v>
      </c>
      <c r="D573" s="8" t="s">
        <v>806</v>
      </c>
      <c r="E573" s="25">
        <v>-445.5</v>
      </c>
      <c r="F573" s="25">
        <v>-40.5</v>
      </c>
    </row>
    <row r="574" spans="1:6" x14ac:dyDescent="0.25">
      <c r="A574" s="8" t="s">
        <v>715</v>
      </c>
      <c r="B574" s="8" t="s">
        <v>128</v>
      </c>
      <c r="C574" s="8" t="s">
        <v>611</v>
      </c>
      <c r="D574" s="8" t="s">
        <v>807</v>
      </c>
      <c r="E574" s="25">
        <v>-148.5</v>
      </c>
      <c r="F574" s="25">
        <v>-13.5</v>
      </c>
    </row>
    <row r="575" spans="1:6" x14ac:dyDescent="0.25">
      <c r="A575" s="8" t="s">
        <v>715</v>
      </c>
      <c r="B575" s="8" t="s">
        <v>128</v>
      </c>
      <c r="C575" s="8" t="s">
        <v>611</v>
      </c>
      <c r="D575" s="8" t="s">
        <v>808</v>
      </c>
      <c r="E575" s="25">
        <v>330</v>
      </c>
      <c r="F575" s="25">
        <v>30</v>
      </c>
    </row>
    <row r="576" spans="1:6" x14ac:dyDescent="0.25">
      <c r="A576" s="8" t="s">
        <v>715</v>
      </c>
      <c r="B576" s="8" t="s">
        <v>128</v>
      </c>
      <c r="C576" s="8" t="s">
        <v>809</v>
      </c>
      <c r="D576" s="8" t="s">
        <v>810</v>
      </c>
      <c r="E576" s="25">
        <v>3791.7</v>
      </c>
      <c r="F576" s="25">
        <v>344.7</v>
      </c>
    </row>
    <row r="577" spans="1:6" x14ac:dyDescent="0.25">
      <c r="A577" s="8" t="s">
        <v>715</v>
      </c>
      <c r="B577" s="8" t="s">
        <v>128</v>
      </c>
      <c r="C577" s="8" t="s">
        <v>809</v>
      </c>
      <c r="D577" s="8" t="s">
        <v>811</v>
      </c>
      <c r="E577" s="25">
        <v>82.5</v>
      </c>
      <c r="F577" s="25">
        <v>7.5</v>
      </c>
    </row>
    <row r="578" spans="1:6" x14ac:dyDescent="0.25">
      <c r="A578" s="8" t="s">
        <v>715</v>
      </c>
      <c r="B578" s="8" t="s">
        <v>128</v>
      </c>
      <c r="C578" s="8" t="s">
        <v>809</v>
      </c>
      <c r="D578" s="8" t="s">
        <v>812</v>
      </c>
      <c r="E578" s="25">
        <v>297</v>
      </c>
      <c r="F578" s="25">
        <v>27</v>
      </c>
    </row>
    <row r="579" spans="1:6" x14ac:dyDescent="0.25">
      <c r="A579" s="8" t="s">
        <v>715</v>
      </c>
      <c r="B579" s="8" t="s">
        <v>128</v>
      </c>
      <c r="C579" s="8" t="s">
        <v>756</v>
      </c>
      <c r="D579" s="8" t="s">
        <v>813</v>
      </c>
      <c r="E579" s="25">
        <v>165</v>
      </c>
      <c r="F579" s="25">
        <v>15</v>
      </c>
    </row>
    <row r="580" spans="1:6" x14ac:dyDescent="0.25">
      <c r="A580" s="8" t="s">
        <v>715</v>
      </c>
      <c r="B580" s="8" t="s">
        <v>128</v>
      </c>
      <c r="C580" s="8" t="s">
        <v>756</v>
      </c>
      <c r="D580" s="8" t="s">
        <v>243</v>
      </c>
      <c r="E580" s="25">
        <v>16.5</v>
      </c>
      <c r="F580" s="25">
        <v>1.5</v>
      </c>
    </row>
    <row r="581" spans="1:6" x14ac:dyDescent="0.25">
      <c r="A581" s="8" t="s">
        <v>715</v>
      </c>
      <c r="B581" s="8" t="s">
        <v>128</v>
      </c>
      <c r="C581" s="8" t="s">
        <v>756</v>
      </c>
      <c r="D581" s="8" t="s">
        <v>490</v>
      </c>
      <c r="E581" s="25">
        <v>734.8</v>
      </c>
      <c r="F581" s="25">
        <v>66.8</v>
      </c>
    </row>
    <row r="582" spans="1:6" x14ac:dyDescent="0.25">
      <c r="A582" s="8" t="s">
        <v>715</v>
      </c>
      <c r="B582" s="8" t="s">
        <v>128</v>
      </c>
      <c r="C582" s="8" t="s">
        <v>756</v>
      </c>
      <c r="D582" s="8" t="s">
        <v>814</v>
      </c>
      <c r="E582" s="25">
        <v>396</v>
      </c>
      <c r="F582" s="25">
        <v>36</v>
      </c>
    </row>
    <row r="583" spans="1:6" x14ac:dyDescent="0.25">
      <c r="A583" s="8" t="s">
        <v>715</v>
      </c>
      <c r="B583" s="8" t="s">
        <v>128</v>
      </c>
      <c r="C583" s="8" t="s">
        <v>756</v>
      </c>
      <c r="D583" s="8" t="s">
        <v>253</v>
      </c>
      <c r="E583" s="25">
        <v>247.5</v>
      </c>
      <c r="F583" s="25">
        <v>22.5</v>
      </c>
    </row>
    <row r="584" spans="1:6" x14ac:dyDescent="0.25">
      <c r="A584" s="8" t="s">
        <v>715</v>
      </c>
      <c r="B584" s="8" t="s">
        <v>128</v>
      </c>
      <c r="C584" s="8" t="s">
        <v>756</v>
      </c>
      <c r="D584" s="8" t="s">
        <v>254</v>
      </c>
      <c r="E584" s="25">
        <v>220</v>
      </c>
      <c r="F584" s="25">
        <v>20</v>
      </c>
    </row>
    <row r="585" spans="1:6" x14ac:dyDescent="0.25">
      <c r="A585" s="8" t="s">
        <v>715</v>
      </c>
      <c r="B585" s="8" t="s">
        <v>128</v>
      </c>
      <c r="C585" s="8" t="s">
        <v>756</v>
      </c>
      <c r="D585" s="8" t="s">
        <v>815</v>
      </c>
      <c r="E585" s="25">
        <v>99</v>
      </c>
      <c r="F585" s="25">
        <v>9</v>
      </c>
    </row>
    <row r="586" spans="1:6" x14ac:dyDescent="0.25">
      <c r="A586" s="8" t="s">
        <v>715</v>
      </c>
      <c r="B586" s="8" t="s">
        <v>132</v>
      </c>
      <c r="C586" s="8" t="s">
        <v>816</v>
      </c>
      <c r="D586" s="8" t="s">
        <v>148</v>
      </c>
      <c r="E586" s="25">
        <v>297</v>
      </c>
      <c r="F586" s="25">
        <v>27</v>
      </c>
    </row>
    <row r="587" spans="1:6" x14ac:dyDescent="0.25">
      <c r="A587" s="8" t="s">
        <v>715</v>
      </c>
      <c r="B587" s="8" t="s">
        <v>132</v>
      </c>
      <c r="C587" s="8" t="s">
        <v>816</v>
      </c>
      <c r="D587" s="8" t="s">
        <v>149</v>
      </c>
      <c r="E587" s="25">
        <v>49.5</v>
      </c>
      <c r="F587" s="25">
        <v>4.5</v>
      </c>
    </row>
    <row r="588" spans="1:6" x14ac:dyDescent="0.25">
      <c r="A588" s="8" t="s">
        <v>715</v>
      </c>
      <c r="B588" s="8" t="s">
        <v>132</v>
      </c>
      <c r="C588" s="8" t="s">
        <v>816</v>
      </c>
      <c r="D588" s="8" t="s">
        <v>150</v>
      </c>
      <c r="E588" s="25">
        <v>304.92</v>
      </c>
      <c r="F588" s="25">
        <v>27.72</v>
      </c>
    </row>
    <row r="589" spans="1:6" x14ac:dyDescent="0.25">
      <c r="A589" s="8" t="s">
        <v>715</v>
      </c>
      <c r="B589" s="8" t="s">
        <v>132</v>
      </c>
      <c r="C589" s="8" t="s">
        <v>816</v>
      </c>
      <c r="D589" s="8" t="s">
        <v>155</v>
      </c>
      <c r="E589" s="25">
        <v>27.5</v>
      </c>
      <c r="F589" s="25">
        <v>2.5</v>
      </c>
    </row>
    <row r="590" spans="1:6" x14ac:dyDescent="0.25">
      <c r="A590" s="8" t="s">
        <v>715</v>
      </c>
      <c r="B590" s="8" t="s">
        <v>132</v>
      </c>
      <c r="C590" s="8" t="s">
        <v>816</v>
      </c>
      <c r="D590" s="8" t="s">
        <v>156</v>
      </c>
      <c r="E590" s="25">
        <v>27.5</v>
      </c>
      <c r="F590" s="25">
        <v>2.5</v>
      </c>
    </row>
    <row r="591" spans="1:6" x14ac:dyDescent="0.25">
      <c r="A591" s="8" t="s">
        <v>715</v>
      </c>
      <c r="B591" s="8" t="s">
        <v>132</v>
      </c>
      <c r="C591" s="8" t="s">
        <v>816</v>
      </c>
      <c r="D591" s="8" t="s">
        <v>157</v>
      </c>
      <c r="E591" s="25">
        <v>49.5</v>
      </c>
      <c r="F591" s="25">
        <v>4.5</v>
      </c>
    </row>
    <row r="592" spans="1:6" x14ac:dyDescent="0.25">
      <c r="A592" s="8" t="s">
        <v>715</v>
      </c>
      <c r="B592" s="8" t="s">
        <v>137</v>
      </c>
      <c r="C592" s="8" t="s">
        <v>816</v>
      </c>
      <c r="D592" s="8" t="s">
        <v>158</v>
      </c>
      <c r="E592" s="25">
        <v>18.899999999999999</v>
      </c>
      <c r="F592" s="25">
        <v>1.72</v>
      </c>
    </row>
    <row r="593" spans="1:6" x14ac:dyDescent="0.25">
      <c r="A593" s="8" t="s">
        <v>715</v>
      </c>
      <c r="B593" s="8" t="s">
        <v>128</v>
      </c>
      <c r="C593" s="8" t="s">
        <v>720</v>
      </c>
      <c r="D593" s="8" t="s">
        <v>817</v>
      </c>
      <c r="E593" s="25">
        <v>330</v>
      </c>
      <c r="F593" s="25">
        <v>30</v>
      </c>
    </row>
    <row r="594" spans="1:6" x14ac:dyDescent="0.25">
      <c r="A594" s="8" t="s">
        <v>715</v>
      </c>
      <c r="B594" s="8" t="s">
        <v>174</v>
      </c>
      <c r="C594" s="8" t="s">
        <v>818</v>
      </c>
      <c r="D594" s="8" t="s">
        <v>819</v>
      </c>
      <c r="E594" s="25">
        <v>825</v>
      </c>
      <c r="F594" s="25">
        <v>75</v>
      </c>
    </row>
    <row r="595" spans="1:6" x14ac:dyDescent="0.25">
      <c r="A595" s="8" t="s">
        <v>715</v>
      </c>
      <c r="B595" s="8" t="s">
        <v>174</v>
      </c>
      <c r="C595" s="8" t="s">
        <v>818</v>
      </c>
      <c r="D595" s="8" t="s">
        <v>261</v>
      </c>
      <c r="E595" s="25">
        <v>99</v>
      </c>
      <c r="F595" s="25">
        <v>9</v>
      </c>
    </row>
    <row r="596" spans="1:6" x14ac:dyDescent="0.25">
      <c r="A596" s="8" t="s">
        <v>715</v>
      </c>
      <c r="B596" s="8" t="s">
        <v>132</v>
      </c>
      <c r="C596" s="8" t="s">
        <v>820</v>
      </c>
      <c r="D596" s="8" t="s">
        <v>263</v>
      </c>
      <c r="E596" s="25">
        <v>173.25</v>
      </c>
      <c r="F596" s="25">
        <v>15.75</v>
      </c>
    </row>
    <row r="597" spans="1:6" x14ac:dyDescent="0.25">
      <c r="A597" s="8" t="s">
        <v>715</v>
      </c>
      <c r="B597" s="8" t="s">
        <v>132</v>
      </c>
      <c r="C597" s="8" t="s">
        <v>820</v>
      </c>
      <c r="D597" s="8" t="s">
        <v>264</v>
      </c>
      <c r="E597" s="25">
        <v>27.5</v>
      </c>
      <c r="F597" s="25">
        <v>2.5</v>
      </c>
    </row>
    <row r="598" spans="1:6" x14ac:dyDescent="0.25">
      <c r="A598" s="8" t="s">
        <v>715</v>
      </c>
      <c r="B598" s="8" t="s">
        <v>137</v>
      </c>
      <c r="C598" s="8" t="s">
        <v>820</v>
      </c>
      <c r="D598" s="8" t="s">
        <v>182</v>
      </c>
      <c r="E598" s="25">
        <v>5.0199999999999996</v>
      </c>
      <c r="F598" s="25">
        <v>0.46</v>
      </c>
    </row>
    <row r="599" spans="1:6" x14ac:dyDescent="0.25">
      <c r="A599" s="8" t="s">
        <v>715</v>
      </c>
      <c r="B599" s="8" t="s">
        <v>128</v>
      </c>
      <c r="C599" s="8" t="s">
        <v>777</v>
      </c>
      <c r="D599" s="8" t="s">
        <v>270</v>
      </c>
      <c r="E599" s="25">
        <v>724.9</v>
      </c>
      <c r="F599" s="25">
        <v>65.900000000000006</v>
      </c>
    </row>
    <row r="600" spans="1:6" x14ac:dyDescent="0.25">
      <c r="A600" s="8" t="s">
        <v>715</v>
      </c>
      <c r="B600" s="8" t="s">
        <v>128</v>
      </c>
      <c r="C600" s="8" t="s">
        <v>777</v>
      </c>
      <c r="D600" s="8" t="s">
        <v>271</v>
      </c>
      <c r="E600" s="25">
        <v>-247.5</v>
      </c>
      <c r="F600" s="25">
        <v>-22.5</v>
      </c>
    </row>
    <row r="601" spans="1:6" x14ac:dyDescent="0.25">
      <c r="A601" s="8" t="s">
        <v>715</v>
      </c>
      <c r="B601" s="8" t="s">
        <v>128</v>
      </c>
      <c r="C601" s="8" t="s">
        <v>777</v>
      </c>
      <c r="D601" s="8" t="s">
        <v>272</v>
      </c>
      <c r="E601" s="25">
        <v>49.5</v>
      </c>
      <c r="F601" s="25">
        <v>4.5</v>
      </c>
    </row>
    <row r="602" spans="1:6" x14ac:dyDescent="0.25">
      <c r="A602" s="8" t="s">
        <v>715</v>
      </c>
      <c r="B602" s="8" t="s">
        <v>128</v>
      </c>
      <c r="C602" s="8" t="s">
        <v>777</v>
      </c>
      <c r="D602" s="8" t="s">
        <v>273</v>
      </c>
      <c r="E602" s="25">
        <v>99</v>
      </c>
      <c r="F602" s="25">
        <v>9</v>
      </c>
    </row>
    <row r="603" spans="1:6" x14ac:dyDescent="0.25">
      <c r="A603" s="8" t="s">
        <v>715</v>
      </c>
      <c r="B603" s="8" t="s">
        <v>128</v>
      </c>
      <c r="C603" s="8" t="s">
        <v>777</v>
      </c>
      <c r="D603" s="8" t="s">
        <v>274</v>
      </c>
      <c r="E603" s="25">
        <v>49.5</v>
      </c>
      <c r="F603" s="25">
        <v>4.5</v>
      </c>
    </row>
    <row r="604" spans="1:6" x14ac:dyDescent="0.25">
      <c r="A604" s="8" t="s">
        <v>715</v>
      </c>
      <c r="B604" s="8" t="s">
        <v>128</v>
      </c>
      <c r="C604" s="8" t="s">
        <v>777</v>
      </c>
      <c r="D604" s="8" t="s">
        <v>275</v>
      </c>
      <c r="E604" s="25">
        <v>-99</v>
      </c>
      <c r="F604" s="25">
        <v>-9</v>
      </c>
    </row>
    <row r="605" spans="1:6" x14ac:dyDescent="0.25">
      <c r="A605" s="8" t="s">
        <v>715</v>
      </c>
      <c r="B605" s="8" t="s">
        <v>128</v>
      </c>
      <c r="C605" s="8" t="s">
        <v>777</v>
      </c>
      <c r="D605" s="8" t="s">
        <v>276</v>
      </c>
      <c r="E605" s="25">
        <v>110</v>
      </c>
      <c r="F605" s="25">
        <v>10</v>
      </c>
    </row>
    <row r="606" spans="1:6" x14ac:dyDescent="0.25">
      <c r="A606" s="8" t="s">
        <v>715</v>
      </c>
      <c r="B606" s="8" t="s">
        <v>128</v>
      </c>
      <c r="C606" s="8" t="s">
        <v>777</v>
      </c>
      <c r="D606" s="8" t="s">
        <v>277</v>
      </c>
      <c r="E606" s="25">
        <v>99</v>
      </c>
      <c r="F606" s="25">
        <v>9</v>
      </c>
    </row>
    <row r="607" spans="1:6" x14ac:dyDescent="0.25">
      <c r="A607" s="8" t="s">
        <v>715</v>
      </c>
      <c r="B607" s="8" t="s">
        <v>137</v>
      </c>
      <c r="C607" s="8" t="s">
        <v>777</v>
      </c>
      <c r="D607" s="8" t="s">
        <v>278</v>
      </c>
      <c r="E607" s="25">
        <v>50.11</v>
      </c>
      <c r="F607" s="25">
        <v>4.5599999999999996</v>
      </c>
    </row>
    <row r="608" spans="1:6" x14ac:dyDescent="0.25">
      <c r="A608" s="8" t="s">
        <v>715</v>
      </c>
      <c r="B608" s="8" t="s">
        <v>128</v>
      </c>
      <c r="C608" s="8" t="s">
        <v>777</v>
      </c>
      <c r="D608" s="8" t="s">
        <v>279</v>
      </c>
      <c r="E608" s="25">
        <v>49.5</v>
      </c>
      <c r="F608" s="25">
        <v>4.5</v>
      </c>
    </row>
    <row r="609" spans="1:6" x14ac:dyDescent="0.25">
      <c r="A609" s="8" t="s">
        <v>715</v>
      </c>
      <c r="B609" s="8" t="s">
        <v>128</v>
      </c>
      <c r="C609" s="8" t="s">
        <v>777</v>
      </c>
      <c r="D609" s="8" t="s">
        <v>280</v>
      </c>
      <c r="E609" s="25">
        <v>-99</v>
      </c>
      <c r="F609" s="25">
        <v>-9</v>
      </c>
    </row>
    <row r="610" spans="1:6" x14ac:dyDescent="0.25">
      <c r="A610" s="8" t="s">
        <v>715</v>
      </c>
      <c r="B610" s="8" t="s">
        <v>128</v>
      </c>
      <c r="C610" s="8" t="s">
        <v>777</v>
      </c>
      <c r="D610" s="8" t="s">
        <v>503</v>
      </c>
      <c r="E610" s="25">
        <v>110</v>
      </c>
      <c r="F610" s="25">
        <v>10</v>
      </c>
    </row>
    <row r="611" spans="1:6" x14ac:dyDescent="0.25">
      <c r="A611" s="8" t="s">
        <v>715</v>
      </c>
      <c r="B611" s="8" t="s">
        <v>128</v>
      </c>
      <c r="C611" s="8" t="s">
        <v>777</v>
      </c>
      <c r="D611" s="8" t="s">
        <v>504</v>
      </c>
      <c r="E611" s="25">
        <v>49.5</v>
      </c>
      <c r="F611" s="25">
        <v>4.5</v>
      </c>
    </row>
    <row r="612" spans="1:6" x14ac:dyDescent="0.25">
      <c r="A612" s="8" t="s">
        <v>715</v>
      </c>
      <c r="B612" s="8" t="s">
        <v>128</v>
      </c>
      <c r="C612" s="8" t="s">
        <v>720</v>
      </c>
      <c r="D612" s="8" t="s">
        <v>821</v>
      </c>
      <c r="E612" s="25">
        <v>273.89999999999998</v>
      </c>
      <c r="F612" s="25">
        <v>24.9</v>
      </c>
    </row>
    <row r="613" spans="1:6" x14ac:dyDescent="0.25">
      <c r="A613" s="8" t="s">
        <v>715</v>
      </c>
      <c r="B613" s="8" t="s">
        <v>128</v>
      </c>
      <c r="C613" s="8" t="s">
        <v>777</v>
      </c>
      <c r="D613" s="8" t="s">
        <v>290</v>
      </c>
      <c r="E613" s="25">
        <v>675.4</v>
      </c>
      <c r="F613" s="25">
        <v>61.4</v>
      </c>
    </row>
    <row r="614" spans="1:6" x14ac:dyDescent="0.25">
      <c r="A614" s="8" t="s">
        <v>715</v>
      </c>
      <c r="B614" s="8" t="s">
        <v>128</v>
      </c>
      <c r="C614" s="8" t="s">
        <v>777</v>
      </c>
      <c r="D614" s="8" t="s">
        <v>291</v>
      </c>
      <c r="E614" s="25">
        <v>-345.4</v>
      </c>
      <c r="F614" s="25">
        <v>-31.4</v>
      </c>
    </row>
    <row r="615" spans="1:6" x14ac:dyDescent="0.25">
      <c r="A615" s="8" t="s">
        <v>715</v>
      </c>
      <c r="B615" s="8" t="s">
        <v>174</v>
      </c>
      <c r="C615" s="8" t="s">
        <v>822</v>
      </c>
      <c r="D615" s="8" t="s">
        <v>823</v>
      </c>
      <c r="E615" s="25">
        <v>378.4</v>
      </c>
      <c r="F615" s="25">
        <v>34.4</v>
      </c>
    </row>
    <row r="616" spans="1:6" x14ac:dyDescent="0.25">
      <c r="A616" s="8" t="s">
        <v>715</v>
      </c>
      <c r="B616" s="8" t="s">
        <v>174</v>
      </c>
      <c r="C616" s="8" t="s">
        <v>824</v>
      </c>
      <c r="D616" s="8" t="s">
        <v>825</v>
      </c>
      <c r="E616" s="25">
        <v>242</v>
      </c>
      <c r="F616" s="25">
        <v>22</v>
      </c>
    </row>
    <row r="617" spans="1:6" x14ac:dyDescent="0.25">
      <c r="A617" s="8" t="s">
        <v>715</v>
      </c>
      <c r="B617" s="8" t="s">
        <v>174</v>
      </c>
      <c r="C617" s="8" t="s">
        <v>824</v>
      </c>
      <c r="D617" s="8" t="s">
        <v>322</v>
      </c>
      <c r="E617" s="25">
        <v>665.5</v>
      </c>
      <c r="F617" s="25">
        <v>60.5</v>
      </c>
    </row>
    <row r="618" spans="1:6" x14ac:dyDescent="0.25">
      <c r="A618" s="8" t="s">
        <v>715</v>
      </c>
      <c r="B618" s="8" t="s">
        <v>174</v>
      </c>
      <c r="C618" s="8" t="s">
        <v>470</v>
      </c>
      <c r="D618" s="8" t="s">
        <v>225</v>
      </c>
      <c r="E618" s="25">
        <v>1589.5</v>
      </c>
      <c r="F618" s="25">
        <v>144.5</v>
      </c>
    </row>
    <row r="619" spans="1:6" x14ac:dyDescent="0.25">
      <c r="A619" s="8" t="s">
        <v>715</v>
      </c>
      <c r="B619" s="8" t="s">
        <v>174</v>
      </c>
      <c r="C619" s="8" t="s">
        <v>470</v>
      </c>
      <c r="D619" s="8" t="s">
        <v>226</v>
      </c>
      <c r="E619" s="25">
        <v>49.5</v>
      </c>
      <c r="F619" s="25">
        <v>4.5</v>
      </c>
    </row>
    <row r="620" spans="1:6" x14ac:dyDescent="0.25">
      <c r="A620" s="8" t="s">
        <v>715</v>
      </c>
      <c r="B620" s="8" t="s">
        <v>132</v>
      </c>
      <c r="C620" s="8" t="s">
        <v>470</v>
      </c>
      <c r="D620" s="8" t="s">
        <v>227</v>
      </c>
      <c r="E620" s="25">
        <v>110</v>
      </c>
      <c r="F620" s="25">
        <v>10</v>
      </c>
    </row>
    <row r="621" spans="1:6" x14ac:dyDescent="0.25">
      <c r="A621" s="8" t="s">
        <v>826</v>
      </c>
      <c r="B621" s="8" t="s">
        <v>356</v>
      </c>
      <c r="C621" s="8" t="s">
        <v>827</v>
      </c>
      <c r="D621" s="8" t="s">
        <v>828</v>
      </c>
      <c r="E621" s="25">
        <v>1017.5</v>
      </c>
      <c r="F621" s="25">
        <v>92.5</v>
      </c>
    </row>
    <row r="622" spans="1:6" x14ac:dyDescent="0.25">
      <c r="A622" s="8" t="s">
        <v>826</v>
      </c>
      <c r="B622" s="8" t="s">
        <v>356</v>
      </c>
      <c r="C622" s="8" t="s">
        <v>829</v>
      </c>
      <c r="D622" s="8" t="s">
        <v>830</v>
      </c>
      <c r="E622" s="25">
        <v>407</v>
      </c>
      <c r="F622" s="25">
        <v>37</v>
      </c>
    </row>
    <row r="623" spans="1:6" x14ac:dyDescent="0.25">
      <c r="A623" s="8" t="s">
        <v>826</v>
      </c>
      <c r="B623" s="8" t="s">
        <v>356</v>
      </c>
      <c r="C623" s="8" t="s">
        <v>831</v>
      </c>
      <c r="D623" s="8" t="s">
        <v>832</v>
      </c>
      <c r="E623" s="25">
        <v>1017.5</v>
      </c>
      <c r="F623" s="25">
        <v>92.5</v>
      </c>
    </row>
    <row r="624" spans="1:6" x14ac:dyDescent="0.25">
      <c r="A624" s="8" t="s">
        <v>833</v>
      </c>
      <c r="B624" s="8" t="s">
        <v>132</v>
      </c>
      <c r="C624" s="8" t="s">
        <v>749</v>
      </c>
      <c r="D624" s="8" t="s">
        <v>750</v>
      </c>
      <c r="E624" s="25">
        <v>-103.95</v>
      </c>
      <c r="F624" s="25">
        <v>-9.4499999999999993</v>
      </c>
    </row>
    <row r="625" spans="1:6" x14ac:dyDescent="0.25">
      <c r="A625" s="8" t="s">
        <v>833</v>
      </c>
      <c r="B625" s="8" t="s">
        <v>128</v>
      </c>
      <c r="C625" s="8" t="s">
        <v>834</v>
      </c>
      <c r="D625" s="8" t="s">
        <v>835</v>
      </c>
      <c r="E625" s="25">
        <v>1633.5</v>
      </c>
      <c r="F625" s="25">
        <v>148.5</v>
      </c>
    </row>
    <row r="626" spans="1:6" x14ac:dyDescent="0.25">
      <c r="A626" s="8" t="s">
        <v>833</v>
      </c>
      <c r="B626" s="8" t="s">
        <v>128</v>
      </c>
      <c r="C626" s="8" t="s">
        <v>611</v>
      </c>
      <c r="D626" s="8" t="s">
        <v>741</v>
      </c>
      <c r="E626" s="25">
        <v>-1996.5</v>
      </c>
      <c r="F626" s="25">
        <v>-181.5</v>
      </c>
    </row>
    <row r="627" spans="1:6" x14ac:dyDescent="0.25">
      <c r="A627" s="8" t="s">
        <v>833</v>
      </c>
      <c r="B627" s="8" t="s">
        <v>356</v>
      </c>
      <c r="C627" s="8" t="s">
        <v>836</v>
      </c>
      <c r="D627" s="8" t="s">
        <v>837</v>
      </c>
      <c r="E627" s="25">
        <v>1628</v>
      </c>
      <c r="F627" s="25">
        <v>148</v>
      </c>
    </row>
    <row r="628" spans="1:6" x14ac:dyDescent="0.25">
      <c r="A628" s="8" t="s">
        <v>833</v>
      </c>
      <c r="B628" s="8" t="s">
        <v>347</v>
      </c>
      <c r="C628" s="8" t="s">
        <v>838</v>
      </c>
      <c r="D628" s="8" t="s">
        <v>839</v>
      </c>
      <c r="E628" s="25">
        <v>110</v>
      </c>
      <c r="F628" s="25">
        <v>10</v>
      </c>
    </row>
    <row r="629" spans="1:6" x14ac:dyDescent="0.25">
      <c r="A629" s="8" t="s">
        <v>833</v>
      </c>
      <c r="B629" s="8" t="s">
        <v>128</v>
      </c>
      <c r="C629" s="8" t="s">
        <v>838</v>
      </c>
      <c r="D629" s="8" t="s">
        <v>840</v>
      </c>
      <c r="E629" s="25">
        <v>428.01</v>
      </c>
      <c r="F629" s="25">
        <v>38.909999999999997</v>
      </c>
    </row>
    <row r="630" spans="1:6" x14ac:dyDescent="0.25">
      <c r="A630" s="8" t="s">
        <v>841</v>
      </c>
      <c r="B630" s="8" t="s">
        <v>356</v>
      </c>
      <c r="C630" s="8" t="s">
        <v>357</v>
      </c>
      <c r="D630" s="8" t="s">
        <v>842</v>
      </c>
      <c r="E630" s="25">
        <v>-203.5</v>
      </c>
      <c r="F630" s="25">
        <v>-18.5</v>
      </c>
    </row>
    <row r="631" spans="1:6" x14ac:dyDescent="0.25">
      <c r="A631" s="8" t="s">
        <v>841</v>
      </c>
      <c r="B631" s="8" t="s">
        <v>356</v>
      </c>
      <c r="C631" s="8" t="s">
        <v>357</v>
      </c>
      <c r="D631" s="8" t="s">
        <v>843</v>
      </c>
      <c r="E631" s="25">
        <v>4070</v>
      </c>
      <c r="F631" s="25">
        <v>370</v>
      </c>
    </row>
    <row r="632" spans="1:6" x14ac:dyDescent="0.25">
      <c r="A632" s="8" t="s">
        <v>841</v>
      </c>
      <c r="B632" s="8" t="s">
        <v>356</v>
      </c>
      <c r="C632" s="8" t="s">
        <v>357</v>
      </c>
      <c r="D632" s="8" t="s">
        <v>844</v>
      </c>
      <c r="E632" s="25">
        <v>4070</v>
      </c>
      <c r="F632" s="25">
        <v>370</v>
      </c>
    </row>
    <row r="633" spans="1:6" x14ac:dyDescent="0.25">
      <c r="A633" s="8" t="s">
        <v>841</v>
      </c>
      <c r="B633" s="8" t="s">
        <v>347</v>
      </c>
      <c r="C633" s="8" t="s">
        <v>845</v>
      </c>
      <c r="D633" s="8" t="s">
        <v>846</v>
      </c>
      <c r="E633" s="25">
        <v>330</v>
      </c>
      <c r="F633" s="25">
        <v>30</v>
      </c>
    </row>
    <row r="634" spans="1:6" x14ac:dyDescent="0.25">
      <c r="A634" s="8" t="s">
        <v>841</v>
      </c>
      <c r="B634" s="8" t="s">
        <v>128</v>
      </c>
      <c r="C634" s="8" t="s">
        <v>845</v>
      </c>
      <c r="D634" s="8" t="s">
        <v>847</v>
      </c>
      <c r="E634" s="25">
        <v>173.25</v>
      </c>
      <c r="F634" s="25">
        <v>15.75</v>
      </c>
    </row>
    <row r="635" spans="1:6" x14ac:dyDescent="0.25">
      <c r="A635" s="8" t="s">
        <v>841</v>
      </c>
      <c r="B635" s="8" t="s">
        <v>356</v>
      </c>
      <c r="C635" s="8" t="s">
        <v>357</v>
      </c>
      <c r="D635" s="8" t="s">
        <v>848</v>
      </c>
      <c r="E635" s="25">
        <v>1221</v>
      </c>
      <c r="F635" s="25">
        <v>111</v>
      </c>
    </row>
    <row r="636" spans="1:6" x14ac:dyDescent="0.25">
      <c r="A636" s="8" t="s">
        <v>849</v>
      </c>
      <c r="B636" s="8" t="s">
        <v>356</v>
      </c>
      <c r="C636" s="8" t="s">
        <v>850</v>
      </c>
      <c r="D636" s="8" t="s">
        <v>851</v>
      </c>
      <c r="E636" s="25">
        <v>814</v>
      </c>
      <c r="F636" s="25">
        <v>74</v>
      </c>
    </row>
    <row r="637" spans="1:6" x14ac:dyDescent="0.25">
      <c r="A637" s="8" t="s">
        <v>849</v>
      </c>
      <c r="B637" s="8" t="s">
        <v>356</v>
      </c>
      <c r="C637" s="8" t="s">
        <v>852</v>
      </c>
      <c r="D637" s="8" t="s">
        <v>853</v>
      </c>
      <c r="E637" s="25">
        <v>508.75</v>
      </c>
      <c r="F637" s="25">
        <v>46.25</v>
      </c>
    </row>
    <row r="638" spans="1:6" x14ac:dyDescent="0.25">
      <c r="A638" s="8" t="s">
        <v>854</v>
      </c>
      <c r="B638" s="8" t="s">
        <v>356</v>
      </c>
      <c r="C638" s="8" t="s">
        <v>357</v>
      </c>
      <c r="D638" s="8" t="s">
        <v>855</v>
      </c>
      <c r="E638" s="25">
        <v>610.5</v>
      </c>
      <c r="F638" s="25">
        <v>55.5</v>
      </c>
    </row>
    <row r="639" spans="1:6" x14ac:dyDescent="0.25">
      <c r="A639" s="8" t="s">
        <v>856</v>
      </c>
      <c r="B639" s="8" t="s">
        <v>347</v>
      </c>
      <c r="C639" s="8" t="s">
        <v>357</v>
      </c>
      <c r="D639" s="8" t="s">
        <v>857</v>
      </c>
      <c r="E639" s="25">
        <v>874.5</v>
      </c>
      <c r="F639" s="25">
        <v>79.5</v>
      </c>
    </row>
    <row r="640" spans="1:6" x14ac:dyDescent="0.25">
      <c r="A640" s="8" t="s">
        <v>856</v>
      </c>
      <c r="B640" s="8" t="s">
        <v>132</v>
      </c>
      <c r="C640" s="8" t="s">
        <v>357</v>
      </c>
      <c r="D640" s="8" t="s">
        <v>858</v>
      </c>
      <c r="E640" s="25">
        <v>75.09</v>
      </c>
      <c r="F640" s="25">
        <v>6.83</v>
      </c>
    </row>
    <row r="641" spans="1:6" x14ac:dyDescent="0.25">
      <c r="A641" s="8" t="s">
        <v>859</v>
      </c>
      <c r="B641" s="8" t="s">
        <v>137</v>
      </c>
      <c r="C641" s="8" t="s">
        <v>860</v>
      </c>
      <c r="D641" s="8" t="s">
        <v>861</v>
      </c>
      <c r="E641" s="25">
        <v>187</v>
      </c>
      <c r="F641" s="25">
        <v>17</v>
      </c>
    </row>
    <row r="642" spans="1:6" x14ac:dyDescent="0.25">
      <c r="A642" s="8" t="s">
        <v>859</v>
      </c>
      <c r="B642" s="8" t="s">
        <v>137</v>
      </c>
      <c r="C642" s="8" t="s">
        <v>860</v>
      </c>
      <c r="D642" s="8" t="s">
        <v>861</v>
      </c>
      <c r="E642" s="25">
        <v>187</v>
      </c>
      <c r="F642" s="25">
        <v>17</v>
      </c>
    </row>
    <row r="643" spans="1:6" x14ac:dyDescent="0.25">
      <c r="A643" s="8" t="s">
        <v>862</v>
      </c>
      <c r="B643" s="8" t="s">
        <v>347</v>
      </c>
      <c r="C643" s="8" t="s">
        <v>863</v>
      </c>
      <c r="D643" s="8" t="s">
        <v>864</v>
      </c>
      <c r="E643" s="25">
        <v>110</v>
      </c>
      <c r="F643" s="25">
        <v>10</v>
      </c>
    </row>
    <row r="644" spans="1:6" x14ac:dyDescent="0.25">
      <c r="A644" s="8" t="s">
        <v>862</v>
      </c>
      <c r="B644" s="8" t="s">
        <v>128</v>
      </c>
      <c r="C644" s="8" t="s">
        <v>863</v>
      </c>
      <c r="D644" s="8" t="s">
        <v>865</v>
      </c>
      <c r="E644" s="25">
        <v>87.45</v>
      </c>
      <c r="F644" s="25">
        <v>7.95</v>
      </c>
    </row>
    <row r="645" spans="1:6" x14ac:dyDescent="0.25">
      <c r="A645" s="8" t="s">
        <v>862</v>
      </c>
      <c r="B645" s="8" t="s">
        <v>347</v>
      </c>
      <c r="C645" s="8" t="s">
        <v>866</v>
      </c>
      <c r="D645" s="8" t="s">
        <v>867</v>
      </c>
      <c r="E645" s="25">
        <v>220</v>
      </c>
      <c r="F645" s="25">
        <v>20</v>
      </c>
    </row>
    <row r="646" spans="1:6" x14ac:dyDescent="0.25">
      <c r="A646" s="8" t="s">
        <v>862</v>
      </c>
      <c r="B646" s="8" t="s">
        <v>128</v>
      </c>
      <c r="C646" s="8" t="s">
        <v>866</v>
      </c>
      <c r="D646" s="8" t="s">
        <v>868</v>
      </c>
      <c r="E646" s="25">
        <v>263.56</v>
      </c>
      <c r="F646" s="25">
        <v>23.96</v>
      </c>
    </row>
    <row r="647" spans="1:6" x14ac:dyDescent="0.25">
      <c r="A647" s="8" t="s">
        <v>869</v>
      </c>
      <c r="B647" s="8" t="s">
        <v>347</v>
      </c>
      <c r="C647" s="8" t="s">
        <v>870</v>
      </c>
      <c r="D647" s="8" t="s">
        <v>871</v>
      </c>
      <c r="E647" s="25">
        <v>4950</v>
      </c>
      <c r="F647" s="25">
        <v>450</v>
      </c>
    </row>
    <row r="648" spans="1:6" x14ac:dyDescent="0.25">
      <c r="A648" s="8" t="s">
        <v>869</v>
      </c>
      <c r="B648" s="8" t="s">
        <v>347</v>
      </c>
      <c r="C648" s="8" t="s">
        <v>870</v>
      </c>
      <c r="D648" s="8" t="s">
        <v>872</v>
      </c>
      <c r="E648" s="25">
        <v>874.5</v>
      </c>
      <c r="F648" s="25">
        <v>79.5</v>
      </c>
    </row>
    <row r="649" spans="1:6" x14ac:dyDescent="0.25">
      <c r="A649" s="8" t="s">
        <v>869</v>
      </c>
      <c r="B649" s="8" t="s">
        <v>347</v>
      </c>
      <c r="C649" s="8" t="s">
        <v>873</v>
      </c>
      <c r="D649" s="8" t="s">
        <v>874</v>
      </c>
      <c r="E649" s="25">
        <v>220</v>
      </c>
      <c r="F649" s="25">
        <v>20</v>
      </c>
    </row>
    <row r="650" spans="1:6" x14ac:dyDescent="0.25">
      <c r="A650" s="8" t="s">
        <v>869</v>
      </c>
      <c r="B650" s="8" t="s">
        <v>128</v>
      </c>
      <c r="C650" s="8" t="s">
        <v>873</v>
      </c>
      <c r="D650" s="8" t="s">
        <v>875</v>
      </c>
      <c r="E650" s="25">
        <v>220</v>
      </c>
      <c r="F650" s="25">
        <v>20</v>
      </c>
    </row>
    <row r="651" spans="1:6" x14ac:dyDescent="0.25">
      <c r="A651" s="8" t="s">
        <v>876</v>
      </c>
      <c r="B651" s="8" t="s">
        <v>356</v>
      </c>
      <c r="C651" s="8" t="s">
        <v>877</v>
      </c>
      <c r="D651" s="8" t="s">
        <v>878</v>
      </c>
      <c r="E651" s="25">
        <v>1221</v>
      </c>
      <c r="F651" s="25">
        <v>111</v>
      </c>
    </row>
    <row r="652" spans="1:6" x14ac:dyDescent="0.25">
      <c r="A652" s="8" t="s">
        <v>876</v>
      </c>
      <c r="B652" s="8" t="s">
        <v>128</v>
      </c>
      <c r="C652" s="8" t="s">
        <v>879</v>
      </c>
      <c r="D652" s="8" t="s">
        <v>880</v>
      </c>
      <c r="E652" s="25">
        <v>3531</v>
      </c>
      <c r="F652" s="25">
        <v>321</v>
      </c>
    </row>
    <row r="653" spans="1:6" x14ac:dyDescent="0.25">
      <c r="A653" s="8" t="s">
        <v>876</v>
      </c>
      <c r="B653" s="8" t="s">
        <v>128</v>
      </c>
      <c r="C653" s="8" t="s">
        <v>879</v>
      </c>
      <c r="D653" s="8" t="s">
        <v>881</v>
      </c>
      <c r="E653" s="25">
        <v>82.5</v>
      </c>
      <c r="F653" s="25">
        <v>7.5</v>
      </c>
    </row>
    <row r="654" spans="1:6" x14ac:dyDescent="0.25">
      <c r="A654" s="8" t="s">
        <v>882</v>
      </c>
      <c r="B654" s="8" t="s">
        <v>347</v>
      </c>
      <c r="C654" s="8" t="s">
        <v>883</v>
      </c>
      <c r="D654" s="8" t="s">
        <v>884</v>
      </c>
      <c r="E654" s="25">
        <v>1100</v>
      </c>
      <c r="F654" s="25">
        <v>100</v>
      </c>
    </row>
    <row r="655" spans="1:6" x14ac:dyDescent="0.25">
      <c r="A655" s="8" t="s">
        <v>882</v>
      </c>
      <c r="B655" s="8" t="s">
        <v>347</v>
      </c>
      <c r="C655" s="8" t="s">
        <v>883</v>
      </c>
      <c r="D655" s="8" t="s">
        <v>885</v>
      </c>
      <c r="E655" s="25">
        <v>544.5</v>
      </c>
      <c r="F655" s="25">
        <v>49.5</v>
      </c>
    </row>
    <row r="656" spans="1:6" x14ac:dyDescent="0.25">
      <c r="A656" s="8" t="s">
        <v>882</v>
      </c>
      <c r="B656" s="8" t="s">
        <v>132</v>
      </c>
      <c r="C656" s="8" t="s">
        <v>883</v>
      </c>
      <c r="D656" s="8" t="s">
        <v>886</v>
      </c>
      <c r="E656" s="25">
        <v>387.2</v>
      </c>
      <c r="F656" s="25">
        <v>35.200000000000003</v>
      </c>
    </row>
    <row r="657" spans="1:6" x14ac:dyDescent="0.25">
      <c r="A657" s="8" t="s">
        <v>882</v>
      </c>
      <c r="B657" s="8" t="s">
        <v>132</v>
      </c>
      <c r="C657" s="8" t="s">
        <v>883</v>
      </c>
      <c r="D657" s="8" t="s">
        <v>887</v>
      </c>
      <c r="E657" s="25">
        <v>330</v>
      </c>
      <c r="F657" s="25">
        <v>30</v>
      </c>
    </row>
    <row r="658" spans="1:6" x14ac:dyDescent="0.25">
      <c r="A658" s="8" t="s">
        <v>882</v>
      </c>
      <c r="B658" s="8" t="s">
        <v>347</v>
      </c>
      <c r="C658" s="8" t="s">
        <v>888</v>
      </c>
      <c r="D658" s="8" t="s">
        <v>889</v>
      </c>
      <c r="E658" s="25">
        <v>1100</v>
      </c>
      <c r="F658" s="25">
        <v>100</v>
      </c>
    </row>
    <row r="659" spans="1:6" x14ac:dyDescent="0.25">
      <c r="A659" s="8" t="s">
        <v>882</v>
      </c>
      <c r="B659" s="8" t="s">
        <v>347</v>
      </c>
      <c r="C659" s="8" t="s">
        <v>888</v>
      </c>
      <c r="D659" s="8" t="s">
        <v>890</v>
      </c>
      <c r="E659" s="25">
        <v>544.5</v>
      </c>
      <c r="F659" s="25">
        <v>49.5</v>
      </c>
    </row>
    <row r="660" spans="1:6" x14ac:dyDescent="0.25">
      <c r="A660" s="8" t="s">
        <v>882</v>
      </c>
      <c r="B660" s="8" t="s">
        <v>132</v>
      </c>
      <c r="C660" s="8" t="s">
        <v>888</v>
      </c>
      <c r="D660" s="8" t="s">
        <v>891</v>
      </c>
      <c r="E660" s="25">
        <v>483.95</v>
      </c>
      <c r="F660" s="25">
        <v>44</v>
      </c>
    </row>
    <row r="661" spans="1:6" x14ac:dyDescent="0.25">
      <c r="A661" s="8" t="s">
        <v>882</v>
      </c>
      <c r="B661" s="8" t="s">
        <v>132</v>
      </c>
      <c r="C661" s="8" t="s">
        <v>888</v>
      </c>
      <c r="D661" s="8" t="s">
        <v>892</v>
      </c>
      <c r="E661" s="25">
        <v>82.5</v>
      </c>
      <c r="F661" s="25">
        <v>7.5</v>
      </c>
    </row>
    <row r="662" spans="1:6" x14ac:dyDescent="0.25">
      <c r="A662" s="8" t="s">
        <v>882</v>
      </c>
      <c r="B662" s="8" t="s">
        <v>356</v>
      </c>
      <c r="C662" s="8" t="s">
        <v>357</v>
      </c>
      <c r="D662" s="8" t="s">
        <v>893</v>
      </c>
      <c r="E662" s="25">
        <v>2035</v>
      </c>
      <c r="F662" s="25">
        <v>185</v>
      </c>
    </row>
    <row r="663" spans="1:6" x14ac:dyDescent="0.25">
      <c r="A663" s="8" t="s">
        <v>882</v>
      </c>
      <c r="B663" s="8" t="s">
        <v>347</v>
      </c>
      <c r="C663" s="8" t="s">
        <v>894</v>
      </c>
      <c r="D663" s="8" t="s">
        <v>895</v>
      </c>
      <c r="E663" s="25">
        <v>1100</v>
      </c>
      <c r="F663" s="25">
        <v>100</v>
      </c>
    </row>
    <row r="664" spans="1:6" x14ac:dyDescent="0.25">
      <c r="A664" s="8" t="s">
        <v>882</v>
      </c>
      <c r="B664" s="8" t="s">
        <v>347</v>
      </c>
      <c r="C664" s="8" t="s">
        <v>894</v>
      </c>
      <c r="D664" s="8" t="s">
        <v>896</v>
      </c>
      <c r="E664" s="25">
        <v>544.5</v>
      </c>
      <c r="F664" s="25">
        <v>49.5</v>
      </c>
    </row>
    <row r="665" spans="1:6" x14ac:dyDescent="0.25">
      <c r="A665" s="8" t="s">
        <v>882</v>
      </c>
      <c r="B665" s="8" t="s">
        <v>132</v>
      </c>
      <c r="C665" s="8" t="s">
        <v>894</v>
      </c>
      <c r="D665" s="8" t="s">
        <v>897</v>
      </c>
      <c r="E665" s="25">
        <v>387.2</v>
      </c>
      <c r="F665" s="25">
        <v>35.200000000000003</v>
      </c>
    </row>
    <row r="666" spans="1:6" x14ac:dyDescent="0.25">
      <c r="A666" s="8" t="s">
        <v>882</v>
      </c>
      <c r="B666" s="8" t="s">
        <v>132</v>
      </c>
      <c r="C666" s="8" t="s">
        <v>894</v>
      </c>
      <c r="D666" s="8" t="s">
        <v>898</v>
      </c>
      <c r="E666" s="25">
        <v>330</v>
      </c>
      <c r="F666" s="25">
        <v>30</v>
      </c>
    </row>
    <row r="667" spans="1:6" x14ac:dyDescent="0.25">
      <c r="A667" s="8" t="s">
        <v>882</v>
      </c>
      <c r="B667" s="8" t="s">
        <v>128</v>
      </c>
      <c r="C667" s="8" t="s">
        <v>899</v>
      </c>
      <c r="D667" s="8" t="s">
        <v>900</v>
      </c>
      <c r="E667" s="25">
        <v>656.7</v>
      </c>
      <c r="F667" s="25">
        <v>59.7</v>
      </c>
    </row>
    <row r="668" spans="1:6" x14ac:dyDescent="0.25">
      <c r="A668" s="8" t="s">
        <v>882</v>
      </c>
      <c r="B668" s="8" t="s">
        <v>128</v>
      </c>
      <c r="C668" s="8" t="s">
        <v>899</v>
      </c>
      <c r="D668" s="8" t="s">
        <v>901</v>
      </c>
      <c r="E668" s="25">
        <v>656.7</v>
      </c>
      <c r="F668" s="25">
        <v>59.7</v>
      </c>
    </row>
    <row r="669" spans="1:6" x14ac:dyDescent="0.25">
      <c r="A669" s="8" t="s">
        <v>882</v>
      </c>
      <c r="B669" s="8" t="s">
        <v>128</v>
      </c>
      <c r="C669" s="8" t="s">
        <v>899</v>
      </c>
      <c r="D669" s="8" t="s">
        <v>902</v>
      </c>
      <c r="E669" s="25">
        <v>656.7</v>
      </c>
      <c r="F669" s="25">
        <v>59.7</v>
      </c>
    </row>
    <row r="670" spans="1:6" x14ac:dyDescent="0.25">
      <c r="A670" s="8" t="s">
        <v>882</v>
      </c>
      <c r="B670" s="8" t="s">
        <v>128</v>
      </c>
      <c r="C670" s="8" t="s">
        <v>899</v>
      </c>
      <c r="D670" s="8" t="s">
        <v>903</v>
      </c>
      <c r="E670" s="25">
        <v>656.7</v>
      </c>
      <c r="F670" s="25">
        <v>59.7</v>
      </c>
    </row>
    <row r="672" spans="1:6" x14ac:dyDescent="0.25">
      <c r="A672" s="220" t="s">
        <v>904</v>
      </c>
    </row>
    <row r="673" spans="1:6" x14ac:dyDescent="0.25">
      <c r="A673" s="8" t="s">
        <v>905</v>
      </c>
      <c r="B673" s="8" t="s">
        <v>174</v>
      </c>
      <c r="C673" s="8" t="s">
        <v>906</v>
      </c>
      <c r="D673" s="8" t="s">
        <v>907</v>
      </c>
      <c r="E673" s="25">
        <v>-330</v>
      </c>
      <c r="F673" s="25">
        <v>-30</v>
      </c>
    </row>
    <row r="674" spans="1:6" x14ac:dyDescent="0.25">
      <c r="A674" s="8" t="s">
        <v>905</v>
      </c>
      <c r="B674" s="8" t="s">
        <v>174</v>
      </c>
      <c r="C674" s="8" t="s">
        <v>906</v>
      </c>
      <c r="D674" s="8" t="s">
        <v>489</v>
      </c>
      <c r="E674" s="25">
        <v>330</v>
      </c>
      <c r="F674" s="25">
        <v>30</v>
      </c>
    </row>
    <row r="675" spans="1:6" x14ac:dyDescent="0.25">
      <c r="A675" s="8" t="s">
        <v>905</v>
      </c>
      <c r="B675" s="8" t="s">
        <v>128</v>
      </c>
      <c r="C675" s="8" t="s">
        <v>906</v>
      </c>
      <c r="D675" s="8" t="s">
        <v>908</v>
      </c>
      <c r="E675" s="25">
        <v>-330</v>
      </c>
      <c r="F675" s="25">
        <v>-30</v>
      </c>
    </row>
    <row r="676" spans="1:6" x14ac:dyDescent="0.25">
      <c r="A676" s="8" t="s">
        <v>909</v>
      </c>
      <c r="B676" s="8" t="s">
        <v>128</v>
      </c>
      <c r="C676" s="8" t="s">
        <v>910</v>
      </c>
      <c r="D676" s="8" t="s">
        <v>911</v>
      </c>
      <c r="E676" s="25">
        <v>-3069</v>
      </c>
      <c r="F676" s="25">
        <v>-279</v>
      </c>
    </row>
    <row r="677" spans="1:6" x14ac:dyDescent="0.25">
      <c r="A677" s="8" t="s">
        <v>909</v>
      </c>
      <c r="B677" s="8" t="s">
        <v>128</v>
      </c>
      <c r="C677" s="8" t="s">
        <v>910</v>
      </c>
      <c r="D677" s="8" t="s">
        <v>912</v>
      </c>
      <c r="E677" s="25">
        <v>-330</v>
      </c>
      <c r="F677" s="25">
        <v>-30</v>
      </c>
    </row>
    <row r="678" spans="1:6" x14ac:dyDescent="0.25">
      <c r="A678" s="8" t="s">
        <v>909</v>
      </c>
      <c r="B678" s="8" t="s">
        <v>128</v>
      </c>
      <c r="C678" s="8" t="s">
        <v>910</v>
      </c>
      <c r="D678" s="8" t="s">
        <v>913</v>
      </c>
      <c r="E678" s="25">
        <v>3069</v>
      </c>
      <c r="F678" s="25">
        <v>279</v>
      </c>
    </row>
    <row r="679" spans="1:6" x14ac:dyDescent="0.25">
      <c r="A679" s="8" t="s">
        <v>909</v>
      </c>
      <c r="B679" s="8" t="s">
        <v>128</v>
      </c>
      <c r="C679" s="8" t="s">
        <v>910</v>
      </c>
      <c r="D679" s="8" t="s">
        <v>914</v>
      </c>
      <c r="E679" s="25">
        <v>82.5</v>
      </c>
      <c r="F679" s="25">
        <v>7.5</v>
      </c>
    </row>
    <row r="680" spans="1:6" x14ac:dyDescent="0.25">
      <c r="A680" s="8" t="s">
        <v>909</v>
      </c>
      <c r="B680" s="8" t="s">
        <v>128</v>
      </c>
      <c r="C680" s="8" t="s">
        <v>910</v>
      </c>
      <c r="D680" s="8" t="s">
        <v>915</v>
      </c>
      <c r="E680" s="25">
        <v>-1039.5</v>
      </c>
      <c r="F680" s="25">
        <v>-94.5</v>
      </c>
    </row>
    <row r="682" spans="1:6" x14ac:dyDescent="0.25">
      <c r="A682" s="220" t="s">
        <v>917</v>
      </c>
    </row>
    <row r="683" spans="1:6" x14ac:dyDescent="0.25">
      <c r="A683" s="8" t="s">
        <v>127</v>
      </c>
      <c r="B683" s="8" t="s">
        <v>132</v>
      </c>
      <c r="C683" s="8" t="s">
        <v>918</v>
      </c>
      <c r="D683" s="8" t="s">
        <v>919</v>
      </c>
      <c r="E683" s="25">
        <v>292.5</v>
      </c>
      <c r="F683" s="25">
        <v>0</v>
      </c>
    </row>
    <row r="684" spans="1:6" x14ac:dyDescent="0.25">
      <c r="A684" s="8" t="s">
        <v>127</v>
      </c>
      <c r="B684" s="8" t="s">
        <v>132</v>
      </c>
      <c r="C684" s="8" t="s">
        <v>918</v>
      </c>
      <c r="D684" s="8" t="s">
        <v>920</v>
      </c>
      <c r="E684" s="25">
        <v>25</v>
      </c>
      <c r="F684" s="25">
        <v>0</v>
      </c>
    </row>
    <row r="685" spans="1:6" x14ac:dyDescent="0.25">
      <c r="A685" s="8" t="s">
        <v>127</v>
      </c>
      <c r="B685" s="8" t="s">
        <v>132</v>
      </c>
      <c r="C685" s="8" t="s">
        <v>918</v>
      </c>
      <c r="D685" s="8" t="s">
        <v>921</v>
      </c>
      <c r="E685" s="25">
        <v>25</v>
      </c>
      <c r="F685" s="25">
        <v>0</v>
      </c>
    </row>
    <row r="686" spans="1:6" x14ac:dyDescent="0.25">
      <c r="A686" s="8" t="s">
        <v>922</v>
      </c>
      <c r="B686" s="8" t="s">
        <v>923</v>
      </c>
      <c r="C686" s="8" t="s">
        <v>70</v>
      </c>
      <c r="D686" s="8" t="s">
        <v>924</v>
      </c>
      <c r="E686" s="25">
        <v>1.59</v>
      </c>
      <c r="F686" s="25">
        <v>0</v>
      </c>
    </row>
    <row r="687" spans="1:6" x14ac:dyDescent="0.25">
      <c r="A687" s="8" t="s">
        <v>402</v>
      </c>
      <c r="B687" s="8" t="s">
        <v>132</v>
      </c>
      <c r="C687" s="8" t="s">
        <v>925</v>
      </c>
      <c r="D687" s="8" t="s">
        <v>919</v>
      </c>
      <c r="E687" s="25">
        <v>292.5</v>
      </c>
      <c r="F687" s="25">
        <v>0</v>
      </c>
    </row>
    <row r="688" spans="1:6" x14ac:dyDescent="0.25">
      <c r="A688" s="8" t="s">
        <v>402</v>
      </c>
      <c r="B688" s="8" t="s">
        <v>132</v>
      </c>
      <c r="C688" s="8" t="s">
        <v>925</v>
      </c>
      <c r="D688" s="8" t="s">
        <v>920</v>
      </c>
      <c r="E688" s="25">
        <v>25</v>
      </c>
      <c r="F688" s="25">
        <v>0</v>
      </c>
    </row>
    <row r="689" spans="1:6" x14ac:dyDescent="0.25">
      <c r="A689" s="8" t="s">
        <v>402</v>
      </c>
      <c r="B689" s="8" t="s">
        <v>132</v>
      </c>
      <c r="C689" s="8" t="s">
        <v>925</v>
      </c>
      <c r="D689" s="8" t="s">
        <v>921</v>
      </c>
      <c r="E689" s="25">
        <v>25</v>
      </c>
      <c r="F689" s="25">
        <v>0</v>
      </c>
    </row>
    <row r="690" spans="1:6" x14ac:dyDescent="0.25">
      <c r="A690" s="8" t="s">
        <v>695</v>
      </c>
      <c r="B690" s="8" t="s">
        <v>923</v>
      </c>
      <c r="C690" s="8" t="s">
        <v>70</v>
      </c>
      <c r="D690" s="8" t="s">
        <v>924</v>
      </c>
      <c r="E690" s="25">
        <v>1.93</v>
      </c>
      <c r="F690" s="25">
        <v>0</v>
      </c>
    </row>
    <row r="691" spans="1:6" x14ac:dyDescent="0.25">
      <c r="A691" s="8" t="s">
        <v>715</v>
      </c>
      <c r="B691" s="8" t="s">
        <v>132</v>
      </c>
      <c r="C691" s="8" t="s">
        <v>926</v>
      </c>
      <c r="D691" s="8" t="s">
        <v>919</v>
      </c>
      <c r="E691" s="25">
        <v>292.5</v>
      </c>
      <c r="F691" s="25">
        <v>0</v>
      </c>
    </row>
    <row r="692" spans="1:6" x14ac:dyDescent="0.25">
      <c r="A692" s="8" t="s">
        <v>715</v>
      </c>
      <c r="B692" s="8" t="s">
        <v>132</v>
      </c>
      <c r="C692" s="8" t="s">
        <v>926</v>
      </c>
      <c r="D692" s="8" t="s">
        <v>920</v>
      </c>
      <c r="E692" s="25">
        <v>25</v>
      </c>
      <c r="F692" s="25">
        <v>0</v>
      </c>
    </row>
    <row r="693" spans="1:6" x14ac:dyDescent="0.25">
      <c r="A693" s="8" t="s">
        <v>715</v>
      </c>
      <c r="B693" s="8" t="s">
        <v>132</v>
      </c>
      <c r="C693" s="8" t="s">
        <v>926</v>
      </c>
      <c r="D693" s="8" t="s">
        <v>921</v>
      </c>
      <c r="E693" s="25">
        <v>25</v>
      </c>
      <c r="F693" s="25">
        <v>0</v>
      </c>
    </row>
    <row r="694" spans="1:6" x14ac:dyDescent="0.25">
      <c r="A694" s="8" t="s">
        <v>882</v>
      </c>
      <c r="B694" s="8" t="s">
        <v>923</v>
      </c>
      <c r="C694" s="8" t="s">
        <v>70</v>
      </c>
      <c r="D694" s="8" t="s">
        <v>924</v>
      </c>
      <c r="E694" s="25">
        <v>2.71</v>
      </c>
      <c r="F694" s="25">
        <v>0</v>
      </c>
    </row>
    <row r="695" spans="1:6" x14ac:dyDescent="0.25">
      <c r="A695" s="222" t="s">
        <v>882</v>
      </c>
      <c r="B695" s="222" t="s">
        <v>923</v>
      </c>
      <c r="C695" s="222" t="s">
        <v>70</v>
      </c>
      <c r="D695" s="222" t="s">
        <v>927</v>
      </c>
      <c r="E695" s="223">
        <v>2.19</v>
      </c>
      <c r="F695" s="223">
        <v>0</v>
      </c>
    </row>
    <row r="697" spans="1:6" ht="13" x14ac:dyDescent="0.3">
      <c r="A697" s="221" t="s">
        <v>1633</v>
      </c>
      <c r="B697" s="11"/>
      <c r="C697" s="11"/>
      <c r="D697" s="11"/>
      <c r="E697" s="11"/>
      <c r="F697" s="117">
        <v>40343</v>
      </c>
    </row>
    <row r="698" spans="1:6" x14ac:dyDescent="0.25">
      <c r="A698" s="220" t="s">
        <v>126</v>
      </c>
    </row>
    <row r="699" spans="1:6" x14ac:dyDescent="0.25">
      <c r="A699" s="8" t="s">
        <v>127</v>
      </c>
      <c r="B699" s="8" t="s">
        <v>128</v>
      </c>
      <c r="C699" s="8" t="s">
        <v>129</v>
      </c>
      <c r="D699" s="8" t="s">
        <v>130</v>
      </c>
      <c r="E699" s="25">
        <v>3092.1</v>
      </c>
      <c r="F699" s="25">
        <v>281.10000000000002</v>
      </c>
    </row>
    <row r="700" spans="1:6" x14ac:dyDescent="0.25">
      <c r="A700" s="8" t="s">
        <v>127</v>
      </c>
      <c r="B700" s="8" t="s">
        <v>132</v>
      </c>
      <c r="C700" s="8" t="s">
        <v>133</v>
      </c>
      <c r="D700" s="8" t="s">
        <v>134</v>
      </c>
      <c r="E700" s="25">
        <v>49.5</v>
      </c>
      <c r="F700" s="25">
        <v>4.5</v>
      </c>
    </row>
    <row r="701" spans="1:6" x14ac:dyDescent="0.25">
      <c r="A701" s="8" t="s">
        <v>127</v>
      </c>
      <c r="B701" s="8" t="s">
        <v>132</v>
      </c>
      <c r="C701" s="8" t="s">
        <v>133</v>
      </c>
      <c r="D701" s="8" t="s">
        <v>136</v>
      </c>
      <c r="E701" s="25">
        <v>27.5</v>
      </c>
      <c r="F701" s="25">
        <v>2.5</v>
      </c>
    </row>
    <row r="702" spans="1:6" x14ac:dyDescent="0.25">
      <c r="A702" s="8" t="s">
        <v>127</v>
      </c>
      <c r="B702" s="8" t="s">
        <v>137</v>
      </c>
      <c r="C702" s="8" t="s">
        <v>133</v>
      </c>
      <c r="D702" s="8" t="s">
        <v>138</v>
      </c>
      <c r="E702" s="25">
        <v>1.93</v>
      </c>
      <c r="F702" s="25">
        <v>0.18</v>
      </c>
    </row>
    <row r="703" spans="1:6" x14ac:dyDescent="0.25">
      <c r="A703" s="8" t="s">
        <v>127</v>
      </c>
      <c r="B703" s="8" t="s">
        <v>128</v>
      </c>
      <c r="C703" s="8" t="s">
        <v>139</v>
      </c>
      <c r="D703" s="8" t="s">
        <v>140</v>
      </c>
      <c r="E703" s="25">
        <v>1980</v>
      </c>
      <c r="F703" s="25">
        <v>180</v>
      </c>
    </row>
    <row r="704" spans="1:6" x14ac:dyDescent="0.25">
      <c r="A704" s="8" t="s">
        <v>127</v>
      </c>
      <c r="B704" s="8" t="s">
        <v>128</v>
      </c>
      <c r="C704" s="8" t="s">
        <v>141</v>
      </c>
      <c r="D704" s="8" t="s">
        <v>142</v>
      </c>
      <c r="E704" s="25">
        <v>3135</v>
      </c>
      <c r="F704" s="25">
        <v>285</v>
      </c>
    </row>
    <row r="705" spans="1:6" x14ac:dyDescent="0.25">
      <c r="A705" s="8" t="s">
        <v>127</v>
      </c>
      <c r="B705" s="8" t="s">
        <v>128</v>
      </c>
      <c r="C705" s="8" t="s">
        <v>141</v>
      </c>
      <c r="D705" s="8" t="s">
        <v>143</v>
      </c>
      <c r="E705" s="25">
        <v>935</v>
      </c>
      <c r="F705" s="25">
        <v>85</v>
      </c>
    </row>
    <row r="706" spans="1:6" x14ac:dyDescent="0.25">
      <c r="A706" s="8" t="s">
        <v>127</v>
      </c>
      <c r="B706" s="8" t="s">
        <v>128</v>
      </c>
      <c r="C706" s="8" t="s">
        <v>141</v>
      </c>
      <c r="D706" s="8" t="s">
        <v>145</v>
      </c>
      <c r="E706" s="25">
        <v>93.5</v>
      </c>
      <c r="F706" s="25">
        <v>8.5</v>
      </c>
    </row>
    <row r="707" spans="1:6" x14ac:dyDescent="0.25">
      <c r="A707" s="8" t="s">
        <v>127</v>
      </c>
      <c r="B707" s="8" t="s">
        <v>132</v>
      </c>
      <c r="C707" s="8" t="s">
        <v>147</v>
      </c>
      <c r="D707" s="8" t="s">
        <v>148</v>
      </c>
      <c r="E707" s="25">
        <v>297</v>
      </c>
      <c r="F707" s="25">
        <v>27</v>
      </c>
    </row>
    <row r="708" spans="1:6" x14ac:dyDescent="0.25">
      <c r="A708" s="8" t="s">
        <v>127</v>
      </c>
      <c r="B708" s="8" t="s">
        <v>132</v>
      </c>
      <c r="C708" s="8" t="s">
        <v>147</v>
      </c>
      <c r="D708" s="8" t="s">
        <v>149</v>
      </c>
      <c r="E708" s="25">
        <v>49.5</v>
      </c>
      <c r="F708" s="25">
        <v>4.5</v>
      </c>
    </row>
    <row r="709" spans="1:6" x14ac:dyDescent="0.25">
      <c r="A709" s="8" t="s">
        <v>127</v>
      </c>
      <c r="B709" s="8" t="s">
        <v>132</v>
      </c>
      <c r="C709" s="8" t="s">
        <v>147</v>
      </c>
      <c r="D709" s="8" t="s">
        <v>150</v>
      </c>
      <c r="E709" s="25">
        <v>304.92</v>
      </c>
      <c r="F709" s="25">
        <v>27.72</v>
      </c>
    </row>
    <row r="710" spans="1:6" x14ac:dyDescent="0.25">
      <c r="A710" s="8" t="s">
        <v>127</v>
      </c>
      <c r="B710" s="8" t="s">
        <v>128</v>
      </c>
      <c r="C710" s="8" t="s">
        <v>151</v>
      </c>
      <c r="D710" s="8" t="s">
        <v>152</v>
      </c>
      <c r="E710" s="25">
        <v>627</v>
      </c>
      <c r="F710" s="25">
        <v>57</v>
      </c>
    </row>
    <row r="711" spans="1:6" x14ac:dyDescent="0.25">
      <c r="A711" s="8" t="s">
        <v>127</v>
      </c>
      <c r="B711" s="8" t="s">
        <v>128</v>
      </c>
      <c r="C711" s="8" t="s">
        <v>151</v>
      </c>
      <c r="D711" s="8" t="s">
        <v>153</v>
      </c>
      <c r="E711" s="25">
        <v>27.5</v>
      </c>
      <c r="F711" s="25">
        <v>2.5</v>
      </c>
    </row>
    <row r="712" spans="1:6" x14ac:dyDescent="0.25">
      <c r="A712" s="8" t="s">
        <v>127</v>
      </c>
      <c r="B712" s="8" t="s">
        <v>128</v>
      </c>
      <c r="C712" s="8" t="s">
        <v>151</v>
      </c>
      <c r="D712" s="8" t="s">
        <v>154</v>
      </c>
      <c r="E712" s="25">
        <v>49.5</v>
      </c>
      <c r="F712" s="25">
        <v>4.5</v>
      </c>
    </row>
    <row r="713" spans="1:6" x14ac:dyDescent="0.25">
      <c r="A713" s="8" t="s">
        <v>127</v>
      </c>
      <c r="B713" s="8" t="s">
        <v>132</v>
      </c>
      <c r="C713" s="8" t="s">
        <v>147</v>
      </c>
      <c r="D713" s="8" t="s">
        <v>155</v>
      </c>
      <c r="E713" s="25">
        <v>27.5</v>
      </c>
      <c r="F713" s="25">
        <v>2.5</v>
      </c>
    </row>
    <row r="714" spans="1:6" x14ac:dyDescent="0.25">
      <c r="A714" s="8" t="s">
        <v>127</v>
      </c>
      <c r="B714" s="8" t="s">
        <v>132</v>
      </c>
      <c r="C714" s="8" t="s">
        <v>147</v>
      </c>
      <c r="D714" s="8" t="s">
        <v>156</v>
      </c>
      <c r="E714" s="25">
        <v>27.5</v>
      </c>
      <c r="F714" s="25">
        <v>2.5</v>
      </c>
    </row>
    <row r="715" spans="1:6" x14ac:dyDescent="0.25">
      <c r="A715" s="8" t="s">
        <v>127</v>
      </c>
      <c r="B715" s="8" t="s">
        <v>132</v>
      </c>
      <c r="C715" s="8" t="s">
        <v>147</v>
      </c>
      <c r="D715" s="8" t="s">
        <v>157</v>
      </c>
      <c r="E715" s="25">
        <v>49.5</v>
      </c>
      <c r="F715" s="25">
        <v>4.5</v>
      </c>
    </row>
    <row r="716" spans="1:6" x14ac:dyDescent="0.25">
      <c r="A716" s="8" t="s">
        <v>127</v>
      </c>
      <c r="B716" s="8" t="s">
        <v>137</v>
      </c>
      <c r="C716" s="8" t="s">
        <v>147</v>
      </c>
      <c r="D716" s="8" t="s">
        <v>158</v>
      </c>
      <c r="E716" s="25">
        <v>18.899999999999999</v>
      </c>
      <c r="F716" s="25">
        <v>1.72</v>
      </c>
    </row>
    <row r="717" spans="1:6" x14ac:dyDescent="0.25">
      <c r="A717" s="8" t="s">
        <v>127</v>
      </c>
      <c r="B717" s="8" t="s">
        <v>128</v>
      </c>
      <c r="C717" s="8" t="s">
        <v>151</v>
      </c>
      <c r="D717" s="8" t="s">
        <v>159</v>
      </c>
      <c r="E717" s="25">
        <v>328.9</v>
      </c>
      <c r="F717" s="25">
        <v>29.9</v>
      </c>
    </row>
    <row r="718" spans="1:6" x14ac:dyDescent="0.25">
      <c r="A718" s="8" t="s">
        <v>127</v>
      </c>
      <c r="B718" s="8" t="s">
        <v>137</v>
      </c>
      <c r="C718" s="8" t="s">
        <v>151</v>
      </c>
      <c r="D718" s="8" t="s">
        <v>160</v>
      </c>
      <c r="E718" s="25">
        <v>8.23</v>
      </c>
      <c r="F718" s="25">
        <v>0.75</v>
      </c>
    </row>
    <row r="719" spans="1:6" x14ac:dyDescent="0.25">
      <c r="A719" s="8" t="s">
        <v>127</v>
      </c>
      <c r="B719" s="8" t="s">
        <v>128</v>
      </c>
      <c r="C719" s="8" t="s">
        <v>161</v>
      </c>
      <c r="D719" s="8" t="s">
        <v>162</v>
      </c>
      <c r="E719" s="25">
        <v>218.9</v>
      </c>
      <c r="F719" s="25">
        <v>19.899999999999999</v>
      </c>
    </row>
    <row r="720" spans="1:6" x14ac:dyDescent="0.25">
      <c r="A720" s="8" t="s">
        <v>127</v>
      </c>
      <c r="B720" s="8" t="s">
        <v>128</v>
      </c>
      <c r="C720" s="8" t="s">
        <v>163</v>
      </c>
      <c r="D720" s="8" t="s">
        <v>164</v>
      </c>
      <c r="E720" s="25">
        <v>2310</v>
      </c>
      <c r="F720" s="25">
        <v>210</v>
      </c>
    </row>
    <row r="721" spans="1:6" x14ac:dyDescent="0.25">
      <c r="A721" s="8" t="s">
        <v>127</v>
      </c>
      <c r="B721" s="8" t="s">
        <v>128</v>
      </c>
      <c r="C721" s="8" t="s">
        <v>163</v>
      </c>
      <c r="D721" s="8" t="s">
        <v>165</v>
      </c>
      <c r="E721" s="25">
        <v>82.5</v>
      </c>
      <c r="F721" s="25">
        <v>7.5</v>
      </c>
    </row>
    <row r="722" spans="1:6" x14ac:dyDescent="0.25">
      <c r="A722" s="8" t="s">
        <v>127</v>
      </c>
      <c r="B722" s="8" t="s">
        <v>128</v>
      </c>
      <c r="C722" s="8" t="s">
        <v>166</v>
      </c>
      <c r="D722" s="8" t="s">
        <v>167</v>
      </c>
      <c r="E722" s="25">
        <v>1287</v>
      </c>
      <c r="F722" s="25">
        <v>117</v>
      </c>
    </row>
    <row r="723" spans="1:6" x14ac:dyDescent="0.25">
      <c r="A723" s="8" t="s">
        <v>127</v>
      </c>
      <c r="B723" s="8" t="s">
        <v>128</v>
      </c>
      <c r="C723" s="8" t="s">
        <v>166</v>
      </c>
      <c r="D723" s="8" t="s">
        <v>168</v>
      </c>
      <c r="E723" s="25">
        <v>-297</v>
      </c>
      <c r="F723" s="25">
        <v>-27</v>
      </c>
    </row>
    <row r="724" spans="1:6" x14ac:dyDescent="0.25">
      <c r="A724" s="8" t="s">
        <v>127</v>
      </c>
      <c r="B724" s="8" t="s">
        <v>128</v>
      </c>
      <c r="C724" s="8" t="s">
        <v>169</v>
      </c>
      <c r="D724" s="8" t="s">
        <v>170</v>
      </c>
      <c r="E724" s="25">
        <v>3907.2</v>
      </c>
      <c r="F724" s="25">
        <v>355.2</v>
      </c>
    </row>
    <row r="725" spans="1:6" x14ac:dyDescent="0.25">
      <c r="A725" s="8" t="s">
        <v>127</v>
      </c>
      <c r="B725" s="8" t="s">
        <v>128</v>
      </c>
      <c r="C725" s="8" t="s">
        <v>169</v>
      </c>
      <c r="D725" s="8" t="s">
        <v>171</v>
      </c>
      <c r="E725" s="25">
        <v>148.5</v>
      </c>
      <c r="F725" s="25">
        <v>13.5</v>
      </c>
    </row>
    <row r="726" spans="1:6" x14ac:dyDescent="0.25">
      <c r="A726" s="8" t="s">
        <v>127</v>
      </c>
      <c r="B726" s="8" t="s">
        <v>128</v>
      </c>
      <c r="C726" s="8" t="s">
        <v>166</v>
      </c>
      <c r="D726" s="8" t="s">
        <v>172</v>
      </c>
      <c r="E726" s="25">
        <v>5431.25</v>
      </c>
      <c r="F726" s="25">
        <v>493.75</v>
      </c>
    </row>
    <row r="727" spans="1:6" x14ac:dyDescent="0.25">
      <c r="A727" s="8" t="s">
        <v>127</v>
      </c>
      <c r="B727" s="8" t="s">
        <v>128</v>
      </c>
      <c r="C727" s="8" t="s">
        <v>166</v>
      </c>
      <c r="D727" s="8" t="s">
        <v>173</v>
      </c>
      <c r="E727" s="25">
        <v>1650</v>
      </c>
      <c r="F727" s="25">
        <v>150</v>
      </c>
    </row>
    <row r="728" spans="1:6" x14ac:dyDescent="0.25">
      <c r="A728" s="8" t="s">
        <v>127</v>
      </c>
      <c r="B728" s="8" t="s">
        <v>174</v>
      </c>
      <c r="C728" s="8" t="s">
        <v>175</v>
      </c>
      <c r="D728" s="8" t="s">
        <v>176</v>
      </c>
      <c r="E728" s="25">
        <v>330</v>
      </c>
      <c r="F728" s="25">
        <v>30</v>
      </c>
    </row>
    <row r="729" spans="1:6" x14ac:dyDescent="0.25">
      <c r="A729" s="8" t="s">
        <v>127</v>
      </c>
      <c r="B729" s="8" t="s">
        <v>174</v>
      </c>
      <c r="C729" s="8" t="s">
        <v>175</v>
      </c>
      <c r="D729" s="8" t="s">
        <v>177</v>
      </c>
      <c r="E729" s="25">
        <v>27.5</v>
      </c>
      <c r="F729" s="25">
        <v>2.5</v>
      </c>
    </row>
    <row r="730" spans="1:6" x14ac:dyDescent="0.25">
      <c r="A730" s="8" t="s">
        <v>127</v>
      </c>
      <c r="B730" s="8" t="s">
        <v>128</v>
      </c>
      <c r="C730" s="8" t="s">
        <v>178</v>
      </c>
      <c r="D730" s="8" t="s">
        <v>179</v>
      </c>
      <c r="E730" s="25">
        <v>412.5</v>
      </c>
      <c r="F730" s="25">
        <v>37.5</v>
      </c>
    </row>
    <row r="731" spans="1:6" x14ac:dyDescent="0.25">
      <c r="A731" s="8" t="s">
        <v>127</v>
      </c>
      <c r="B731" s="8" t="s">
        <v>132</v>
      </c>
      <c r="C731" s="8" t="s">
        <v>180</v>
      </c>
      <c r="D731" s="8" t="s">
        <v>181</v>
      </c>
      <c r="E731" s="25">
        <v>148.5</v>
      </c>
      <c r="F731" s="25">
        <v>13.5</v>
      </c>
    </row>
    <row r="732" spans="1:6" x14ac:dyDescent="0.25">
      <c r="A732" s="8" t="s">
        <v>127</v>
      </c>
      <c r="B732" s="8" t="s">
        <v>137</v>
      </c>
      <c r="C732" s="8" t="s">
        <v>180</v>
      </c>
      <c r="D732" s="8" t="s">
        <v>182</v>
      </c>
      <c r="E732" s="25">
        <v>4.95</v>
      </c>
      <c r="F732" s="25">
        <v>0.45</v>
      </c>
    </row>
    <row r="733" spans="1:6" x14ac:dyDescent="0.25">
      <c r="A733" s="8" t="s">
        <v>127</v>
      </c>
      <c r="B733" s="8" t="s">
        <v>128</v>
      </c>
      <c r="C733" s="8" t="s">
        <v>151</v>
      </c>
      <c r="D733" s="8" t="s">
        <v>183</v>
      </c>
      <c r="E733" s="25">
        <v>330</v>
      </c>
      <c r="F733" s="25">
        <v>30</v>
      </c>
    </row>
    <row r="734" spans="1:6" x14ac:dyDescent="0.25">
      <c r="A734" s="8" t="s">
        <v>127</v>
      </c>
      <c r="B734" s="8" t="s">
        <v>174</v>
      </c>
      <c r="C734" s="8" t="s">
        <v>184</v>
      </c>
      <c r="D734" s="8" t="s">
        <v>185</v>
      </c>
      <c r="E734" s="25">
        <v>220</v>
      </c>
      <c r="F734" s="25">
        <v>20</v>
      </c>
    </row>
    <row r="735" spans="1:6" x14ac:dyDescent="0.25">
      <c r="A735" s="8" t="s">
        <v>127</v>
      </c>
      <c r="B735" s="8" t="s">
        <v>128</v>
      </c>
      <c r="C735" s="8" t="s">
        <v>178</v>
      </c>
      <c r="D735" s="8" t="s">
        <v>186</v>
      </c>
      <c r="E735" s="25">
        <v>3960</v>
      </c>
      <c r="F735" s="25">
        <v>360</v>
      </c>
    </row>
    <row r="736" spans="1:6" x14ac:dyDescent="0.25">
      <c r="A736" s="8" t="s">
        <v>127</v>
      </c>
      <c r="B736" s="8" t="s">
        <v>128</v>
      </c>
      <c r="C736" s="8" t="s">
        <v>178</v>
      </c>
      <c r="D736" s="8" t="s">
        <v>187</v>
      </c>
      <c r="E736" s="25">
        <v>1980</v>
      </c>
      <c r="F736" s="25">
        <v>180</v>
      </c>
    </row>
    <row r="737" spans="1:6" x14ac:dyDescent="0.25">
      <c r="A737" s="8" t="s">
        <v>127</v>
      </c>
      <c r="B737" s="8" t="s">
        <v>128</v>
      </c>
      <c r="C737" s="8" t="s">
        <v>178</v>
      </c>
      <c r="D737" s="8" t="s">
        <v>188</v>
      </c>
      <c r="E737" s="25">
        <v>82.5</v>
      </c>
      <c r="F737" s="25">
        <v>7.5</v>
      </c>
    </row>
    <row r="738" spans="1:6" x14ac:dyDescent="0.25">
      <c r="A738" s="8" t="s">
        <v>127</v>
      </c>
      <c r="B738" s="8" t="s">
        <v>128</v>
      </c>
      <c r="C738" s="8" t="s">
        <v>178</v>
      </c>
      <c r="D738" s="8" t="s">
        <v>189</v>
      </c>
      <c r="E738" s="25">
        <v>330</v>
      </c>
      <c r="F738" s="25">
        <v>30</v>
      </c>
    </row>
    <row r="739" spans="1:6" x14ac:dyDescent="0.25">
      <c r="A739" s="8" t="s">
        <v>127</v>
      </c>
      <c r="B739" s="8" t="s">
        <v>128</v>
      </c>
      <c r="C739" s="8" t="s">
        <v>178</v>
      </c>
      <c r="D739" s="8" t="s">
        <v>190</v>
      </c>
      <c r="E739" s="25">
        <v>742.5</v>
      </c>
      <c r="F739" s="25">
        <v>67.5</v>
      </c>
    </row>
    <row r="740" spans="1:6" x14ac:dyDescent="0.25">
      <c r="A740" s="8" t="s">
        <v>127</v>
      </c>
      <c r="B740" s="8" t="s">
        <v>128</v>
      </c>
      <c r="C740" s="8" t="s">
        <v>178</v>
      </c>
      <c r="D740" s="8" t="s">
        <v>191</v>
      </c>
      <c r="E740" s="25">
        <v>660</v>
      </c>
      <c r="F740" s="25">
        <v>60</v>
      </c>
    </row>
    <row r="741" spans="1:6" x14ac:dyDescent="0.25">
      <c r="A741" s="8" t="s">
        <v>127</v>
      </c>
      <c r="B741" s="8" t="s">
        <v>128</v>
      </c>
      <c r="C741" s="8" t="s">
        <v>166</v>
      </c>
      <c r="D741" s="8" t="s">
        <v>192</v>
      </c>
      <c r="E741" s="25">
        <v>1666.5</v>
      </c>
      <c r="F741" s="25">
        <v>151.5</v>
      </c>
    </row>
    <row r="742" spans="1:6" x14ac:dyDescent="0.25">
      <c r="A742" s="8" t="s">
        <v>127</v>
      </c>
      <c r="B742" s="8" t="s">
        <v>128</v>
      </c>
      <c r="C742" s="8" t="s">
        <v>166</v>
      </c>
      <c r="D742" s="8" t="s">
        <v>193</v>
      </c>
      <c r="E742" s="25">
        <v>82.5</v>
      </c>
      <c r="F742" s="25">
        <v>7.5</v>
      </c>
    </row>
    <row r="743" spans="1:6" x14ac:dyDescent="0.25">
      <c r="A743" s="8" t="s">
        <v>127</v>
      </c>
      <c r="B743" s="8" t="s">
        <v>128</v>
      </c>
      <c r="C743" s="8" t="s">
        <v>194</v>
      </c>
      <c r="D743" s="8" t="s">
        <v>195</v>
      </c>
      <c r="E743" s="25">
        <v>660</v>
      </c>
      <c r="F743" s="25">
        <v>60</v>
      </c>
    </row>
    <row r="744" spans="1:6" x14ac:dyDescent="0.25">
      <c r="A744" s="8" t="s">
        <v>127</v>
      </c>
      <c r="B744" s="8" t="s">
        <v>128</v>
      </c>
      <c r="C744" s="8" t="s">
        <v>194</v>
      </c>
      <c r="D744" s="8" t="s">
        <v>196</v>
      </c>
      <c r="E744" s="25">
        <v>-330</v>
      </c>
      <c r="F744" s="25">
        <v>-30</v>
      </c>
    </row>
    <row r="745" spans="1:6" x14ac:dyDescent="0.25">
      <c r="A745" s="8" t="s">
        <v>127</v>
      </c>
      <c r="B745" s="8" t="s">
        <v>132</v>
      </c>
      <c r="C745" s="8" t="s">
        <v>194</v>
      </c>
      <c r="D745" s="8" t="s">
        <v>197</v>
      </c>
      <c r="E745" s="25">
        <v>82.5</v>
      </c>
      <c r="F745" s="25">
        <v>7.5</v>
      </c>
    </row>
    <row r="746" spans="1:6" x14ac:dyDescent="0.25">
      <c r="A746" s="8" t="s">
        <v>127</v>
      </c>
      <c r="B746" s="8" t="s">
        <v>128</v>
      </c>
      <c r="C746" s="8" t="s">
        <v>178</v>
      </c>
      <c r="D746" s="8" t="s">
        <v>198</v>
      </c>
      <c r="E746" s="25">
        <v>1303.5</v>
      </c>
      <c r="F746" s="25">
        <v>118.5</v>
      </c>
    </row>
    <row r="747" spans="1:6" x14ac:dyDescent="0.25">
      <c r="A747" s="8" t="s">
        <v>127</v>
      </c>
      <c r="B747" s="8" t="s">
        <v>128</v>
      </c>
      <c r="C747" s="8" t="s">
        <v>178</v>
      </c>
      <c r="D747" s="8" t="s">
        <v>199</v>
      </c>
      <c r="E747" s="25">
        <v>-651.75</v>
      </c>
      <c r="F747" s="25">
        <v>-59.25</v>
      </c>
    </row>
    <row r="748" spans="1:6" x14ac:dyDescent="0.25">
      <c r="A748" s="8" t="s">
        <v>127</v>
      </c>
      <c r="B748" s="8" t="s">
        <v>132</v>
      </c>
      <c r="C748" s="8" t="s">
        <v>178</v>
      </c>
      <c r="D748" s="8" t="s">
        <v>200</v>
      </c>
      <c r="E748" s="25">
        <v>82.5</v>
      </c>
      <c r="F748" s="25">
        <v>7.5</v>
      </c>
    </row>
    <row r="749" spans="1:6" x14ac:dyDescent="0.25">
      <c r="A749" s="8" t="s">
        <v>127</v>
      </c>
      <c r="B749" s="8" t="s">
        <v>132</v>
      </c>
      <c r="C749" s="8" t="s">
        <v>178</v>
      </c>
      <c r="D749" s="8" t="s">
        <v>201</v>
      </c>
      <c r="E749" s="25">
        <v>-41.25</v>
      </c>
      <c r="F749" s="25">
        <v>-3.75</v>
      </c>
    </row>
    <row r="750" spans="1:6" x14ac:dyDescent="0.25">
      <c r="A750" s="8" t="s">
        <v>127</v>
      </c>
      <c r="B750" s="8" t="s">
        <v>128</v>
      </c>
      <c r="C750" s="8" t="s">
        <v>178</v>
      </c>
      <c r="D750" s="8" t="s">
        <v>202</v>
      </c>
      <c r="E750" s="25">
        <v>990</v>
      </c>
      <c r="F750" s="25">
        <v>90</v>
      </c>
    </row>
    <row r="751" spans="1:6" x14ac:dyDescent="0.25">
      <c r="A751" s="8" t="s">
        <v>127</v>
      </c>
      <c r="B751" s="8" t="s">
        <v>128</v>
      </c>
      <c r="C751" s="8" t="s">
        <v>178</v>
      </c>
      <c r="D751" s="8" t="s">
        <v>203</v>
      </c>
      <c r="E751" s="25">
        <v>82.5</v>
      </c>
      <c r="F751" s="25">
        <v>7.5</v>
      </c>
    </row>
    <row r="752" spans="1:6" x14ac:dyDescent="0.25">
      <c r="A752" s="8" t="s">
        <v>127</v>
      </c>
      <c r="B752" s="8" t="s">
        <v>128</v>
      </c>
      <c r="C752" s="8" t="s">
        <v>178</v>
      </c>
      <c r="D752" s="8" t="s">
        <v>204</v>
      </c>
      <c r="E752" s="25">
        <v>33</v>
      </c>
      <c r="F752" s="25">
        <v>3</v>
      </c>
    </row>
    <row r="753" spans="1:6" x14ac:dyDescent="0.25">
      <c r="A753" s="8" t="s">
        <v>127</v>
      </c>
      <c r="B753" s="8" t="s">
        <v>128</v>
      </c>
      <c r="C753" s="8" t="s">
        <v>205</v>
      </c>
      <c r="D753" s="8" t="s">
        <v>206</v>
      </c>
      <c r="E753" s="25">
        <v>1320</v>
      </c>
      <c r="F753" s="25">
        <v>120</v>
      </c>
    </row>
    <row r="754" spans="1:6" x14ac:dyDescent="0.25">
      <c r="A754" s="8" t="s">
        <v>127</v>
      </c>
      <c r="B754" s="8" t="s">
        <v>128</v>
      </c>
      <c r="C754" s="8" t="s">
        <v>205</v>
      </c>
      <c r="D754" s="8" t="s">
        <v>207</v>
      </c>
      <c r="E754" s="25">
        <v>82.5</v>
      </c>
      <c r="F754" s="25">
        <v>7.5</v>
      </c>
    </row>
    <row r="755" spans="1:6" x14ac:dyDescent="0.25">
      <c r="A755" s="8" t="s">
        <v>127</v>
      </c>
      <c r="B755" s="8" t="s">
        <v>128</v>
      </c>
      <c r="C755" s="8" t="s">
        <v>205</v>
      </c>
      <c r="D755" s="8" t="s">
        <v>208</v>
      </c>
      <c r="E755" s="25">
        <v>148.5</v>
      </c>
      <c r="F755" s="25">
        <v>13.5</v>
      </c>
    </row>
    <row r="756" spans="1:6" x14ac:dyDescent="0.25">
      <c r="A756" s="8" t="s">
        <v>127</v>
      </c>
      <c r="B756" s="8" t="s">
        <v>128</v>
      </c>
      <c r="C756" s="8" t="s">
        <v>205</v>
      </c>
      <c r="D756" s="8" t="s">
        <v>209</v>
      </c>
      <c r="E756" s="25">
        <v>330</v>
      </c>
      <c r="F756" s="25">
        <v>30</v>
      </c>
    </row>
    <row r="757" spans="1:6" x14ac:dyDescent="0.25">
      <c r="A757" s="8" t="s">
        <v>127</v>
      </c>
      <c r="B757" s="8" t="s">
        <v>128</v>
      </c>
      <c r="C757" s="8" t="s">
        <v>205</v>
      </c>
      <c r="D757" s="8" t="s">
        <v>210</v>
      </c>
      <c r="E757" s="25">
        <v>742.5</v>
      </c>
      <c r="F757" s="25">
        <v>67.5</v>
      </c>
    </row>
    <row r="758" spans="1:6" x14ac:dyDescent="0.25">
      <c r="A758" s="8" t="s">
        <v>127</v>
      </c>
      <c r="B758" s="8" t="s">
        <v>132</v>
      </c>
      <c r="C758" s="8" t="s">
        <v>211</v>
      </c>
      <c r="D758" s="8" t="s">
        <v>212</v>
      </c>
      <c r="E758" s="25">
        <v>1336.5</v>
      </c>
      <c r="F758" s="25">
        <v>121.5</v>
      </c>
    </row>
    <row r="759" spans="1:6" x14ac:dyDescent="0.25">
      <c r="A759" s="8" t="s">
        <v>127</v>
      </c>
      <c r="B759" s="8" t="s">
        <v>132</v>
      </c>
      <c r="C759" s="8" t="s">
        <v>211</v>
      </c>
      <c r="D759" s="8" t="s">
        <v>213</v>
      </c>
      <c r="E759" s="25">
        <v>330</v>
      </c>
      <c r="F759" s="25">
        <v>30</v>
      </c>
    </row>
    <row r="760" spans="1:6" x14ac:dyDescent="0.25">
      <c r="A760" s="8" t="s">
        <v>127</v>
      </c>
      <c r="B760" s="8" t="s">
        <v>132</v>
      </c>
      <c r="C760" s="8" t="s">
        <v>214</v>
      </c>
      <c r="D760" s="8" t="s">
        <v>215</v>
      </c>
      <c r="E760" s="25">
        <v>2079</v>
      </c>
      <c r="F760" s="25">
        <v>189</v>
      </c>
    </row>
    <row r="761" spans="1:6" x14ac:dyDescent="0.25">
      <c r="A761" s="8" t="s">
        <v>127</v>
      </c>
      <c r="B761" s="8" t="s">
        <v>132</v>
      </c>
      <c r="C761" s="8" t="s">
        <v>214</v>
      </c>
      <c r="D761" s="8" t="s">
        <v>216</v>
      </c>
      <c r="E761" s="25">
        <v>330</v>
      </c>
      <c r="F761" s="25">
        <v>30</v>
      </c>
    </row>
    <row r="762" spans="1:6" x14ac:dyDescent="0.25">
      <c r="A762" s="8" t="s">
        <v>127</v>
      </c>
      <c r="B762" s="8" t="s">
        <v>132</v>
      </c>
      <c r="C762" s="8" t="s">
        <v>214</v>
      </c>
      <c r="D762" s="8" t="s">
        <v>217</v>
      </c>
      <c r="E762" s="25">
        <v>330</v>
      </c>
      <c r="F762" s="25">
        <v>30</v>
      </c>
    </row>
    <row r="763" spans="1:6" x14ac:dyDescent="0.25">
      <c r="A763" s="8" t="s">
        <v>127</v>
      </c>
      <c r="B763" s="8" t="s">
        <v>128</v>
      </c>
      <c r="C763" s="8" t="s">
        <v>218</v>
      </c>
      <c r="D763" s="8" t="s">
        <v>219</v>
      </c>
      <c r="E763" s="25">
        <v>436.7</v>
      </c>
      <c r="F763" s="25">
        <v>39.700000000000003</v>
      </c>
    </row>
    <row r="764" spans="1:6" x14ac:dyDescent="0.25">
      <c r="A764" s="8" t="s">
        <v>127</v>
      </c>
      <c r="B764" s="8" t="s">
        <v>137</v>
      </c>
      <c r="C764" s="8" t="s">
        <v>218</v>
      </c>
      <c r="D764" s="8" t="s">
        <v>220</v>
      </c>
      <c r="E764" s="25">
        <v>10.92</v>
      </c>
      <c r="F764" s="25">
        <v>0.99</v>
      </c>
    </row>
    <row r="765" spans="1:6" x14ac:dyDescent="0.25">
      <c r="A765" s="8" t="s">
        <v>127</v>
      </c>
      <c r="B765" s="8" t="s">
        <v>128</v>
      </c>
      <c r="C765" s="8" t="s">
        <v>221</v>
      </c>
      <c r="D765" s="8" t="s">
        <v>222</v>
      </c>
      <c r="E765" s="25">
        <v>877.8</v>
      </c>
      <c r="F765" s="25">
        <v>79.8</v>
      </c>
    </row>
    <row r="766" spans="1:6" x14ac:dyDescent="0.25">
      <c r="A766" s="8" t="s">
        <v>127</v>
      </c>
      <c r="B766" s="8" t="s">
        <v>137</v>
      </c>
      <c r="C766" s="8" t="s">
        <v>221</v>
      </c>
      <c r="D766" s="8" t="s">
        <v>223</v>
      </c>
      <c r="E766" s="25">
        <v>59.69</v>
      </c>
      <c r="F766" s="25">
        <v>5.43</v>
      </c>
    </row>
    <row r="767" spans="1:6" x14ac:dyDescent="0.25">
      <c r="A767" s="8" t="s">
        <v>127</v>
      </c>
      <c r="B767" s="8" t="s">
        <v>174</v>
      </c>
      <c r="C767" s="8" t="s">
        <v>224</v>
      </c>
      <c r="D767" s="8" t="s">
        <v>225</v>
      </c>
      <c r="E767" s="25">
        <v>1589.5</v>
      </c>
      <c r="F767" s="25">
        <v>144.5</v>
      </c>
    </row>
    <row r="768" spans="1:6" x14ac:dyDescent="0.25">
      <c r="A768" s="8" t="s">
        <v>127</v>
      </c>
      <c r="B768" s="8" t="s">
        <v>174</v>
      </c>
      <c r="C768" s="8" t="s">
        <v>224</v>
      </c>
      <c r="D768" s="8" t="s">
        <v>226</v>
      </c>
      <c r="E768" s="25">
        <v>49.5</v>
      </c>
      <c r="F768" s="25">
        <v>4.5</v>
      </c>
    </row>
    <row r="769" spans="1:6" x14ac:dyDescent="0.25">
      <c r="A769" s="8" t="s">
        <v>127</v>
      </c>
      <c r="B769" s="8" t="s">
        <v>132</v>
      </c>
      <c r="C769" s="8" t="s">
        <v>224</v>
      </c>
      <c r="D769" s="8" t="s">
        <v>227</v>
      </c>
      <c r="E769" s="25">
        <v>110</v>
      </c>
      <c r="F769" s="25">
        <v>10</v>
      </c>
    </row>
    <row r="770" spans="1:6" x14ac:dyDescent="0.25">
      <c r="A770" s="8" t="s">
        <v>127</v>
      </c>
      <c r="B770" s="8" t="s">
        <v>128</v>
      </c>
      <c r="C770" s="8" t="s">
        <v>166</v>
      </c>
      <c r="D770" s="8" t="s">
        <v>228</v>
      </c>
      <c r="E770" s="25">
        <v>990</v>
      </c>
      <c r="F770" s="25">
        <v>90</v>
      </c>
    </row>
    <row r="771" spans="1:6" x14ac:dyDescent="0.25">
      <c r="A771" s="8" t="s">
        <v>127</v>
      </c>
      <c r="B771" s="8" t="s">
        <v>128</v>
      </c>
      <c r="C771" s="8" t="s">
        <v>178</v>
      </c>
      <c r="D771" s="8" t="s">
        <v>229</v>
      </c>
      <c r="E771" s="25">
        <v>1551</v>
      </c>
      <c r="F771" s="25">
        <v>141</v>
      </c>
    </row>
    <row r="772" spans="1:6" x14ac:dyDescent="0.25">
      <c r="A772" s="8" t="s">
        <v>127</v>
      </c>
      <c r="B772" s="8" t="s">
        <v>128</v>
      </c>
      <c r="C772" s="8" t="s">
        <v>178</v>
      </c>
      <c r="D772" s="8" t="s">
        <v>230</v>
      </c>
      <c r="E772" s="25">
        <v>82.5</v>
      </c>
      <c r="F772" s="25">
        <v>7.5</v>
      </c>
    </row>
    <row r="773" spans="1:6" x14ac:dyDescent="0.25">
      <c r="A773" s="8" t="s">
        <v>127</v>
      </c>
      <c r="B773" s="8" t="s">
        <v>128</v>
      </c>
      <c r="C773" s="8" t="s">
        <v>231</v>
      </c>
      <c r="D773" s="8" t="s">
        <v>232</v>
      </c>
      <c r="E773" s="25">
        <v>1283.7</v>
      </c>
      <c r="F773" s="25">
        <v>116.7</v>
      </c>
    </row>
    <row r="774" spans="1:6" x14ac:dyDescent="0.25">
      <c r="A774" s="8" t="s">
        <v>127</v>
      </c>
      <c r="B774" s="8" t="s">
        <v>128</v>
      </c>
      <c r="C774" s="8" t="s">
        <v>231</v>
      </c>
      <c r="D774" s="8" t="s">
        <v>233</v>
      </c>
      <c r="E774" s="25">
        <v>148.5</v>
      </c>
      <c r="F774" s="25">
        <v>13.5</v>
      </c>
    </row>
    <row r="775" spans="1:6" x14ac:dyDescent="0.25">
      <c r="A775" s="8" t="s">
        <v>127</v>
      </c>
      <c r="B775" s="8" t="s">
        <v>128</v>
      </c>
      <c r="C775" s="8" t="s">
        <v>231</v>
      </c>
      <c r="D775" s="8" t="s">
        <v>234</v>
      </c>
      <c r="E775" s="25">
        <v>148.5</v>
      </c>
      <c r="F775" s="25">
        <v>13.5</v>
      </c>
    </row>
    <row r="776" spans="1:6" x14ac:dyDescent="0.25">
      <c r="A776" s="8" t="s">
        <v>127</v>
      </c>
      <c r="B776" s="8" t="s">
        <v>128</v>
      </c>
      <c r="C776" s="8" t="s">
        <v>169</v>
      </c>
      <c r="D776" s="8" t="s">
        <v>235</v>
      </c>
      <c r="E776" s="25">
        <v>742.5</v>
      </c>
      <c r="F776" s="25">
        <v>67.5</v>
      </c>
    </row>
    <row r="777" spans="1:6" x14ac:dyDescent="0.25">
      <c r="A777" s="8" t="s">
        <v>127</v>
      </c>
      <c r="B777" s="8" t="s">
        <v>128</v>
      </c>
      <c r="C777" s="8" t="s">
        <v>169</v>
      </c>
      <c r="D777" s="8" t="s">
        <v>236</v>
      </c>
      <c r="E777" s="25">
        <v>82.5</v>
      </c>
      <c r="F777" s="25">
        <v>7.5</v>
      </c>
    </row>
    <row r="778" spans="1:6" x14ac:dyDescent="0.25">
      <c r="A778" s="8" t="s">
        <v>127</v>
      </c>
      <c r="B778" s="8" t="s">
        <v>128</v>
      </c>
      <c r="C778" s="8" t="s">
        <v>178</v>
      </c>
      <c r="D778" s="8" t="s">
        <v>237</v>
      </c>
      <c r="E778" s="25">
        <v>3069</v>
      </c>
      <c r="F778" s="25">
        <v>279</v>
      </c>
    </row>
    <row r="779" spans="1:6" x14ac:dyDescent="0.25">
      <c r="A779" s="8" t="s">
        <v>127</v>
      </c>
      <c r="B779" s="8" t="s">
        <v>128</v>
      </c>
      <c r="C779" s="8" t="s">
        <v>178</v>
      </c>
      <c r="D779" s="8" t="s">
        <v>238</v>
      </c>
      <c r="E779" s="25">
        <v>82.5</v>
      </c>
      <c r="F779" s="25">
        <v>7.5</v>
      </c>
    </row>
    <row r="780" spans="1:6" x14ac:dyDescent="0.25">
      <c r="A780" s="8" t="s">
        <v>127</v>
      </c>
      <c r="B780" s="8" t="s">
        <v>128</v>
      </c>
      <c r="C780" s="8" t="s">
        <v>178</v>
      </c>
      <c r="D780" s="8" t="s">
        <v>239</v>
      </c>
      <c r="E780" s="25">
        <v>-445.5</v>
      </c>
      <c r="F780" s="25">
        <v>-40.5</v>
      </c>
    </row>
    <row r="781" spans="1:6" x14ac:dyDescent="0.25">
      <c r="A781" s="8" t="s">
        <v>127</v>
      </c>
      <c r="B781" s="8" t="s">
        <v>128</v>
      </c>
      <c r="C781" s="8" t="s">
        <v>178</v>
      </c>
      <c r="D781" s="8" t="s">
        <v>240</v>
      </c>
      <c r="E781" s="25">
        <v>330</v>
      </c>
      <c r="F781" s="25">
        <v>30</v>
      </c>
    </row>
    <row r="782" spans="1:6" x14ac:dyDescent="0.25">
      <c r="A782" s="8" t="s">
        <v>127</v>
      </c>
      <c r="B782" s="8" t="s">
        <v>128</v>
      </c>
      <c r="C782" s="8" t="s">
        <v>166</v>
      </c>
      <c r="D782" s="8" t="s">
        <v>241</v>
      </c>
      <c r="E782" s="25">
        <v>495</v>
      </c>
      <c r="F782" s="25">
        <v>45</v>
      </c>
    </row>
    <row r="783" spans="1:6" x14ac:dyDescent="0.25">
      <c r="A783" s="8" t="s">
        <v>127</v>
      </c>
      <c r="B783" s="8" t="s">
        <v>128</v>
      </c>
      <c r="C783" s="8" t="s">
        <v>141</v>
      </c>
      <c r="D783" s="8" t="s">
        <v>242</v>
      </c>
      <c r="E783" s="25">
        <v>165</v>
      </c>
      <c r="F783" s="25">
        <v>15</v>
      </c>
    </row>
    <row r="784" spans="1:6" x14ac:dyDescent="0.25">
      <c r="A784" s="8" t="s">
        <v>127</v>
      </c>
      <c r="B784" s="8" t="s">
        <v>128</v>
      </c>
      <c r="C784" s="8" t="s">
        <v>141</v>
      </c>
      <c r="D784" s="8" t="s">
        <v>243</v>
      </c>
      <c r="E784" s="25">
        <v>16.5</v>
      </c>
      <c r="F784" s="25">
        <v>1.5</v>
      </c>
    </row>
    <row r="785" spans="1:6" x14ac:dyDescent="0.25">
      <c r="A785" s="8" t="s">
        <v>127</v>
      </c>
      <c r="B785" s="8" t="s">
        <v>132</v>
      </c>
      <c r="C785" s="8" t="s">
        <v>244</v>
      </c>
      <c r="D785" s="8" t="s">
        <v>245</v>
      </c>
      <c r="E785" s="25">
        <v>74.84</v>
      </c>
      <c r="F785" s="25">
        <v>6.8</v>
      </c>
    </row>
    <row r="786" spans="1:6" x14ac:dyDescent="0.25">
      <c r="A786" s="8" t="s">
        <v>127</v>
      </c>
      <c r="B786" s="8" t="s">
        <v>132</v>
      </c>
      <c r="C786" s="8" t="s">
        <v>244</v>
      </c>
      <c r="D786" s="8" t="s">
        <v>246</v>
      </c>
      <c r="E786" s="25">
        <v>68.64</v>
      </c>
      <c r="F786" s="25">
        <v>6.24</v>
      </c>
    </row>
    <row r="787" spans="1:6" x14ac:dyDescent="0.25">
      <c r="A787" s="8" t="s">
        <v>127</v>
      </c>
      <c r="B787" s="8" t="s">
        <v>128</v>
      </c>
      <c r="C787" s="8" t="s">
        <v>178</v>
      </c>
      <c r="D787" s="8" t="s">
        <v>247</v>
      </c>
      <c r="E787" s="25">
        <v>2970</v>
      </c>
      <c r="F787" s="25">
        <v>270</v>
      </c>
    </row>
    <row r="788" spans="1:6" x14ac:dyDescent="0.25">
      <c r="A788" s="8" t="s">
        <v>127</v>
      </c>
      <c r="B788" s="8" t="s">
        <v>128</v>
      </c>
      <c r="C788" s="8" t="s">
        <v>178</v>
      </c>
      <c r="D788" s="8" t="s">
        <v>248</v>
      </c>
      <c r="E788" s="25">
        <v>82.5</v>
      </c>
      <c r="F788" s="25">
        <v>7.5</v>
      </c>
    </row>
    <row r="789" spans="1:6" x14ac:dyDescent="0.25">
      <c r="A789" s="8" t="s">
        <v>127</v>
      </c>
      <c r="B789" s="8" t="s">
        <v>174</v>
      </c>
      <c r="C789" s="8" t="s">
        <v>249</v>
      </c>
      <c r="D789" s="8" t="s">
        <v>250</v>
      </c>
      <c r="E789" s="25">
        <v>994.4</v>
      </c>
      <c r="F789" s="25">
        <v>90.4</v>
      </c>
    </row>
    <row r="790" spans="1:6" x14ac:dyDescent="0.25">
      <c r="A790" s="8" t="s">
        <v>127</v>
      </c>
      <c r="B790" s="8" t="s">
        <v>128</v>
      </c>
      <c r="C790" s="8" t="s">
        <v>141</v>
      </c>
      <c r="D790" s="8" t="s">
        <v>251</v>
      </c>
      <c r="E790" s="25">
        <v>734.8</v>
      </c>
      <c r="F790" s="25">
        <v>66.8</v>
      </c>
    </row>
    <row r="791" spans="1:6" x14ac:dyDescent="0.25">
      <c r="A791" s="8" t="s">
        <v>127</v>
      </c>
      <c r="B791" s="8" t="s">
        <v>128</v>
      </c>
      <c r="C791" s="8" t="s">
        <v>141</v>
      </c>
      <c r="D791" s="8" t="s">
        <v>252</v>
      </c>
      <c r="E791" s="25">
        <v>396</v>
      </c>
      <c r="F791" s="25">
        <v>36</v>
      </c>
    </row>
    <row r="792" spans="1:6" x14ac:dyDescent="0.25">
      <c r="A792" s="8" t="s">
        <v>127</v>
      </c>
      <c r="B792" s="8" t="s">
        <v>128</v>
      </c>
      <c r="C792" s="8" t="s">
        <v>141</v>
      </c>
      <c r="D792" s="8" t="s">
        <v>253</v>
      </c>
      <c r="E792" s="25">
        <v>247.5</v>
      </c>
      <c r="F792" s="25">
        <v>22.5</v>
      </c>
    </row>
    <row r="793" spans="1:6" x14ac:dyDescent="0.25">
      <c r="A793" s="8" t="s">
        <v>127</v>
      </c>
      <c r="B793" s="8" t="s">
        <v>128</v>
      </c>
      <c r="C793" s="8" t="s">
        <v>141</v>
      </c>
      <c r="D793" s="8" t="s">
        <v>254</v>
      </c>
      <c r="E793" s="25">
        <v>220</v>
      </c>
      <c r="F793" s="25">
        <v>20</v>
      </c>
    </row>
    <row r="794" spans="1:6" x14ac:dyDescent="0.25">
      <c r="A794" s="8" t="s">
        <v>127</v>
      </c>
      <c r="B794" s="8" t="s">
        <v>128</v>
      </c>
      <c r="C794" s="8" t="s">
        <v>141</v>
      </c>
      <c r="D794" s="8" t="s">
        <v>255</v>
      </c>
      <c r="E794" s="25">
        <v>99</v>
      </c>
      <c r="F794" s="25">
        <v>9</v>
      </c>
    </row>
    <row r="795" spans="1:6" x14ac:dyDescent="0.25">
      <c r="A795" s="8" t="s">
        <v>127</v>
      </c>
      <c r="B795" s="8" t="s">
        <v>132</v>
      </c>
      <c r="C795" s="8" t="s">
        <v>256</v>
      </c>
      <c r="D795" s="8" t="s">
        <v>257</v>
      </c>
      <c r="E795" s="25">
        <v>247.5</v>
      </c>
      <c r="F795" s="25">
        <v>22.5</v>
      </c>
    </row>
    <row r="796" spans="1:6" x14ac:dyDescent="0.25">
      <c r="A796" s="8" t="s">
        <v>127</v>
      </c>
      <c r="B796" s="8" t="s">
        <v>137</v>
      </c>
      <c r="C796" s="8" t="s">
        <v>256</v>
      </c>
      <c r="D796" s="8" t="s">
        <v>258</v>
      </c>
      <c r="E796" s="25">
        <v>16.829999999999998</v>
      </c>
      <c r="F796" s="25">
        <v>1.53</v>
      </c>
    </row>
    <row r="797" spans="1:6" x14ac:dyDescent="0.25">
      <c r="A797" s="8" t="s">
        <v>127</v>
      </c>
      <c r="B797" s="8" t="s">
        <v>174</v>
      </c>
      <c r="C797" s="8" t="s">
        <v>259</v>
      </c>
      <c r="D797" s="8" t="s">
        <v>260</v>
      </c>
      <c r="E797" s="25">
        <v>825</v>
      </c>
      <c r="F797" s="25">
        <v>75</v>
      </c>
    </row>
    <row r="798" spans="1:6" x14ac:dyDescent="0.25">
      <c r="A798" s="8" t="s">
        <v>127</v>
      </c>
      <c r="B798" s="8" t="s">
        <v>174</v>
      </c>
      <c r="C798" s="8" t="s">
        <v>259</v>
      </c>
      <c r="D798" s="8" t="s">
        <v>261</v>
      </c>
      <c r="E798" s="25">
        <v>99</v>
      </c>
      <c r="F798" s="25">
        <v>9</v>
      </c>
    </row>
    <row r="799" spans="1:6" x14ac:dyDescent="0.25">
      <c r="A799" s="8" t="s">
        <v>127</v>
      </c>
      <c r="B799" s="8" t="s">
        <v>132</v>
      </c>
      <c r="C799" s="8" t="s">
        <v>262</v>
      </c>
      <c r="D799" s="8" t="s">
        <v>263</v>
      </c>
      <c r="E799" s="25">
        <v>173.25</v>
      </c>
      <c r="F799" s="25">
        <v>15.75</v>
      </c>
    </row>
    <row r="800" spans="1:6" x14ac:dyDescent="0.25">
      <c r="A800" s="8" t="s">
        <v>127</v>
      </c>
      <c r="B800" s="8" t="s">
        <v>132</v>
      </c>
      <c r="C800" s="8" t="s">
        <v>262</v>
      </c>
      <c r="D800" s="8" t="s">
        <v>264</v>
      </c>
      <c r="E800" s="25">
        <v>27.5</v>
      </c>
      <c r="F800" s="25">
        <v>2.5</v>
      </c>
    </row>
    <row r="801" spans="1:6" x14ac:dyDescent="0.25">
      <c r="A801" s="8" t="s">
        <v>127</v>
      </c>
      <c r="B801" s="8" t="s">
        <v>137</v>
      </c>
      <c r="C801" s="8" t="s">
        <v>262</v>
      </c>
      <c r="D801" s="8" t="s">
        <v>182</v>
      </c>
      <c r="E801" s="25">
        <v>5.0199999999999996</v>
      </c>
      <c r="F801" s="25">
        <v>0.46</v>
      </c>
    </row>
    <row r="802" spans="1:6" x14ac:dyDescent="0.25">
      <c r="A802" s="8" t="s">
        <v>127</v>
      </c>
      <c r="B802" s="8" t="s">
        <v>132</v>
      </c>
      <c r="C802" s="8" t="s">
        <v>265</v>
      </c>
      <c r="D802" s="8" t="s">
        <v>266</v>
      </c>
      <c r="E802" s="25">
        <v>130.08000000000001</v>
      </c>
      <c r="F802" s="25">
        <v>11.83</v>
      </c>
    </row>
    <row r="803" spans="1:6" x14ac:dyDescent="0.25">
      <c r="A803" s="8" t="s">
        <v>127</v>
      </c>
      <c r="B803" s="8" t="s">
        <v>132</v>
      </c>
      <c r="C803" s="8" t="s">
        <v>265</v>
      </c>
      <c r="D803" s="8" t="s">
        <v>267</v>
      </c>
      <c r="E803" s="25">
        <v>82.5</v>
      </c>
      <c r="F803" s="25">
        <v>7.5</v>
      </c>
    </row>
    <row r="804" spans="1:6" x14ac:dyDescent="0.25">
      <c r="A804" s="8" t="s">
        <v>127</v>
      </c>
      <c r="B804" s="8" t="s">
        <v>128</v>
      </c>
      <c r="C804" s="8" t="s">
        <v>268</v>
      </c>
      <c r="D804" s="8" t="s">
        <v>269</v>
      </c>
      <c r="E804" s="25">
        <v>6534</v>
      </c>
      <c r="F804" s="25">
        <v>594</v>
      </c>
    </row>
    <row r="805" spans="1:6" x14ac:dyDescent="0.25">
      <c r="A805" s="8" t="s">
        <v>127</v>
      </c>
      <c r="B805" s="8" t="s">
        <v>128</v>
      </c>
      <c r="C805" s="8" t="s">
        <v>161</v>
      </c>
      <c r="D805" s="8" t="s">
        <v>270</v>
      </c>
      <c r="E805" s="25">
        <v>724.9</v>
      </c>
      <c r="F805" s="25">
        <v>65.900000000000006</v>
      </c>
    </row>
    <row r="806" spans="1:6" x14ac:dyDescent="0.25">
      <c r="A806" s="8" t="s">
        <v>127</v>
      </c>
      <c r="B806" s="8" t="s">
        <v>128</v>
      </c>
      <c r="C806" s="8" t="s">
        <v>161</v>
      </c>
      <c r="D806" s="8" t="s">
        <v>271</v>
      </c>
      <c r="E806" s="25">
        <v>-247.5</v>
      </c>
      <c r="F806" s="25">
        <v>-22.5</v>
      </c>
    </row>
    <row r="807" spans="1:6" x14ac:dyDescent="0.25">
      <c r="A807" s="8" t="s">
        <v>127</v>
      </c>
      <c r="B807" s="8" t="s">
        <v>128</v>
      </c>
      <c r="C807" s="8" t="s">
        <v>161</v>
      </c>
      <c r="D807" s="8" t="s">
        <v>272</v>
      </c>
      <c r="E807" s="25">
        <v>49.5</v>
      </c>
      <c r="F807" s="25">
        <v>4.5</v>
      </c>
    </row>
    <row r="808" spans="1:6" x14ac:dyDescent="0.25">
      <c r="A808" s="8" t="s">
        <v>127</v>
      </c>
      <c r="B808" s="8" t="s">
        <v>128</v>
      </c>
      <c r="C808" s="8" t="s">
        <v>161</v>
      </c>
      <c r="D808" s="8" t="s">
        <v>273</v>
      </c>
      <c r="E808" s="25">
        <v>99</v>
      </c>
      <c r="F808" s="25">
        <v>9</v>
      </c>
    </row>
    <row r="809" spans="1:6" x14ac:dyDescent="0.25">
      <c r="A809" s="8" t="s">
        <v>127</v>
      </c>
      <c r="B809" s="8" t="s">
        <v>128</v>
      </c>
      <c r="C809" s="8" t="s">
        <v>161</v>
      </c>
      <c r="D809" s="8" t="s">
        <v>274</v>
      </c>
      <c r="E809" s="25">
        <v>49.5</v>
      </c>
      <c r="F809" s="25">
        <v>4.5</v>
      </c>
    </row>
    <row r="810" spans="1:6" x14ac:dyDescent="0.25">
      <c r="A810" s="8" t="s">
        <v>127</v>
      </c>
      <c r="B810" s="8" t="s">
        <v>128</v>
      </c>
      <c r="C810" s="8" t="s">
        <v>161</v>
      </c>
      <c r="D810" s="8" t="s">
        <v>275</v>
      </c>
      <c r="E810" s="25">
        <v>-99</v>
      </c>
      <c r="F810" s="25">
        <v>-9</v>
      </c>
    </row>
    <row r="811" spans="1:6" x14ac:dyDescent="0.25">
      <c r="A811" s="8" t="s">
        <v>127</v>
      </c>
      <c r="B811" s="8" t="s">
        <v>128</v>
      </c>
      <c r="C811" s="8" t="s">
        <v>161</v>
      </c>
      <c r="D811" s="8" t="s">
        <v>276</v>
      </c>
      <c r="E811" s="25">
        <v>110</v>
      </c>
      <c r="F811" s="25">
        <v>10</v>
      </c>
    </row>
    <row r="812" spans="1:6" x14ac:dyDescent="0.25">
      <c r="A812" s="8" t="s">
        <v>127</v>
      </c>
      <c r="B812" s="8" t="s">
        <v>128</v>
      </c>
      <c r="C812" s="8" t="s">
        <v>161</v>
      </c>
      <c r="D812" s="8" t="s">
        <v>277</v>
      </c>
      <c r="E812" s="25">
        <v>99</v>
      </c>
      <c r="F812" s="25">
        <v>9</v>
      </c>
    </row>
    <row r="813" spans="1:6" x14ac:dyDescent="0.25">
      <c r="A813" s="8" t="s">
        <v>127</v>
      </c>
      <c r="B813" s="8" t="s">
        <v>137</v>
      </c>
      <c r="C813" s="8" t="s">
        <v>161</v>
      </c>
      <c r="D813" s="8" t="s">
        <v>278</v>
      </c>
      <c r="E813" s="25">
        <v>50.11</v>
      </c>
      <c r="F813" s="25">
        <v>4.5599999999999996</v>
      </c>
    </row>
    <row r="814" spans="1:6" x14ac:dyDescent="0.25">
      <c r="A814" s="8" t="s">
        <v>127</v>
      </c>
      <c r="B814" s="8" t="s">
        <v>128</v>
      </c>
      <c r="C814" s="8" t="s">
        <v>161</v>
      </c>
      <c r="D814" s="8" t="s">
        <v>279</v>
      </c>
      <c r="E814" s="25">
        <v>49.5</v>
      </c>
      <c r="F814" s="25">
        <v>4.5</v>
      </c>
    </row>
    <row r="815" spans="1:6" x14ac:dyDescent="0.25">
      <c r="A815" s="8" t="s">
        <v>127</v>
      </c>
      <c r="B815" s="8" t="s">
        <v>128</v>
      </c>
      <c r="C815" s="8" t="s">
        <v>161</v>
      </c>
      <c r="D815" s="8" t="s">
        <v>280</v>
      </c>
      <c r="E815" s="25">
        <v>-99</v>
      </c>
      <c r="F815" s="25">
        <v>-9</v>
      </c>
    </row>
    <row r="816" spans="1:6" x14ac:dyDescent="0.25">
      <c r="A816" s="8" t="s">
        <v>127</v>
      </c>
      <c r="B816" s="8" t="s">
        <v>132</v>
      </c>
      <c r="C816" s="8" t="s">
        <v>281</v>
      </c>
      <c r="D816" s="8" t="s">
        <v>282</v>
      </c>
      <c r="E816" s="25">
        <v>445.5</v>
      </c>
      <c r="F816" s="25">
        <v>40.5</v>
      </c>
    </row>
    <row r="817" spans="1:6" x14ac:dyDescent="0.25">
      <c r="A817" s="8" t="s">
        <v>127</v>
      </c>
      <c r="B817" s="8" t="s">
        <v>128</v>
      </c>
      <c r="C817" s="8" t="s">
        <v>151</v>
      </c>
      <c r="D817" s="8" t="s">
        <v>283</v>
      </c>
      <c r="E817" s="25">
        <v>273.89999999999998</v>
      </c>
      <c r="F817" s="25">
        <v>24.9</v>
      </c>
    </row>
    <row r="818" spans="1:6" x14ac:dyDescent="0.25">
      <c r="A818" s="8" t="s">
        <v>127</v>
      </c>
      <c r="B818" s="8" t="s">
        <v>132</v>
      </c>
      <c r="C818" s="8" t="s">
        <v>284</v>
      </c>
      <c r="D818" s="8" t="s">
        <v>285</v>
      </c>
      <c r="E818" s="25">
        <v>1218.8</v>
      </c>
      <c r="F818" s="25">
        <v>110.8</v>
      </c>
    </row>
    <row r="819" spans="1:6" x14ac:dyDescent="0.25">
      <c r="A819" s="8" t="s">
        <v>127</v>
      </c>
      <c r="B819" s="8" t="s">
        <v>132</v>
      </c>
      <c r="C819" s="8" t="s">
        <v>284</v>
      </c>
      <c r="D819" s="8" t="s">
        <v>286</v>
      </c>
      <c r="E819" s="25">
        <v>82.5</v>
      </c>
      <c r="F819" s="25">
        <v>7.5</v>
      </c>
    </row>
    <row r="820" spans="1:6" x14ac:dyDescent="0.25">
      <c r="A820" s="8" t="s">
        <v>127</v>
      </c>
      <c r="B820" s="8" t="s">
        <v>132</v>
      </c>
      <c r="C820" s="8" t="s">
        <v>284</v>
      </c>
      <c r="D820" s="8" t="s">
        <v>287</v>
      </c>
      <c r="E820" s="25">
        <v>82.5</v>
      </c>
      <c r="F820" s="25">
        <v>7.5</v>
      </c>
    </row>
    <row r="821" spans="1:6" x14ac:dyDescent="0.25">
      <c r="A821" s="8" t="s">
        <v>127</v>
      </c>
      <c r="B821" s="8" t="s">
        <v>132</v>
      </c>
      <c r="C821" s="8" t="s">
        <v>284</v>
      </c>
      <c r="D821" s="8" t="s">
        <v>288</v>
      </c>
      <c r="E821" s="25">
        <v>1485</v>
      </c>
      <c r="F821" s="25">
        <v>135</v>
      </c>
    </row>
    <row r="822" spans="1:6" x14ac:dyDescent="0.25">
      <c r="A822" s="8" t="s">
        <v>127</v>
      </c>
      <c r="B822" s="8" t="s">
        <v>132</v>
      </c>
      <c r="C822" s="8" t="s">
        <v>284</v>
      </c>
      <c r="D822" s="8" t="s">
        <v>289</v>
      </c>
      <c r="E822" s="25">
        <v>123.75</v>
      </c>
      <c r="F822" s="25">
        <v>11.25</v>
      </c>
    </row>
    <row r="823" spans="1:6" x14ac:dyDescent="0.25">
      <c r="A823" s="8" t="s">
        <v>127</v>
      </c>
      <c r="B823" s="8" t="s">
        <v>128</v>
      </c>
      <c r="C823" s="8" t="s">
        <v>161</v>
      </c>
      <c r="D823" s="8" t="s">
        <v>290</v>
      </c>
      <c r="E823" s="25">
        <v>675.4</v>
      </c>
      <c r="F823" s="25">
        <v>61.4</v>
      </c>
    </row>
    <row r="824" spans="1:6" x14ac:dyDescent="0.25">
      <c r="A824" s="8" t="s">
        <v>127</v>
      </c>
      <c r="B824" s="8" t="s">
        <v>128</v>
      </c>
      <c r="C824" s="8" t="s">
        <v>161</v>
      </c>
      <c r="D824" s="8" t="s">
        <v>291</v>
      </c>
      <c r="E824" s="25">
        <v>-345.4</v>
      </c>
      <c r="F824" s="25">
        <v>-31.4</v>
      </c>
    </row>
    <row r="825" spans="1:6" x14ac:dyDescent="0.25">
      <c r="A825" s="8" t="s">
        <v>127</v>
      </c>
      <c r="B825" s="8" t="s">
        <v>128</v>
      </c>
      <c r="C825" s="8" t="s">
        <v>151</v>
      </c>
      <c r="D825" s="8" t="s">
        <v>292</v>
      </c>
      <c r="E825" s="25">
        <v>427.9</v>
      </c>
      <c r="F825" s="25">
        <v>38.9</v>
      </c>
    </row>
    <row r="826" spans="1:6" x14ac:dyDescent="0.25">
      <c r="A826" s="8" t="s">
        <v>127</v>
      </c>
      <c r="B826" s="8" t="s">
        <v>137</v>
      </c>
      <c r="C826" s="8" t="s">
        <v>151</v>
      </c>
      <c r="D826" s="8" t="s">
        <v>293</v>
      </c>
      <c r="E826" s="25">
        <v>10.7</v>
      </c>
      <c r="F826" s="25">
        <v>0.97</v>
      </c>
    </row>
    <row r="827" spans="1:6" x14ac:dyDescent="0.25">
      <c r="A827" s="8" t="s">
        <v>127</v>
      </c>
      <c r="B827" s="8" t="s">
        <v>128</v>
      </c>
      <c r="C827" s="8" t="s">
        <v>151</v>
      </c>
      <c r="D827" s="8" t="s">
        <v>294</v>
      </c>
      <c r="E827" s="25">
        <v>220</v>
      </c>
      <c r="F827" s="25">
        <v>20</v>
      </c>
    </row>
    <row r="828" spans="1:6" x14ac:dyDescent="0.25">
      <c r="A828" s="8" t="s">
        <v>127</v>
      </c>
      <c r="B828" s="8" t="s">
        <v>137</v>
      </c>
      <c r="C828" s="8" t="s">
        <v>151</v>
      </c>
      <c r="D828" s="8" t="s">
        <v>295</v>
      </c>
      <c r="E828" s="25">
        <v>5.5</v>
      </c>
      <c r="F828" s="25">
        <v>0.5</v>
      </c>
    </row>
    <row r="829" spans="1:6" x14ac:dyDescent="0.25">
      <c r="A829" s="8" t="s">
        <v>127</v>
      </c>
      <c r="B829" s="8" t="s">
        <v>128</v>
      </c>
      <c r="C829" s="8" t="s">
        <v>296</v>
      </c>
      <c r="D829" s="8" t="s">
        <v>297</v>
      </c>
      <c r="E829" s="25">
        <v>2178</v>
      </c>
      <c r="F829" s="25">
        <v>198</v>
      </c>
    </row>
    <row r="830" spans="1:6" x14ac:dyDescent="0.25">
      <c r="A830" s="8" t="s">
        <v>127</v>
      </c>
      <c r="B830" s="8" t="s">
        <v>128</v>
      </c>
      <c r="C830" s="8" t="s">
        <v>296</v>
      </c>
      <c r="D830" s="8" t="s">
        <v>298</v>
      </c>
      <c r="E830" s="25">
        <v>4537.5</v>
      </c>
      <c r="F830" s="25">
        <v>412.5</v>
      </c>
    </row>
    <row r="831" spans="1:6" x14ac:dyDescent="0.25">
      <c r="A831" s="8" t="s">
        <v>127</v>
      </c>
      <c r="B831" s="8" t="s">
        <v>128</v>
      </c>
      <c r="C831" s="8" t="s">
        <v>296</v>
      </c>
      <c r="D831" s="8" t="s">
        <v>299</v>
      </c>
      <c r="E831" s="25">
        <v>363</v>
      </c>
      <c r="F831" s="25">
        <v>33</v>
      </c>
    </row>
    <row r="832" spans="1:6" x14ac:dyDescent="0.25">
      <c r="A832" s="8" t="s">
        <v>127</v>
      </c>
      <c r="B832" s="8" t="s">
        <v>128</v>
      </c>
      <c r="C832" s="8" t="s">
        <v>296</v>
      </c>
      <c r="D832" s="8" t="s">
        <v>300</v>
      </c>
      <c r="E832" s="25">
        <v>363</v>
      </c>
      <c r="F832" s="25">
        <v>33</v>
      </c>
    </row>
    <row r="833" spans="1:6" x14ac:dyDescent="0.25">
      <c r="A833" s="8" t="s">
        <v>127</v>
      </c>
      <c r="B833" s="8" t="s">
        <v>128</v>
      </c>
      <c r="C833" s="8" t="s">
        <v>296</v>
      </c>
      <c r="D833" s="8" t="s">
        <v>301</v>
      </c>
      <c r="E833" s="25">
        <v>363</v>
      </c>
      <c r="F833" s="25">
        <v>33</v>
      </c>
    </row>
    <row r="834" spans="1:6" x14ac:dyDescent="0.25">
      <c r="A834" s="8" t="s">
        <v>127</v>
      </c>
      <c r="B834" s="8" t="s">
        <v>128</v>
      </c>
      <c r="C834" s="8" t="s">
        <v>296</v>
      </c>
      <c r="D834" s="8" t="s">
        <v>302</v>
      </c>
      <c r="E834" s="25">
        <v>181.5</v>
      </c>
      <c r="F834" s="25">
        <v>16.5</v>
      </c>
    </row>
    <row r="835" spans="1:6" x14ac:dyDescent="0.25">
      <c r="A835" s="8" t="s">
        <v>127</v>
      </c>
      <c r="B835" s="8" t="s">
        <v>128</v>
      </c>
      <c r="C835" s="8" t="s">
        <v>296</v>
      </c>
      <c r="D835" s="8" t="s">
        <v>303</v>
      </c>
      <c r="E835" s="25">
        <v>363</v>
      </c>
      <c r="F835" s="25">
        <v>33</v>
      </c>
    </row>
    <row r="836" spans="1:6" x14ac:dyDescent="0.25">
      <c r="A836" s="8" t="s">
        <v>127</v>
      </c>
      <c r="B836" s="8" t="s">
        <v>174</v>
      </c>
      <c r="C836" s="8" t="s">
        <v>304</v>
      </c>
      <c r="D836" s="8" t="s">
        <v>305</v>
      </c>
      <c r="E836" s="25">
        <v>477.4</v>
      </c>
      <c r="F836" s="25">
        <v>43.4</v>
      </c>
    </row>
    <row r="837" spans="1:6" x14ac:dyDescent="0.25">
      <c r="A837" s="8" t="s">
        <v>127</v>
      </c>
      <c r="B837" s="8" t="s">
        <v>174</v>
      </c>
      <c r="C837" s="8" t="s">
        <v>304</v>
      </c>
      <c r="D837" s="8" t="s">
        <v>306</v>
      </c>
      <c r="E837" s="25">
        <v>49.5</v>
      </c>
      <c r="F837" s="25">
        <v>4.5</v>
      </c>
    </row>
    <row r="838" spans="1:6" x14ac:dyDescent="0.25">
      <c r="A838" s="8" t="s">
        <v>127</v>
      </c>
      <c r="B838" s="8" t="s">
        <v>174</v>
      </c>
      <c r="C838" s="8" t="s">
        <v>304</v>
      </c>
      <c r="D838" s="8" t="s">
        <v>307</v>
      </c>
      <c r="E838" s="25">
        <v>679.8</v>
      </c>
      <c r="F838" s="25">
        <v>61.8</v>
      </c>
    </row>
    <row r="839" spans="1:6" x14ac:dyDescent="0.25">
      <c r="A839" s="8" t="s">
        <v>127</v>
      </c>
      <c r="B839" s="8" t="s">
        <v>174</v>
      </c>
      <c r="C839" s="8" t="s">
        <v>304</v>
      </c>
      <c r="D839" s="8" t="s">
        <v>308</v>
      </c>
      <c r="E839" s="25">
        <v>-49.5</v>
      </c>
      <c r="F839" s="25">
        <v>-4.5</v>
      </c>
    </row>
    <row r="840" spans="1:6" x14ac:dyDescent="0.25">
      <c r="A840" s="8" t="s">
        <v>127</v>
      </c>
      <c r="B840" s="8" t="s">
        <v>128</v>
      </c>
      <c r="C840" s="8" t="s">
        <v>309</v>
      </c>
      <c r="D840" s="8" t="s">
        <v>310</v>
      </c>
      <c r="E840" s="25">
        <v>6534</v>
      </c>
      <c r="F840" s="25">
        <v>594</v>
      </c>
    </row>
    <row r="841" spans="1:6" x14ac:dyDescent="0.25">
      <c r="A841" s="8" t="s">
        <v>127</v>
      </c>
      <c r="B841" s="8" t="s">
        <v>128</v>
      </c>
      <c r="C841" s="8" t="s">
        <v>309</v>
      </c>
      <c r="D841" s="8" t="s">
        <v>311</v>
      </c>
      <c r="E841" s="25">
        <v>726</v>
      </c>
      <c r="F841" s="25">
        <v>66</v>
      </c>
    </row>
    <row r="842" spans="1:6" x14ac:dyDescent="0.25">
      <c r="A842" s="8" t="s">
        <v>127</v>
      </c>
      <c r="B842" s="8" t="s">
        <v>128</v>
      </c>
      <c r="C842" s="8" t="s">
        <v>312</v>
      </c>
      <c r="D842" s="8" t="s">
        <v>313</v>
      </c>
      <c r="E842" s="25">
        <v>1320</v>
      </c>
      <c r="F842" s="25">
        <v>120</v>
      </c>
    </row>
    <row r="843" spans="1:6" x14ac:dyDescent="0.25">
      <c r="A843" s="8" t="s">
        <v>127</v>
      </c>
      <c r="B843" s="8" t="s">
        <v>128</v>
      </c>
      <c r="C843" s="8" t="s">
        <v>314</v>
      </c>
      <c r="D843" s="8" t="s">
        <v>315</v>
      </c>
      <c r="E843" s="25">
        <v>253</v>
      </c>
      <c r="F843" s="25">
        <v>23</v>
      </c>
    </row>
    <row r="844" spans="1:6" x14ac:dyDescent="0.25">
      <c r="A844" s="8" t="s">
        <v>127</v>
      </c>
      <c r="B844" s="8" t="s">
        <v>174</v>
      </c>
      <c r="C844" s="8" t="s">
        <v>316</v>
      </c>
      <c r="D844" s="8" t="s">
        <v>317</v>
      </c>
      <c r="E844" s="25">
        <v>378.4</v>
      </c>
      <c r="F844" s="25">
        <v>34.4</v>
      </c>
    </row>
    <row r="845" spans="1:6" x14ac:dyDescent="0.25">
      <c r="A845" s="8" t="s">
        <v>127</v>
      </c>
      <c r="B845" s="8" t="s">
        <v>128</v>
      </c>
      <c r="C845" s="8" t="s">
        <v>318</v>
      </c>
      <c r="D845" s="8" t="s">
        <v>319</v>
      </c>
      <c r="E845" s="25">
        <v>1914</v>
      </c>
      <c r="F845" s="25">
        <v>174</v>
      </c>
    </row>
    <row r="846" spans="1:6" x14ac:dyDescent="0.25">
      <c r="A846" s="8" t="s">
        <v>127</v>
      </c>
      <c r="B846" s="8" t="s">
        <v>174</v>
      </c>
      <c r="C846" s="8" t="s">
        <v>320</v>
      </c>
      <c r="D846" s="8" t="s">
        <v>321</v>
      </c>
      <c r="E846" s="25">
        <v>242</v>
      </c>
      <c r="F846" s="25">
        <v>22</v>
      </c>
    </row>
    <row r="847" spans="1:6" x14ac:dyDescent="0.25">
      <c r="A847" s="8" t="s">
        <v>127</v>
      </c>
      <c r="B847" s="8" t="s">
        <v>174</v>
      </c>
      <c r="C847" s="8" t="s">
        <v>320</v>
      </c>
      <c r="D847" s="8" t="s">
        <v>322</v>
      </c>
      <c r="E847" s="25">
        <v>665.5</v>
      </c>
      <c r="F847" s="25">
        <v>60.5</v>
      </c>
    </row>
    <row r="848" spans="1:6" x14ac:dyDescent="0.25">
      <c r="A848" s="8" t="s">
        <v>127</v>
      </c>
      <c r="B848" s="8" t="s">
        <v>174</v>
      </c>
      <c r="C848" s="8" t="s">
        <v>323</v>
      </c>
      <c r="D848" s="8" t="s">
        <v>324</v>
      </c>
      <c r="E848" s="25">
        <v>1654.4</v>
      </c>
      <c r="F848" s="25">
        <v>150.4</v>
      </c>
    </row>
    <row r="849" spans="1:6" x14ac:dyDescent="0.25">
      <c r="A849" s="8" t="s">
        <v>127</v>
      </c>
      <c r="B849" s="8" t="s">
        <v>174</v>
      </c>
      <c r="C849" s="8" t="s">
        <v>323</v>
      </c>
      <c r="D849" s="8" t="s">
        <v>325</v>
      </c>
      <c r="E849" s="25">
        <v>220</v>
      </c>
      <c r="F849" s="25">
        <v>20</v>
      </c>
    </row>
    <row r="850" spans="1:6" x14ac:dyDescent="0.25">
      <c r="A850" s="8" t="s">
        <v>127</v>
      </c>
      <c r="B850" s="8" t="s">
        <v>137</v>
      </c>
      <c r="C850" s="8" t="s">
        <v>323</v>
      </c>
      <c r="D850" s="8" t="s">
        <v>326</v>
      </c>
      <c r="E850" s="25">
        <v>46.86</v>
      </c>
      <c r="F850" s="25">
        <v>4.26</v>
      </c>
    </row>
    <row r="851" spans="1:6" x14ac:dyDescent="0.25">
      <c r="A851" s="8" t="s">
        <v>127</v>
      </c>
      <c r="B851" s="8" t="s">
        <v>128</v>
      </c>
      <c r="C851" s="8" t="s">
        <v>327</v>
      </c>
      <c r="D851" s="8" t="s">
        <v>328</v>
      </c>
      <c r="E851" s="25">
        <v>242</v>
      </c>
      <c r="F851" s="25">
        <v>22</v>
      </c>
    </row>
    <row r="852" spans="1:6" x14ac:dyDescent="0.25">
      <c r="A852" s="8" t="s">
        <v>127</v>
      </c>
      <c r="B852" s="8" t="s">
        <v>132</v>
      </c>
      <c r="C852" s="8" t="s">
        <v>329</v>
      </c>
      <c r="D852" s="8" t="s">
        <v>330</v>
      </c>
      <c r="E852" s="25">
        <v>387.2</v>
      </c>
      <c r="F852" s="25">
        <v>35.200000000000003</v>
      </c>
    </row>
    <row r="853" spans="1:6" x14ac:dyDescent="0.25">
      <c r="A853" s="8" t="s">
        <v>127</v>
      </c>
      <c r="B853" s="8" t="s">
        <v>132</v>
      </c>
      <c r="C853" s="8" t="s">
        <v>329</v>
      </c>
      <c r="D853" s="8" t="s">
        <v>331</v>
      </c>
      <c r="E853" s="25">
        <v>27.5</v>
      </c>
      <c r="F853" s="25">
        <v>2.5</v>
      </c>
    </row>
    <row r="854" spans="1:6" x14ac:dyDescent="0.25">
      <c r="A854" s="8" t="s">
        <v>127</v>
      </c>
      <c r="B854" s="8" t="s">
        <v>132</v>
      </c>
      <c r="C854" s="8" t="s">
        <v>329</v>
      </c>
      <c r="D854" s="8" t="s">
        <v>332</v>
      </c>
      <c r="E854" s="25">
        <v>27.5</v>
      </c>
      <c r="F854" s="25">
        <v>2.5</v>
      </c>
    </row>
    <row r="855" spans="1:6" x14ac:dyDescent="0.25">
      <c r="A855" s="8" t="s">
        <v>127</v>
      </c>
      <c r="B855" s="8" t="s">
        <v>128</v>
      </c>
      <c r="C855" s="8" t="s">
        <v>333</v>
      </c>
      <c r="D855" s="8" t="s">
        <v>334</v>
      </c>
      <c r="E855" s="25">
        <v>687.5</v>
      </c>
      <c r="F855" s="25">
        <v>62.5</v>
      </c>
    </row>
    <row r="856" spans="1:6" x14ac:dyDescent="0.25">
      <c r="A856" s="8" t="s">
        <v>127</v>
      </c>
      <c r="B856" s="8" t="s">
        <v>128</v>
      </c>
      <c r="C856" s="8" t="s">
        <v>335</v>
      </c>
      <c r="D856" s="8" t="s">
        <v>336</v>
      </c>
      <c r="E856" s="25">
        <v>1633.5</v>
      </c>
      <c r="F856" s="25">
        <v>148.5</v>
      </c>
    </row>
    <row r="857" spans="1:6" x14ac:dyDescent="0.25">
      <c r="A857" s="8" t="s">
        <v>127</v>
      </c>
      <c r="B857" s="8" t="s">
        <v>128</v>
      </c>
      <c r="C857" s="8" t="s">
        <v>335</v>
      </c>
      <c r="D857" s="8" t="s">
        <v>337</v>
      </c>
      <c r="E857" s="25">
        <v>-816.75</v>
      </c>
      <c r="F857" s="25">
        <v>-74.25</v>
      </c>
    </row>
    <row r="858" spans="1:6" x14ac:dyDescent="0.25">
      <c r="A858" s="8" t="s">
        <v>127</v>
      </c>
      <c r="B858" s="8" t="s">
        <v>132</v>
      </c>
      <c r="C858" s="8" t="s">
        <v>335</v>
      </c>
      <c r="D858" s="8" t="s">
        <v>338</v>
      </c>
      <c r="E858" s="25">
        <v>82.5</v>
      </c>
      <c r="F858" s="25">
        <v>7.5</v>
      </c>
    </row>
    <row r="859" spans="1:6" x14ac:dyDescent="0.25">
      <c r="A859" s="8" t="s">
        <v>127</v>
      </c>
      <c r="B859" s="8" t="s">
        <v>128</v>
      </c>
      <c r="C859" s="8" t="s">
        <v>339</v>
      </c>
      <c r="D859" s="8" t="s">
        <v>340</v>
      </c>
      <c r="E859" s="25">
        <v>486.2</v>
      </c>
      <c r="F859" s="25">
        <v>44.2</v>
      </c>
    </row>
    <row r="860" spans="1:6" x14ac:dyDescent="0.25">
      <c r="A860" s="8" t="s">
        <v>127</v>
      </c>
      <c r="B860" s="8" t="s">
        <v>137</v>
      </c>
      <c r="C860" s="8" t="s">
        <v>339</v>
      </c>
      <c r="D860" s="8" t="s">
        <v>341</v>
      </c>
      <c r="E860" s="25">
        <v>12.16</v>
      </c>
      <c r="F860" s="25">
        <v>1.1100000000000001</v>
      </c>
    </row>
    <row r="861" spans="1:6" x14ac:dyDescent="0.25">
      <c r="A861" s="8" t="s">
        <v>127</v>
      </c>
      <c r="B861" s="8" t="s">
        <v>128</v>
      </c>
      <c r="C861" s="8" t="s">
        <v>166</v>
      </c>
      <c r="D861" s="8" t="s">
        <v>342</v>
      </c>
      <c r="E861" s="25">
        <v>1699.5</v>
      </c>
      <c r="F861" s="25">
        <v>154.5</v>
      </c>
    </row>
    <row r="862" spans="1:6" x14ac:dyDescent="0.25">
      <c r="A862" s="8" t="s">
        <v>127</v>
      </c>
      <c r="B862" s="8" t="s">
        <v>128</v>
      </c>
      <c r="C862" s="8" t="s">
        <v>166</v>
      </c>
      <c r="D862" s="8" t="s">
        <v>343</v>
      </c>
      <c r="E862" s="25">
        <v>82.5</v>
      </c>
      <c r="F862" s="25">
        <v>7.5</v>
      </c>
    </row>
    <row r="863" spans="1:6" x14ac:dyDescent="0.25">
      <c r="A863" s="8" t="s">
        <v>344</v>
      </c>
      <c r="B863" s="8" t="s">
        <v>128</v>
      </c>
      <c r="C863" s="8" t="s">
        <v>345</v>
      </c>
      <c r="D863" s="8" t="s">
        <v>346</v>
      </c>
      <c r="E863" s="25">
        <v>419.1</v>
      </c>
      <c r="F863" s="25">
        <v>38.1</v>
      </c>
    </row>
    <row r="864" spans="1:6" x14ac:dyDescent="0.25">
      <c r="A864" s="8" t="s">
        <v>344</v>
      </c>
      <c r="B864" s="8" t="s">
        <v>347</v>
      </c>
      <c r="C864" s="8" t="s">
        <v>348</v>
      </c>
      <c r="D864" s="8" t="s">
        <v>349</v>
      </c>
      <c r="E864" s="25">
        <v>220</v>
      </c>
      <c r="F864" s="25">
        <v>20</v>
      </c>
    </row>
    <row r="865" spans="1:6" x14ac:dyDescent="0.25">
      <c r="A865" s="8" t="s">
        <v>344</v>
      </c>
      <c r="B865" s="8" t="s">
        <v>128</v>
      </c>
      <c r="C865" s="8" t="s">
        <v>348</v>
      </c>
      <c r="D865" s="8" t="s">
        <v>350</v>
      </c>
      <c r="E865" s="25">
        <v>84.15</v>
      </c>
      <c r="F865" s="25">
        <v>7.65</v>
      </c>
    </row>
    <row r="866" spans="1:6" x14ac:dyDescent="0.25">
      <c r="A866" s="8" t="s">
        <v>344</v>
      </c>
      <c r="B866" s="8" t="s">
        <v>128</v>
      </c>
      <c r="C866" s="8" t="s">
        <v>348</v>
      </c>
      <c r="D866" s="8" t="s">
        <v>351</v>
      </c>
      <c r="E866" s="25">
        <v>186.23</v>
      </c>
      <c r="F866" s="25">
        <v>16.93</v>
      </c>
    </row>
    <row r="867" spans="1:6" x14ac:dyDescent="0.25">
      <c r="A867" s="8" t="s">
        <v>344</v>
      </c>
      <c r="B867" s="8" t="s">
        <v>347</v>
      </c>
      <c r="C867" s="8" t="s">
        <v>352</v>
      </c>
      <c r="D867" s="8" t="s">
        <v>353</v>
      </c>
      <c r="E867" s="25">
        <v>220</v>
      </c>
      <c r="F867" s="25">
        <v>20</v>
      </c>
    </row>
    <row r="868" spans="1:6" x14ac:dyDescent="0.25">
      <c r="A868" s="8" t="s">
        <v>344</v>
      </c>
      <c r="B868" s="8" t="s">
        <v>128</v>
      </c>
      <c r="C868" s="8" t="s">
        <v>352</v>
      </c>
      <c r="D868" s="8" t="s">
        <v>354</v>
      </c>
      <c r="E868" s="25">
        <v>406.23</v>
      </c>
      <c r="F868" s="25">
        <v>36.93</v>
      </c>
    </row>
    <row r="869" spans="1:6" x14ac:dyDescent="0.25">
      <c r="A869" s="8" t="s">
        <v>344</v>
      </c>
      <c r="B869" s="8" t="s">
        <v>128</v>
      </c>
      <c r="C869" s="8" t="s">
        <v>352</v>
      </c>
      <c r="D869" s="8" t="s">
        <v>355</v>
      </c>
      <c r="E869" s="25">
        <v>183.15</v>
      </c>
      <c r="F869" s="25">
        <v>16.649999999999999</v>
      </c>
    </row>
    <row r="870" spans="1:6" x14ac:dyDescent="0.25">
      <c r="A870" s="8" t="s">
        <v>344</v>
      </c>
      <c r="B870" s="8" t="s">
        <v>356</v>
      </c>
      <c r="C870" s="8" t="s">
        <v>357</v>
      </c>
      <c r="D870" s="8" t="s">
        <v>358</v>
      </c>
      <c r="E870" s="25">
        <v>17908</v>
      </c>
      <c r="F870" s="25">
        <v>1628</v>
      </c>
    </row>
    <row r="871" spans="1:6" x14ac:dyDescent="0.25">
      <c r="A871" s="8" t="s">
        <v>344</v>
      </c>
      <c r="B871" s="8" t="s">
        <v>128</v>
      </c>
      <c r="C871" s="8" t="s">
        <v>359</v>
      </c>
      <c r="D871" s="8" t="s">
        <v>360</v>
      </c>
      <c r="E871" s="25">
        <v>594</v>
      </c>
      <c r="F871" s="25">
        <v>54</v>
      </c>
    </row>
    <row r="872" spans="1:6" x14ac:dyDescent="0.25">
      <c r="A872" s="8" t="s">
        <v>344</v>
      </c>
      <c r="B872" s="8" t="s">
        <v>347</v>
      </c>
      <c r="C872" s="8" t="s">
        <v>359</v>
      </c>
      <c r="D872" s="8" t="s">
        <v>361</v>
      </c>
      <c r="E872" s="25">
        <v>1320</v>
      </c>
      <c r="F872" s="25">
        <v>120</v>
      </c>
    </row>
    <row r="873" spans="1:6" x14ac:dyDescent="0.25">
      <c r="A873" s="8" t="s">
        <v>362</v>
      </c>
      <c r="B873" s="8" t="s">
        <v>132</v>
      </c>
      <c r="C873" s="8" t="s">
        <v>363</v>
      </c>
      <c r="D873" s="8" t="s">
        <v>364</v>
      </c>
      <c r="E873" s="25">
        <v>-653.4</v>
      </c>
      <c r="F873" s="25">
        <v>-59.4</v>
      </c>
    </row>
    <row r="874" spans="1:6" x14ac:dyDescent="0.25">
      <c r="A874" s="8" t="s">
        <v>362</v>
      </c>
      <c r="B874" s="8" t="s">
        <v>132</v>
      </c>
      <c r="C874" s="8" t="s">
        <v>363</v>
      </c>
      <c r="D874" s="8" t="s">
        <v>365</v>
      </c>
      <c r="E874" s="25">
        <v>-653.4</v>
      </c>
      <c r="F874" s="25">
        <v>-59.4</v>
      </c>
    </row>
    <row r="875" spans="1:6" x14ac:dyDescent="0.25">
      <c r="A875" s="8" t="s">
        <v>362</v>
      </c>
      <c r="B875" s="8" t="s">
        <v>356</v>
      </c>
      <c r="C875" s="8" t="s">
        <v>366</v>
      </c>
      <c r="D875" s="8" t="s">
        <v>367</v>
      </c>
      <c r="E875" s="25">
        <v>1221</v>
      </c>
      <c r="F875" s="25">
        <v>111</v>
      </c>
    </row>
    <row r="876" spans="1:6" x14ac:dyDescent="0.25">
      <c r="A876" s="8" t="s">
        <v>362</v>
      </c>
      <c r="B876" s="8" t="s">
        <v>128</v>
      </c>
      <c r="C876" s="8" t="s">
        <v>368</v>
      </c>
      <c r="D876" s="8" t="s">
        <v>369</v>
      </c>
      <c r="E876" s="25">
        <v>-1452</v>
      </c>
      <c r="F876" s="25">
        <v>-132</v>
      </c>
    </row>
    <row r="877" spans="1:6" x14ac:dyDescent="0.25">
      <c r="A877" s="8" t="s">
        <v>370</v>
      </c>
      <c r="B877" s="8" t="s">
        <v>356</v>
      </c>
      <c r="C877" s="8" t="s">
        <v>357</v>
      </c>
      <c r="D877" s="8" t="s">
        <v>371</v>
      </c>
      <c r="E877" s="25">
        <v>2035</v>
      </c>
      <c r="F877" s="25">
        <v>185</v>
      </c>
    </row>
    <row r="878" spans="1:6" x14ac:dyDescent="0.25">
      <c r="A878" s="8" t="s">
        <v>370</v>
      </c>
      <c r="B878" s="8" t="s">
        <v>356</v>
      </c>
      <c r="C878" s="8" t="s">
        <v>357</v>
      </c>
      <c r="D878" s="8" t="s">
        <v>372</v>
      </c>
      <c r="E878" s="25">
        <v>2849</v>
      </c>
      <c r="F878" s="25">
        <v>259</v>
      </c>
    </row>
    <row r="879" spans="1:6" x14ac:dyDescent="0.25">
      <c r="A879" s="8" t="s">
        <v>373</v>
      </c>
      <c r="B879" s="8" t="s">
        <v>174</v>
      </c>
      <c r="C879" s="8" t="s">
        <v>175</v>
      </c>
      <c r="D879" s="8" t="s">
        <v>176</v>
      </c>
      <c r="E879" s="25">
        <v>-330</v>
      </c>
      <c r="F879" s="25">
        <v>-30</v>
      </c>
    </row>
    <row r="880" spans="1:6" x14ac:dyDescent="0.25">
      <c r="A880" s="8" t="s">
        <v>373</v>
      </c>
      <c r="B880" s="8" t="s">
        <v>174</v>
      </c>
      <c r="C880" s="8" t="s">
        <v>175</v>
      </c>
      <c r="D880" s="8" t="s">
        <v>177</v>
      </c>
      <c r="E880" s="25">
        <v>-27.5</v>
      </c>
      <c r="F880" s="25">
        <v>-2.5</v>
      </c>
    </row>
    <row r="881" spans="1:6" x14ac:dyDescent="0.25">
      <c r="A881" s="8" t="s">
        <v>373</v>
      </c>
      <c r="B881" s="8" t="s">
        <v>128</v>
      </c>
      <c r="C881" s="8" t="s">
        <v>374</v>
      </c>
      <c r="D881" s="8" t="s">
        <v>375</v>
      </c>
      <c r="E881" s="25">
        <v>858</v>
      </c>
      <c r="F881" s="25">
        <v>78</v>
      </c>
    </row>
    <row r="882" spans="1:6" x14ac:dyDescent="0.25">
      <c r="A882" s="8" t="s">
        <v>376</v>
      </c>
      <c r="B882" s="8" t="s">
        <v>356</v>
      </c>
      <c r="C882" s="8" t="s">
        <v>377</v>
      </c>
      <c r="D882" s="8" t="s">
        <v>378</v>
      </c>
      <c r="E882" s="25">
        <v>1017.5</v>
      </c>
      <c r="F882" s="25">
        <v>92.5</v>
      </c>
    </row>
    <row r="883" spans="1:6" x14ac:dyDescent="0.25">
      <c r="A883" s="8" t="s">
        <v>376</v>
      </c>
      <c r="B883" s="8" t="s">
        <v>356</v>
      </c>
      <c r="C883" s="8" t="s">
        <v>379</v>
      </c>
      <c r="D883" s="8" t="s">
        <v>380</v>
      </c>
      <c r="E883" s="25">
        <v>1831.5</v>
      </c>
      <c r="F883" s="25">
        <v>166.5</v>
      </c>
    </row>
    <row r="884" spans="1:6" x14ac:dyDescent="0.25">
      <c r="A884" s="8" t="s">
        <v>376</v>
      </c>
      <c r="B884" s="8" t="s">
        <v>356</v>
      </c>
      <c r="C884" s="8" t="s">
        <v>381</v>
      </c>
      <c r="D884" s="8" t="s">
        <v>382</v>
      </c>
      <c r="E884" s="25">
        <v>1628</v>
      </c>
      <c r="F884" s="25">
        <v>148</v>
      </c>
    </row>
    <row r="885" spans="1:6" x14ac:dyDescent="0.25">
      <c r="A885" s="8" t="s">
        <v>383</v>
      </c>
      <c r="B885" s="8" t="s">
        <v>356</v>
      </c>
      <c r="C885" s="8" t="s">
        <v>384</v>
      </c>
      <c r="D885" s="8" t="s">
        <v>385</v>
      </c>
      <c r="E885" s="25">
        <v>1017.5</v>
      </c>
      <c r="F885" s="25">
        <v>92.5</v>
      </c>
    </row>
    <row r="886" spans="1:6" x14ac:dyDescent="0.25">
      <c r="A886" s="8" t="s">
        <v>386</v>
      </c>
      <c r="B886" s="8" t="s">
        <v>137</v>
      </c>
      <c r="C886" s="8" t="s">
        <v>387</v>
      </c>
      <c r="D886" s="8" t="s">
        <v>388</v>
      </c>
      <c r="E886" s="25">
        <v>3080</v>
      </c>
      <c r="F886" s="25">
        <v>280</v>
      </c>
    </row>
    <row r="887" spans="1:6" x14ac:dyDescent="0.25">
      <c r="A887" s="8" t="s">
        <v>386</v>
      </c>
      <c r="B887" s="8" t="s">
        <v>137</v>
      </c>
      <c r="C887" s="8" t="s">
        <v>389</v>
      </c>
      <c r="D887" s="8" t="s">
        <v>390</v>
      </c>
      <c r="E887" s="25">
        <v>825</v>
      </c>
      <c r="F887" s="25">
        <v>75</v>
      </c>
    </row>
    <row r="888" spans="1:6" x14ac:dyDescent="0.25">
      <c r="A888" s="8" t="s">
        <v>386</v>
      </c>
      <c r="B888" s="8" t="s">
        <v>128</v>
      </c>
      <c r="C888" s="8" t="s">
        <v>391</v>
      </c>
      <c r="D888" s="8" t="s">
        <v>392</v>
      </c>
      <c r="E888" s="25">
        <v>330</v>
      </c>
      <c r="F888" s="25">
        <v>30</v>
      </c>
    </row>
    <row r="889" spans="1:6" x14ac:dyDescent="0.25">
      <c r="A889" s="8" t="s">
        <v>393</v>
      </c>
      <c r="B889" s="8" t="s">
        <v>394</v>
      </c>
      <c r="C889" s="8" t="s">
        <v>70</v>
      </c>
      <c r="D889" s="8" t="s">
        <v>395</v>
      </c>
      <c r="E889" s="25">
        <v>4514</v>
      </c>
      <c r="F889" s="25">
        <v>410.36</v>
      </c>
    </row>
    <row r="890" spans="1:6" x14ac:dyDescent="0.25">
      <c r="A890" s="8" t="s">
        <v>393</v>
      </c>
      <c r="B890" s="8" t="s">
        <v>356</v>
      </c>
      <c r="C890" s="8" t="s">
        <v>357</v>
      </c>
      <c r="D890" s="8" t="s">
        <v>396</v>
      </c>
      <c r="E890" s="25">
        <v>874.5</v>
      </c>
      <c r="F890" s="25">
        <v>79.5</v>
      </c>
    </row>
    <row r="891" spans="1:6" x14ac:dyDescent="0.25">
      <c r="A891" s="8" t="s">
        <v>393</v>
      </c>
      <c r="B891" s="8" t="s">
        <v>128</v>
      </c>
      <c r="C891" s="8" t="s">
        <v>397</v>
      </c>
      <c r="D891" s="8" t="s">
        <v>398</v>
      </c>
      <c r="E891" s="25">
        <v>-495</v>
      </c>
      <c r="F891" s="25">
        <v>-45</v>
      </c>
    </row>
    <row r="892" spans="1:6" x14ac:dyDescent="0.25">
      <c r="A892" s="8" t="s">
        <v>393</v>
      </c>
      <c r="B892" s="8" t="s">
        <v>356</v>
      </c>
      <c r="C892" s="8" t="s">
        <v>399</v>
      </c>
      <c r="D892" s="8" t="s">
        <v>400</v>
      </c>
      <c r="E892" s="25">
        <v>610.5</v>
      </c>
      <c r="F892" s="25">
        <v>55.5</v>
      </c>
    </row>
    <row r="893" spans="1:6" x14ac:dyDescent="0.25">
      <c r="A893" s="8" t="s">
        <v>401</v>
      </c>
      <c r="B893" s="8" t="s">
        <v>394</v>
      </c>
      <c r="C893" s="8" t="s">
        <v>70</v>
      </c>
      <c r="D893" s="8" t="s">
        <v>395</v>
      </c>
      <c r="E893" s="25">
        <v>3183</v>
      </c>
      <c r="F893" s="25">
        <v>289.36</v>
      </c>
    </row>
    <row r="894" spans="1:6" x14ac:dyDescent="0.25">
      <c r="A894" s="8" t="s">
        <v>402</v>
      </c>
      <c r="B894" s="8" t="s">
        <v>128</v>
      </c>
      <c r="C894" s="8" t="s">
        <v>403</v>
      </c>
      <c r="D894" s="8" t="s">
        <v>404</v>
      </c>
      <c r="E894" s="25">
        <v>379.5</v>
      </c>
      <c r="F894" s="25">
        <v>34.5</v>
      </c>
    </row>
    <row r="895" spans="1:6" x14ac:dyDescent="0.25">
      <c r="A895" s="8" t="s">
        <v>402</v>
      </c>
      <c r="B895" s="8" t="s">
        <v>128</v>
      </c>
      <c r="C895" s="8" t="s">
        <v>403</v>
      </c>
      <c r="D895" s="8" t="s">
        <v>405</v>
      </c>
      <c r="E895" s="25">
        <v>148.5</v>
      </c>
      <c r="F895" s="25">
        <v>13.5</v>
      </c>
    </row>
    <row r="896" spans="1:6" x14ac:dyDescent="0.25">
      <c r="A896" s="8" t="s">
        <v>402</v>
      </c>
      <c r="B896" s="8" t="s">
        <v>128</v>
      </c>
      <c r="C896" s="8" t="s">
        <v>406</v>
      </c>
      <c r="D896" s="8" t="s">
        <v>407</v>
      </c>
      <c r="E896" s="25">
        <v>660</v>
      </c>
      <c r="F896" s="25">
        <v>60</v>
      </c>
    </row>
    <row r="897" spans="1:6" x14ac:dyDescent="0.25">
      <c r="A897" s="8" t="s">
        <v>402</v>
      </c>
      <c r="B897" s="8" t="s">
        <v>128</v>
      </c>
      <c r="C897" s="8" t="s">
        <v>406</v>
      </c>
      <c r="D897" s="8" t="s">
        <v>408</v>
      </c>
      <c r="E897" s="25">
        <v>82.5</v>
      </c>
      <c r="F897" s="25">
        <v>7.5</v>
      </c>
    </row>
    <row r="898" spans="1:6" x14ac:dyDescent="0.25">
      <c r="A898" s="8" t="s">
        <v>402</v>
      </c>
      <c r="B898" s="8" t="s">
        <v>128</v>
      </c>
      <c r="C898" s="8" t="s">
        <v>406</v>
      </c>
      <c r="D898" s="8" t="s">
        <v>409</v>
      </c>
      <c r="E898" s="25">
        <v>990</v>
      </c>
      <c r="F898" s="25">
        <v>90</v>
      </c>
    </row>
    <row r="899" spans="1:6" x14ac:dyDescent="0.25">
      <c r="A899" s="8" t="s">
        <v>402</v>
      </c>
      <c r="B899" s="8" t="s">
        <v>128</v>
      </c>
      <c r="C899" s="8" t="s">
        <v>406</v>
      </c>
      <c r="D899" s="8" t="s">
        <v>410</v>
      </c>
      <c r="E899" s="25">
        <v>82.5</v>
      </c>
      <c r="F899" s="25">
        <v>7.5</v>
      </c>
    </row>
    <row r="900" spans="1:6" x14ac:dyDescent="0.25">
      <c r="A900" s="8" t="s">
        <v>402</v>
      </c>
      <c r="B900" s="8" t="s">
        <v>132</v>
      </c>
      <c r="C900" s="8" t="s">
        <v>411</v>
      </c>
      <c r="D900" s="8" t="s">
        <v>412</v>
      </c>
      <c r="E900" s="25">
        <v>1247.4000000000001</v>
      </c>
      <c r="F900" s="25">
        <v>113.4</v>
      </c>
    </row>
    <row r="901" spans="1:6" x14ac:dyDescent="0.25">
      <c r="A901" s="8" t="s">
        <v>402</v>
      </c>
      <c r="B901" s="8" t="s">
        <v>132</v>
      </c>
      <c r="C901" s="8" t="s">
        <v>411</v>
      </c>
      <c r="D901" s="8" t="s">
        <v>413</v>
      </c>
      <c r="E901" s="25">
        <v>1247.4000000000001</v>
      </c>
      <c r="F901" s="25">
        <v>113.4</v>
      </c>
    </row>
    <row r="902" spans="1:6" x14ac:dyDescent="0.25">
      <c r="A902" s="8" t="s">
        <v>402</v>
      </c>
      <c r="B902" s="8" t="s">
        <v>132</v>
      </c>
      <c r="C902" s="8" t="s">
        <v>411</v>
      </c>
      <c r="D902" s="8" t="s">
        <v>414</v>
      </c>
      <c r="E902" s="25">
        <v>330</v>
      </c>
      <c r="F902" s="25">
        <v>30</v>
      </c>
    </row>
    <row r="903" spans="1:6" x14ac:dyDescent="0.25">
      <c r="A903" s="8" t="s">
        <v>402</v>
      </c>
      <c r="B903" s="8" t="s">
        <v>132</v>
      </c>
      <c r="C903" s="8" t="s">
        <v>411</v>
      </c>
      <c r="D903" s="8" t="s">
        <v>415</v>
      </c>
      <c r="E903" s="25">
        <v>330</v>
      </c>
      <c r="F903" s="25">
        <v>30</v>
      </c>
    </row>
    <row r="904" spans="1:6" x14ac:dyDescent="0.25">
      <c r="A904" s="8" t="s">
        <v>402</v>
      </c>
      <c r="B904" s="8" t="s">
        <v>132</v>
      </c>
      <c r="C904" s="8" t="s">
        <v>416</v>
      </c>
      <c r="D904" s="8" t="s">
        <v>417</v>
      </c>
      <c r="E904" s="25">
        <v>727.65</v>
      </c>
      <c r="F904" s="25">
        <v>66.150000000000006</v>
      </c>
    </row>
    <row r="905" spans="1:6" x14ac:dyDescent="0.25">
      <c r="A905" s="8" t="s">
        <v>402</v>
      </c>
      <c r="B905" s="8" t="s">
        <v>132</v>
      </c>
      <c r="C905" s="8" t="s">
        <v>416</v>
      </c>
      <c r="D905" s="8" t="s">
        <v>418</v>
      </c>
      <c r="E905" s="25">
        <v>82.5</v>
      </c>
      <c r="F905" s="25">
        <v>7.5</v>
      </c>
    </row>
    <row r="906" spans="1:6" x14ac:dyDescent="0.25">
      <c r="A906" s="8" t="s">
        <v>402</v>
      </c>
      <c r="B906" s="8" t="s">
        <v>132</v>
      </c>
      <c r="C906" s="8" t="s">
        <v>416</v>
      </c>
      <c r="D906" s="8" t="s">
        <v>419</v>
      </c>
      <c r="E906" s="25">
        <v>82.5</v>
      </c>
      <c r="F906" s="25">
        <v>7.5</v>
      </c>
    </row>
    <row r="907" spans="1:6" x14ac:dyDescent="0.25">
      <c r="A907" s="8" t="s">
        <v>402</v>
      </c>
      <c r="B907" s="8" t="s">
        <v>132</v>
      </c>
      <c r="C907" s="8" t="s">
        <v>416</v>
      </c>
      <c r="D907" s="8" t="s">
        <v>420</v>
      </c>
      <c r="E907" s="25">
        <v>103.95</v>
      </c>
      <c r="F907" s="25">
        <v>9.4499999999999993</v>
      </c>
    </row>
    <row r="908" spans="1:6" x14ac:dyDescent="0.25">
      <c r="A908" s="8" t="s">
        <v>402</v>
      </c>
      <c r="B908" s="8" t="s">
        <v>132</v>
      </c>
      <c r="C908" s="8" t="s">
        <v>416</v>
      </c>
      <c r="D908" s="8" t="s">
        <v>421</v>
      </c>
      <c r="E908" s="25">
        <v>363</v>
      </c>
      <c r="F908" s="25">
        <v>33</v>
      </c>
    </row>
    <row r="909" spans="1:6" x14ac:dyDescent="0.25">
      <c r="A909" s="8" t="s">
        <v>402</v>
      </c>
      <c r="B909" s="8" t="s">
        <v>174</v>
      </c>
      <c r="C909" s="8" t="s">
        <v>314</v>
      </c>
      <c r="D909" s="8" t="s">
        <v>225</v>
      </c>
      <c r="E909" s="25">
        <v>1589.5</v>
      </c>
      <c r="F909" s="25">
        <v>144.5</v>
      </c>
    </row>
    <row r="910" spans="1:6" x14ac:dyDescent="0.25">
      <c r="A910" s="8" t="s">
        <v>402</v>
      </c>
      <c r="B910" s="8" t="s">
        <v>174</v>
      </c>
      <c r="C910" s="8" t="s">
        <v>314</v>
      </c>
      <c r="D910" s="8" t="s">
        <v>226</v>
      </c>
      <c r="E910" s="25">
        <v>49.5</v>
      </c>
      <c r="F910" s="25">
        <v>4.5</v>
      </c>
    </row>
    <row r="911" spans="1:6" x14ac:dyDescent="0.25">
      <c r="A911" s="8" t="s">
        <v>402</v>
      </c>
      <c r="B911" s="8" t="s">
        <v>132</v>
      </c>
      <c r="C911" s="8" t="s">
        <v>314</v>
      </c>
      <c r="D911" s="8" t="s">
        <v>227</v>
      </c>
      <c r="E911" s="25">
        <v>110</v>
      </c>
      <c r="F911" s="25">
        <v>10</v>
      </c>
    </row>
    <row r="912" spans="1:6" x14ac:dyDescent="0.25">
      <c r="A912" s="8" t="s">
        <v>402</v>
      </c>
      <c r="B912" s="8" t="s">
        <v>128</v>
      </c>
      <c r="C912" s="8" t="s">
        <v>422</v>
      </c>
      <c r="D912" s="8" t="s">
        <v>423</v>
      </c>
      <c r="E912" s="25">
        <v>165</v>
      </c>
      <c r="F912" s="25">
        <v>15</v>
      </c>
    </row>
    <row r="913" spans="1:6" x14ac:dyDescent="0.25">
      <c r="A913" s="8" t="s">
        <v>402</v>
      </c>
      <c r="B913" s="8" t="s">
        <v>128</v>
      </c>
      <c r="C913" s="8" t="s">
        <v>422</v>
      </c>
      <c r="D913" s="8" t="s">
        <v>243</v>
      </c>
      <c r="E913" s="25">
        <v>16.5</v>
      </c>
      <c r="F913" s="25">
        <v>1.5</v>
      </c>
    </row>
    <row r="914" spans="1:6" x14ac:dyDescent="0.25">
      <c r="A914" s="8" t="s">
        <v>402</v>
      </c>
      <c r="B914" s="8" t="s">
        <v>128</v>
      </c>
      <c r="C914" s="8" t="s">
        <v>424</v>
      </c>
      <c r="D914" s="8" t="s">
        <v>425</v>
      </c>
      <c r="E914" s="25">
        <v>330</v>
      </c>
      <c r="F914" s="25">
        <v>30</v>
      </c>
    </row>
    <row r="915" spans="1:6" x14ac:dyDescent="0.25">
      <c r="A915" s="8" t="s">
        <v>402</v>
      </c>
      <c r="B915" s="8" t="s">
        <v>128</v>
      </c>
      <c r="C915" s="8" t="s">
        <v>426</v>
      </c>
      <c r="D915" s="8" t="s">
        <v>427</v>
      </c>
      <c r="E915" s="25">
        <v>1980</v>
      </c>
      <c r="F915" s="25">
        <v>180</v>
      </c>
    </row>
    <row r="916" spans="1:6" x14ac:dyDescent="0.25">
      <c r="A916" s="8" t="s">
        <v>402</v>
      </c>
      <c r="B916" s="8" t="s">
        <v>128</v>
      </c>
      <c r="C916" s="8" t="s">
        <v>426</v>
      </c>
      <c r="D916" s="8" t="s">
        <v>428</v>
      </c>
      <c r="E916" s="25">
        <v>-198</v>
      </c>
      <c r="F916" s="25">
        <v>-18</v>
      </c>
    </row>
    <row r="917" spans="1:6" x14ac:dyDescent="0.25">
      <c r="A917" s="8" t="s">
        <v>402</v>
      </c>
      <c r="B917" s="8" t="s">
        <v>132</v>
      </c>
      <c r="C917" s="8" t="s">
        <v>429</v>
      </c>
      <c r="D917" s="8" t="s">
        <v>330</v>
      </c>
      <c r="E917" s="25">
        <v>387.2</v>
      </c>
      <c r="F917" s="25">
        <v>35.200000000000003</v>
      </c>
    </row>
    <row r="918" spans="1:6" x14ac:dyDescent="0.25">
      <c r="A918" s="8" t="s">
        <v>402</v>
      </c>
      <c r="B918" s="8" t="s">
        <v>132</v>
      </c>
      <c r="C918" s="8" t="s">
        <v>429</v>
      </c>
      <c r="D918" s="8" t="s">
        <v>331</v>
      </c>
      <c r="E918" s="25">
        <v>27.5</v>
      </c>
      <c r="F918" s="25">
        <v>2.5</v>
      </c>
    </row>
    <row r="919" spans="1:6" x14ac:dyDescent="0.25">
      <c r="A919" s="8" t="s">
        <v>402</v>
      </c>
      <c r="B919" s="8" t="s">
        <v>132</v>
      </c>
      <c r="C919" s="8" t="s">
        <v>429</v>
      </c>
      <c r="D919" s="8" t="s">
        <v>430</v>
      </c>
      <c r="E919" s="25">
        <v>27.5</v>
      </c>
      <c r="F919" s="25">
        <v>2.5</v>
      </c>
    </row>
    <row r="920" spans="1:6" x14ac:dyDescent="0.25">
      <c r="A920" s="8" t="s">
        <v>402</v>
      </c>
      <c r="B920" s="8" t="s">
        <v>128</v>
      </c>
      <c r="C920" s="8" t="s">
        <v>391</v>
      </c>
      <c r="D920" s="8" t="s">
        <v>431</v>
      </c>
      <c r="E920" s="25">
        <v>15840</v>
      </c>
      <c r="F920" s="25">
        <v>1440</v>
      </c>
    </row>
    <row r="921" spans="1:6" x14ac:dyDescent="0.25">
      <c r="A921" s="8" t="s">
        <v>402</v>
      </c>
      <c r="B921" s="8" t="s">
        <v>128</v>
      </c>
      <c r="C921" s="8" t="s">
        <v>391</v>
      </c>
      <c r="D921" s="8" t="s">
        <v>432</v>
      </c>
      <c r="E921" s="25">
        <v>33</v>
      </c>
      <c r="F921" s="25">
        <v>3</v>
      </c>
    </row>
    <row r="922" spans="1:6" x14ac:dyDescent="0.25">
      <c r="A922" s="8" t="s">
        <v>402</v>
      </c>
      <c r="B922" s="8" t="s">
        <v>128</v>
      </c>
      <c r="C922" s="8" t="s">
        <v>391</v>
      </c>
      <c r="D922" s="8" t="s">
        <v>433</v>
      </c>
      <c r="E922" s="25">
        <v>3300</v>
      </c>
      <c r="F922" s="25">
        <v>300</v>
      </c>
    </row>
    <row r="923" spans="1:6" x14ac:dyDescent="0.25">
      <c r="A923" s="8" t="s">
        <v>402</v>
      </c>
      <c r="B923" s="8" t="s">
        <v>128</v>
      </c>
      <c r="C923" s="8" t="s">
        <v>391</v>
      </c>
      <c r="D923" s="8" t="s">
        <v>434</v>
      </c>
      <c r="E923" s="25">
        <v>23908.5</v>
      </c>
      <c r="F923" s="25">
        <v>2173.5</v>
      </c>
    </row>
    <row r="924" spans="1:6" x14ac:dyDescent="0.25">
      <c r="A924" s="8" t="s">
        <v>402</v>
      </c>
      <c r="B924" s="8" t="s">
        <v>128</v>
      </c>
      <c r="C924" s="8" t="s">
        <v>391</v>
      </c>
      <c r="D924" s="8" t="s">
        <v>435</v>
      </c>
      <c r="E924" s="25">
        <v>2640</v>
      </c>
      <c r="F924" s="25">
        <v>240</v>
      </c>
    </row>
    <row r="925" spans="1:6" x14ac:dyDescent="0.25">
      <c r="A925" s="8" t="s">
        <v>402</v>
      </c>
      <c r="B925" s="8" t="s">
        <v>128</v>
      </c>
      <c r="C925" s="8" t="s">
        <v>391</v>
      </c>
      <c r="D925" s="8" t="s">
        <v>436</v>
      </c>
      <c r="E925" s="25">
        <v>742.5</v>
      </c>
      <c r="F925" s="25">
        <v>67.5</v>
      </c>
    </row>
    <row r="926" spans="1:6" x14ac:dyDescent="0.25">
      <c r="A926" s="8" t="s">
        <v>402</v>
      </c>
      <c r="B926" s="8" t="s">
        <v>128</v>
      </c>
      <c r="C926" s="8" t="s">
        <v>391</v>
      </c>
      <c r="D926" s="8" t="s">
        <v>437</v>
      </c>
      <c r="E926" s="25">
        <v>1980</v>
      </c>
      <c r="F926" s="25">
        <v>180</v>
      </c>
    </row>
    <row r="927" spans="1:6" x14ac:dyDescent="0.25">
      <c r="A927" s="8" t="s">
        <v>402</v>
      </c>
      <c r="B927" s="8" t="s">
        <v>128</v>
      </c>
      <c r="C927" s="8" t="s">
        <v>391</v>
      </c>
      <c r="D927" s="8" t="s">
        <v>438</v>
      </c>
      <c r="E927" s="25">
        <v>742.5</v>
      </c>
      <c r="F927" s="25">
        <v>67.5</v>
      </c>
    </row>
    <row r="928" spans="1:6" x14ac:dyDescent="0.25">
      <c r="A928" s="8" t="s">
        <v>402</v>
      </c>
      <c r="B928" s="8" t="s">
        <v>128</v>
      </c>
      <c r="C928" s="8" t="s">
        <v>391</v>
      </c>
      <c r="D928" s="8" t="s">
        <v>439</v>
      </c>
      <c r="E928" s="25">
        <v>445.5</v>
      </c>
      <c r="F928" s="25">
        <v>40.5</v>
      </c>
    </row>
    <row r="929" spans="1:6" x14ac:dyDescent="0.25">
      <c r="A929" s="8" t="s">
        <v>402</v>
      </c>
      <c r="B929" s="8" t="s">
        <v>128</v>
      </c>
      <c r="C929" s="8" t="s">
        <v>391</v>
      </c>
      <c r="D929" s="8" t="s">
        <v>440</v>
      </c>
      <c r="E929" s="25">
        <v>1930.5</v>
      </c>
      <c r="F929" s="25">
        <v>175.5</v>
      </c>
    </row>
    <row r="930" spans="1:6" x14ac:dyDescent="0.25">
      <c r="A930" s="8" t="s">
        <v>402</v>
      </c>
      <c r="B930" s="8" t="s">
        <v>128</v>
      </c>
      <c r="C930" s="8" t="s">
        <v>391</v>
      </c>
      <c r="D930" s="8" t="s">
        <v>441</v>
      </c>
      <c r="E930" s="25">
        <v>742.5</v>
      </c>
      <c r="F930" s="25">
        <v>67.5</v>
      </c>
    </row>
    <row r="931" spans="1:6" x14ac:dyDescent="0.25">
      <c r="A931" s="8" t="s">
        <v>402</v>
      </c>
      <c r="B931" s="8" t="s">
        <v>128</v>
      </c>
      <c r="C931" s="8" t="s">
        <v>442</v>
      </c>
      <c r="D931" s="8" t="s">
        <v>443</v>
      </c>
      <c r="E931" s="25">
        <v>4445.1000000000004</v>
      </c>
      <c r="F931" s="25">
        <v>404.1</v>
      </c>
    </row>
    <row r="932" spans="1:6" x14ac:dyDescent="0.25">
      <c r="A932" s="8" t="s">
        <v>402</v>
      </c>
      <c r="B932" s="8" t="s">
        <v>128</v>
      </c>
      <c r="C932" s="8" t="s">
        <v>442</v>
      </c>
      <c r="D932" s="8" t="s">
        <v>444</v>
      </c>
      <c r="E932" s="25">
        <v>82.5</v>
      </c>
      <c r="F932" s="25">
        <v>7.5</v>
      </c>
    </row>
    <row r="933" spans="1:6" x14ac:dyDescent="0.25">
      <c r="A933" s="8" t="s">
        <v>402</v>
      </c>
      <c r="B933" s="8" t="s">
        <v>128</v>
      </c>
      <c r="C933" s="8" t="s">
        <v>445</v>
      </c>
      <c r="D933" s="8" t="s">
        <v>446</v>
      </c>
      <c r="E933" s="25">
        <v>990</v>
      </c>
      <c r="F933" s="25">
        <v>90</v>
      </c>
    </row>
    <row r="934" spans="1:6" x14ac:dyDescent="0.25">
      <c r="A934" s="8" t="s">
        <v>402</v>
      </c>
      <c r="B934" s="8" t="s">
        <v>128</v>
      </c>
      <c r="C934" s="8" t="s">
        <v>445</v>
      </c>
      <c r="D934" s="8" t="s">
        <v>447</v>
      </c>
      <c r="E934" s="25">
        <v>82.5</v>
      </c>
      <c r="F934" s="25">
        <v>7.5</v>
      </c>
    </row>
    <row r="935" spans="1:6" x14ac:dyDescent="0.25">
      <c r="A935" s="8" t="s">
        <v>402</v>
      </c>
      <c r="B935" s="8" t="s">
        <v>128</v>
      </c>
      <c r="C935" s="8" t="s">
        <v>391</v>
      </c>
      <c r="D935" s="8" t="s">
        <v>448</v>
      </c>
      <c r="E935" s="25">
        <v>990</v>
      </c>
      <c r="F935" s="25">
        <v>90</v>
      </c>
    </row>
    <row r="936" spans="1:6" x14ac:dyDescent="0.25">
      <c r="A936" s="8" t="s">
        <v>402</v>
      </c>
      <c r="B936" s="8" t="s">
        <v>128</v>
      </c>
      <c r="C936" s="8" t="s">
        <v>391</v>
      </c>
      <c r="D936" s="8" t="s">
        <v>449</v>
      </c>
      <c r="E936" s="25">
        <v>82.5</v>
      </c>
      <c r="F936" s="25">
        <v>7.5</v>
      </c>
    </row>
    <row r="937" spans="1:6" x14ac:dyDescent="0.25">
      <c r="A937" s="8" t="s">
        <v>402</v>
      </c>
      <c r="B937" s="8" t="s">
        <v>132</v>
      </c>
      <c r="C937" s="8" t="s">
        <v>391</v>
      </c>
      <c r="D937" s="8" t="s">
        <v>450</v>
      </c>
      <c r="E937" s="25">
        <v>99</v>
      </c>
      <c r="F937" s="25">
        <v>9</v>
      </c>
    </row>
    <row r="938" spans="1:6" x14ac:dyDescent="0.25">
      <c r="A938" s="8" t="s">
        <v>402</v>
      </c>
      <c r="B938" s="8" t="s">
        <v>128</v>
      </c>
      <c r="C938" s="8" t="s">
        <v>422</v>
      </c>
      <c r="D938" s="8" t="s">
        <v>451</v>
      </c>
      <c r="E938" s="25">
        <v>3135</v>
      </c>
      <c r="F938" s="25">
        <v>285</v>
      </c>
    </row>
    <row r="939" spans="1:6" x14ac:dyDescent="0.25">
      <c r="A939" s="8" t="s">
        <v>402</v>
      </c>
      <c r="B939" s="8" t="s">
        <v>128</v>
      </c>
      <c r="C939" s="8" t="s">
        <v>422</v>
      </c>
      <c r="D939" s="8" t="s">
        <v>143</v>
      </c>
      <c r="E939" s="25">
        <v>935</v>
      </c>
      <c r="F939" s="25">
        <v>85</v>
      </c>
    </row>
    <row r="940" spans="1:6" x14ac:dyDescent="0.25">
      <c r="A940" s="8" t="s">
        <v>402</v>
      </c>
      <c r="B940" s="8" t="s">
        <v>128</v>
      </c>
      <c r="C940" s="8" t="s">
        <v>422</v>
      </c>
      <c r="D940" s="8" t="s">
        <v>145</v>
      </c>
      <c r="E940" s="25">
        <v>93.5</v>
      </c>
      <c r="F940" s="25">
        <v>8.5</v>
      </c>
    </row>
    <row r="941" spans="1:6" x14ac:dyDescent="0.25">
      <c r="A941" s="8" t="s">
        <v>402</v>
      </c>
      <c r="B941" s="8" t="s">
        <v>128</v>
      </c>
      <c r="C941" s="8" t="s">
        <v>391</v>
      </c>
      <c r="D941" s="8" t="s">
        <v>452</v>
      </c>
      <c r="E941" s="25">
        <v>660</v>
      </c>
      <c r="F941" s="25">
        <v>60</v>
      </c>
    </row>
    <row r="942" spans="1:6" x14ac:dyDescent="0.25">
      <c r="A942" s="8" t="s">
        <v>402</v>
      </c>
      <c r="B942" s="8" t="s">
        <v>128</v>
      </c>
      <c r="C942" s="8" t="s">
        <v>391</v>
      </c>
      <c r="D942" s="8" t="s">
        <v>453</v>
      </c>
      <c r="E942" s="25">
        <v>82.5</v>
      </c>
      <c r="F942" s="25">
        <v>7.5</v>
      </c>
    </row>
    <row r="943" spans="1:6" x14ac:dyDescent="0.25">
      <c r="A943" s="8" t="s">
        <v>402</v>
      </c>
      <c r="B943" s="8" t="s">
        <v>128</v>
      </c>
      <c r="C943" s="8" t="s">
        <v>391</v>
      </c>
      <c r="D943" s="8" t="s">
        <v>454</v>
      </c>
      <c r="E943" s="25">
        <v>148.5</v>
      </c>
      <c r="F943" s="25">
        <v>13.5</v>
      </c>
    </row>
    <row r="944" spans="1:6" x14ac:dyDescent="0.25">
      <c r="A944" s="8" t="s">
        <v>402</v>
      </c>
      <c r="B944" s="8" t="s">
        <v>128</v>
      </c>
      <c r="C944" s="8" t="s">
        <v>391</v>
      </c>
      <c r="D944" s="8" t="s">
        <v>455</v>
      </c>
      <c r="E944" s="25">
        <v>148.5</v>
      </c>
      <c r="F944" s="25">
        <v>13.5</v>
      </c>
    </row>
    <row r="945" spans="1:6" x14ac:dyDescent="0.25">
      <c r="A945" s="8" t="s">
        <v>402</v>
      </c>
      <c r="B945" s="8" t="s">
        <v>132</v>
      </c>
      <c r="C945" s="8" t="s">
        <v>456</v>
      </c>
      <c r="D945" s="8" t="s">
        <v>457</v>
      </c>
      <c r="E945" s="25">
        <v>594</v>
      </c>
      <c r="F945" s="25">
        <v>54</v>
      </c>
    </row>
    <row r="946" spans="1:6" x14ac:dyDescent="0.25">
      <c r="A946" s="8" t="s">
        <v>402</v>
      </c>
      <c r="B946" s="8" t="s">
        <v>132</v>
      </c>
      <c r="C946" s="8" t="s">
        <v>456</v>
      </c>
      <c r="D946" s="8" t="s">
        <v>458</v>
      </c>
      <c r="E946" s="25">
        <v>82.5</v>
      </c>
      <c r="F946" s="25">
        <v>7.5</v>
      </c>
    </row>
    <row r="947" spans="1:6" x14ac:dyDescent="0.25">
      <c r="A947" s="8" t="s">
        <v>402</v>
      </c>
      <c r="B947" s="8" t="s">
        <v>128</v>
      </c>
      <c r="C947" s="8" t="s">
        <v>459</v>
      </c>
      <c r="D947" s="8" t="s">
        <v>460</v>
      </c>
      <c r="E947" s="25">
        <v>577.5</v>
      </c>
      <c r="F947" s="25">
        <v>52.5</v>
      </c>
    </row>
    <row r="948" spans="1:6" x14ac:dyDescent="0.25">
      <c r="A948" s="8" t="s">
        <v>402</v>
      </c>
      <c r="B948" s="8" t="s">
        <v>132</v>
      </c>
      <c r="C948" s="8" t="s">
        <v>461</v>
      </c>
      <c r="D948" s="8" t="s">
        <v>462</v>
      </c>
      <c r="E948" s="25">
        <v>247.5</v>
      </c>
      <c r="F948" s="25">
        <v>22.5</v>
      </c>
    </row>
    <row r="949" spans="1:6" x14ac:dyDescent="0.25">
      <c r="A949" s="8" t="s">
        <v>402</v>
      </c>
      <c r="B949" s="8" t="s">
        <v>137</v>
      </c>
      <c r="C949" s="8" t="s">
        <v>461</v>
      </c>
      <c r="D949" s="8" t="s">
        <v>258</v>
      </c>
      <c r="E949" s="25">
        <v>16.829999999999998</v>
      </c>
      <c r="F949" s="25">
        <v>1.53</v>
      </c>
    </row>
    <row r="950" spans="1:6" x14ac:dyDescent="0.25">
      <c r="A950" s="8" t="s">
        <v>402</v>
      </c>
      <c r="B950" s="8" t="s">
        <v>128</v>
      </c>
      <c r="C950" s="8" t="s">
        <v>463</v>
      </c>
      <c r="D950" s="8" t="s">
        <v>464</v>
      </c>
      <c r="E950" s="25">
        <v>610.5</v>
      </c>
      <c r="F950" s="25">
        <v>55.5</v>
      </c>
    </row>
    <row r="951" spans="1:6" x14ac:dyDescent="0.25">
      <c r="A951" s="8" t="s">
        <v>402</v>
      </c>
      <c r="B951" s="8" t="s">
        <v>128</v>
      </c>
      <c r="C951" s="8" t="s">
        <v>465</v>
      </c>
      <c r="D951" s="8" t="s">
        <v>466</v>
      </c>
      <c r="E951" s="25">
        <v>924</v>
      </c>
      <c r="F951" s="25">
        <v>84</v>
      </c>
    </row>
    <row r="952" spans="1:6" x14ac:dyDescent="0.25">
      <c r="A952" s="8" t="s">
        <v>402</v>
      </c>
      <c r="B952" s="8" t="s">
        <v>128</v>
      </c>
      <c r="C952" s="8" t="s">
        <v>465</v>
      </c>
      <c r="D952" s="8" t="s">
        <v>467</v>
      </c>
      <c r="E952" s="25">
        <v>148.5</v>
      </c>
      <c r="F952" s="25">
        <v>13.5</v>
      </c>
    </row>
    <row r="953" spans="1:6" x14ac:dyDescent="0.25">
      <c r="A953" s="8" t="s">
        <v>402</v>
      </c>
      <c r="B953" s="8" t="s">
        <v>128</v>
      </c>
      <c r="C953" s="8" t="s">
        <v>465</v>
      </c>
      <c r="D953" s="8" t="s">
        <v>468</v>
      </c>
      <c r="E953" s="25">
        <v>148.5</v>
      </c>
      <c r="F953" s="25">
        <v>13.5</v>
      </c>
    </row>
    <row r="954" spans="1:6" x14ac:dyDescent="0.25">
      <c r="A954" s="8" t="s">
        <v>402</v>
      </c>
      <c r="B954" s="8" t="s">
        <v>174</v>
      </c>
      <c r="C954" s="8" t="s">
        <v>161</v>
      </c>
      <c r="D954" s="8" t="s">
        <v>469</v>
      </c>
      <c r="E954" s="25">
        <v>477.4</v>
      </c>
      <c r="F954" s="25">
        <v>43.4</v>
      </c>
    </row>
    <row r="955" spans="1:6" x14ac:dyDescent="0.25">
      <c r="A955" s="8" t="s">
        <v>402</v>
      </c>
      <c r="B955" s="8" t="s">
        <v>174</v>
      </c>
      <c r="C955" s="8" t="s">
        <v>161</v>
      </c>
      <c r="D955" s="8" t="s">
        <v>306</v>
      </c>
      <c r="E955" s="25">
        <v>49.5</v>
      </c>
      <c r="F955" s="25">
        <v>4.5</v>
      </c>
    </row>
    <row r="956" spans="1:6" x14ac:dyDescent="0.25">
      <c r="A956" s="8" t="s">
        <v>402</v>
      </c>
      <c r="B956" s="8" t="s">
        <v>128</v>
      </c>
      <c r="C956" s="8" t="s">
        <v>470</v>
      </c>
      <c r="D956" s="8" t="s">
        <v>471</v>
      </c>
      <c r="E956" s="25">
        <v>253</v>
      </c>
      <c r="F956" s="25">
        <v>23</v>
      </c>
    </row>
    <row r="957" spans="1:6" x14ac:dyDescent="0.25">
      <c r="A957" s="8" t="s">
        <v>402</v>
      </c>
      <c r="B957" s="8" t="s">
        <v>174</v>
      </c>
      <c r="C957" s="8" t="s">
        <v>472</v>
      </c>
      <c r="D957" s="8" t="s">
        <v>324</v>
      </c>
      <c r="E957" s="25">
        <v>1654.4</v>
      </c>
      <c r="F957" s="25">
        <v>150.4</v>
      </c>
    </row>
    <row r="958" spans="1:6" x14ac:dyDescent="0.25">
      <c r="A958" s="8" t="s">
        <v>402</v>
      </c>
      <c r="B958" s="8" t="s">
        <v>174</v>
      </c>
      <c r="C958" s="8" t="s">
        <v>472</v>
      </c>
      <c r="D958" s="8" t="s">
        <v>325</v>
      </c>
      <c r="E958" s="25">
        <v>220</v>
      </c>
      <c r="F958" s="25">
        <v>20</v>
      </c>
    </row>
    <row r="959" spans="1:6" x14ac:dyDescent="0.25">
      <c r="A959" s="8" t="s">
        <v>402</v>
      </c>
      <c r="B959" s="8" t="s">
        <v>137</v>
      </c>
      <c r="C959" s="8" t="s">
        <v>472</v>
      </c>
      <c r="D959" s="8" t="s">
        <v>326</v>
      </c>
      <c r="E959" s="25">
        <v>46.86</v>
      </c>
      <c r="F959" s="25">
        <v>4.26</v>
      </c>
    </row>
    <row r="960" spans="1:6" x14ac:dyDescent="0.25">
      <c r="A960" s="8" t="s">
        <v>402</v>
      </c>
      <c r="B960" s="8" t="s">
        <v>128</v>
      </c>
      <c r="C960" s="8" t="s">
        <v>473</v>
      </c>
      <c r="D960" s="8" t="s">
        <v>474</v>
      </c>
      <c r="E960" s="25">
        <v>6916.8</v>
      </c>
      <c r="F960" s="25">
        <v>628.79999999999995</v>
      </c>
    </row>
    <row r="961" spans="1:6" x14ac:dyDescent="0.25">
      <c r="A961" s="8" t="s">
        <v>402</v>
      </c>
      <c r="B961" s="8" t="s">
        <v>128</v>
      </c>
      <c r="C961" s="8" t="s">
        <v>473</v>
      </c>
      <c r="D961" s="8" t="s">
        <v>475</v>
      </c>
      <c r="E961" s="25">
        <v>594</v>
      </c>
      <c r="F961" s="25">
        <v>54</v>
      </c>
    </row>
    <row r="962" spans="1:6" x14ac:dyDescent="0.25">
      <c r="A962" s="8" t="s">
        <v>402</v>
      </c>
      <c r="B962" s="8" t="s">
        <v>128</v>
      </c>
      <c r="C962" s="8" t="s">
        <v>473</v>
      </c>
      <c r="D962" s="8" t="s">
        <v>476</v>
      </c>
      <c r="E962" s="25">
        <v>-1782</v>
      </c>
      <c r="F962" s="25">
        <v>-162</v>
      </c>
    </row>
    <row r="963" spans="1:6" x14ac:dyDescent="0.25">
      <c r="A963" s="8" t="s">
        <v>402</v>
      </c>
      <c r="B963" s="8" t="s">
        <v>128</v>
      </c>
      <c r="C963" s="8" t="s">
        <v>391</v>
      </c>
      <c r="D963" s="8" t="s">
        <v>477</v>
      </c>
      <c r="E963" s="25">
        <v>2537.6999999999998</v>
      </c>
      <c r="F963" s="25">
        <v>230.7</v>
      </c>
    </row>
    <row r="964" spans="1:6" x14ac:dyDescent="0.25">
      <c r="A964" s="8" t="s">
        <v>402</v>
      </c>
      <c r="B964" s="8" t="s">
        <v>128</v>
      </c>
      <c r="C964" s="8" t="s">
        <v>391</v>
      </c>
      <c r="D964" s="8" t="s">
        <v>478</v>
      </c>
      <c r="E964" s="25">
        <v>148.5</v>
      </c>
      <c r="F964" s="25">
        <v>13.5</v>
      </c>
    </row>
    <row r="965" spans="1:6" x14ac:dyDescent="0.25">
      <c r="A965" s="8" t="s">
        <v>402</v>
      </c>
      <c r="B965" s="8" t="s">
        <v>128</v>
      </c>
      <c r="C965" s="8" t="s">
        <v>479</v>
      </c>
      <c r="D965" s="8" t="s">
        <v>480</v>
      </c>
      <c r="E965" s="25">
        <v>2620.1999999999998</v>
      </c>
      <c r="F965" s="25">
        <v>238.2</v>
      </c>
    </row>
    <row r="966" spans="1:6" x14ac:dyDescent="0.25">
      <c r="A966" s="8" t="s">
        <v>402</v>
      </c>
      <c r="B966" s="8" t="s">
        <v>128</v>
      </c>
      <c r="C966" s="8" t="s">
        <v>479</v>
      </c>
      <c r="D966" s="8" t="s">
        <v>481</v>
      </c>
      <c r="E966" s="25">
        <v>-148.5</v>
      </c>
      <c r="F966" s="25">
        <v>-13.5</v>
      </c>
    </row>
    <row r="967" spans="1:6" x14ac:dyDescent="0.25">
      <c r="A967" s="8" t="s">
        <v>402</v>
      </c>
      <c r="B967" s="8" t="s">
        <v>174</v>
      </c>
      <c r="C967" s="8" t="s">
        <v>482</v>
      </c>
      <c r="D967" s="8" t="s">
        <v>483</v>
      </c>
      <c r="E967" s="25">
        <v>994.4</v>
      </c>
      <c r="F967" s="25">
        <v>90.4</v>
      </c>
    </row>
    <row r="968" spans="1:6" x14ac:dyDescent="0.25">
      <c r="A968" s="8" t="s">
        <v>402</v>
      </c>
      <c r="B968" s="8" t="s">
        <v>174</v>
      </c>
      <c r="C968" s="8" t="s">
        <v>484</v>
      </c>
      <c r="D968" s="8" t="s">
        <v>485</v>
      </c>
      <c r="E968" s="25">
        <v>220</v>
      </c>
      <c r="F968" s="25">
        <v>20</v>
      </c>
    </row>
    <row r="969" spans="1:6" x14ac:dyDescent="0.25">
      <c r="A969" s="8" t="s">
        <v>402</v>
      </c>
      <c r="B969" s="8" t="s">
        <v>128</v>
      </c>
      <c r="C969" s="8" t="s">
        <v>486</v>
      </c>
      <c r="D969" s="8" t="s">
        <v>487</v>
      </c>
      <c r="E969" s="25">
        <v>2310</v>
      </c>
      <c r="F969" s="25">
        <v>210</v>
      </c>
    </row>
    <row r="970" spans="1:6" x14ac:dyDescent="0.25">
      <c r="A970" s="8" t="s">
        <v>402</v>
      </c>
      <c r="B970" s="8" t="s">
        <v>128</v>
      </c>
      <c r="C970" s="8" t="s">
        <v>486</v>
      </c>
      <c r="D970" s="8" t="s">
        <v>488</v>
      </c>
      <c r="E970" s="25">
        <v>297</v>
      </c>
      <c r="F970" s="25">
        <v>27</v>
      </c>
    </row>
    <row r="971" spans="1:6" x14ac:dyDescent="0.25">
      <c r="A971" s="8" t="s">
        <v>402</v>
      </c>
      <c r="B971" s="8" t="s">
        <v>174</v>
      </c>
      <c r="C971" s="8" t="s">
        <v>391</v>
      </c>
      <c r="D971" s="8" t="s">
        <v>489</v>
      </c>
      <c r="E971" s="25">
        <v>330</v>
      </c>
      <c r="F971" s="25">
        <v>30</v>
      </c>
    </row>
    <row r="972" spans="1:6" x14ac:dyDescent="0.25">
      <c r="A972" s="8" t="s">
        <v>402</v>
      </c>
      <c r="B972" s="8" t="s">
        <v>128</v>
      </c>
      <c r="C972" s="8" t="s">
        <v>422</v>
      </c>
      <c r="D972" s="8" t="s">
        <v>490</v>
      </c>
      <c r="E972" s="25">
        <v>734.8</v>
      </c>
      <c r="F972" s="25">
        <v>66.8</v>
      </c>
    </row>
    <row r="973" spans="1:6" x14ac:dyDescent="0.25">
      <c r="A973" s="8" t="s">
        <v>402</v>
      </c>
      <c r="B973" s="8" t="s">
        <v>128</v>
      </c>
      <c r="C973" s="8" t="s">
        <v>422</v>
      </c>
      <c r="D973" s="8" t="s">
        <v>252</v>
      </c>
      <c r="E973" s="25">
        <v>396</v>
      </c>
      <c r="F973" s="25">
        <v>36</v>
      </c>
    </row>
    <row r="974" spans="1:6" x14ac:dyDescent="0.25">
      <c r="A974" s="8" t="s">
        <v>402</v>
      </c>
      <c r="B974" s="8" t="s">
        <v>128</v>
      </c>
      <c r="C974" s="8" t="s">
        <v>422</v>
      </c>
      <c r="D974" s="8" t="s">
        <v>253</v>
      </c>
      <c r="E974" s="25">
        <v>247.5</v>
      </c>
      <c r="F974" s="25">
        <v>22.5</v>
      </c>
    </row>
    <row r="975" spans="1:6" x14ac:dyDescent="0.25">
      <c r="A975" s="8" t="s">
        <v>402</v>
      </c>
      <c r="B975" s="8" t="s">
        <v>128</v>
      </c>
      <c r="C975" s="8" t="s">
        <v>422</v>
      </c>
      <c r="D975" s="8" t="s">
        <v>254</v>
      </c>
      <c r="E975" s="25">
        <v>220</v>
      </c>
      <c r="F975" s="25">
        <v>20</v>
      </c>
    </row>
    <row r="976" spans="1:6" x14ac:dyDescent="0.25">
      <c r="A976" s="8" t="s">
        <v>402</v>
      </c>
      <c r="B976" s="8" t="s">
        <v>128</v>
      </c>
      <c r="C976" s="8" t="s">
        <v>422</v>
      </c>
      <c r="D976" s="8" t="s">
        <v>255</v>
      </c>
      <c r="E976" s="25">
        <v>99</v>
      </c>
      <c r="F976" s="25">
        <v>9</v>
      </c>
    </row>
    <row r="977" spans="1:6" x14ac:dyDescent="0.25">
      <c r="A977" s="8" t="s">
        <v>402</v>
      </c>
      <c r="B977" s="8" t="s">
        <v>132</v>
      </c>
      <c r="C977" s="8" t="s">
        <v>491</v>
      </c>
      <c r="D977" s="8" t="s">
        <v>134</v>
      </c>
      <c r="E977" s="25">
        <v>49.5</v>
      </c>
      <c r="F977" s="25">
        <v>4.5</v>
      </c>
    </row>
    <row r="978" spans="1:6" x14ac:dyDescent="0.25">
      <c r="A978" s="8" t="s">
        <v>402</v>
      </c>
      <c r="B978" s="8" t="s">
        <v>132</v>
      </c>
      <c r="C978" s="8" t="s">
        <v>491</v>
      </c>
      <c r="D978" s="8" t="s">
        <v>136</v>
      </c>
      <c r="E978" s="25">
        <v>27.5</v>
      </c>
      <c r="F978" s="25">
        <v>2.5</v>
      </c>
    </row>
    <row r="979" spans="1:6" x14ac:dyDescent="0.25">
      <c r="A979" s="8" t="s">
        <v>402</v>
      </c>
      <c r="B979" s="8" t="s">
        <v>137</v>
      </c>
      <c r="C979" s="8" t="s">
        <v>491</v>
      </c>
      <c r="D979" s="8" t="s">
        <v>138</v>
      </c>
      <c r="E979" s="25">
        <v>1.93</v>
      </c>
      <c r="F979" s="25">
        <v>0.18</v>
      </c>
    </row>
    <row r="980" spans="1:6" x14ac:dyDescent="0.25">
      <c r="A980" s="8" t="s">
        <v>402</v>
      </c>
      <c r="B980" s="8" t="s">
        <v>128</v>
      </c>
      <c r="C980" s="8" t="s">
        <v>391</v>
      </c>
      <c r="D980" s="8" t="s">
        <v>492</v>
      </c>
      <c r="E980" s="25">
        <v>330</v>
      </c>
      <c r="F980" s="25">
        <v>30</v>
      </c>
    </row>
    <row r="981" spans="1:6" x14ac:dyDescent="0.25">
      <c r="A981" s="8" t="s">
        <v>402</v>
      </c>
      <c r="B981" s="8" t="s">
        <v>128</v>
      </c>
      <c r="C981" s="8" t="s">
        <v>493</v>
      </c>
      <c r="D981" s="8" t="s">
        <v>494</v>
      </c>
      <c r="E981" s="25">
        <v>330</v>
      </c>
      <c r="F981" s="25">
        <v>30</v>
      </c>
    </row>
    <row r="982" spans="1:6" x14ac:dyDescent="0.25">
      <c r="A982" s="8" t="s">
        <v>402</v>
      </c>
      <c r="B982" s="8" t="s">
        <v>174</v>
      </c>
      <c r="C982" s="8" t="s">
        <v>495</v>
      </c>
      <c r="D982" s="8" t="s">
        <v>496</v>
      </c>
      <c r="E982" s="25">
        <v>825</v>
      </c>
      <c r="F982" s="25">
        <v>75</v>
      </c>
    </row>
    <row r="983" spans="1:6" x14ac:dyDescent="0.25">
      <c r="A983" s="8" t="s">
        <v>402</v>
      </c>
      <c r="B983" s="8" t="s">
        <v>174</v>
      </c>
      <c r="C983" s="8" t="s">
        <v>495</v>
      </c>
      <c r="D983" s="8" t="s">
        <v>261</v>
      </c>
      <c r="E983" s="25">
        <v>99</v>
      </c>
      <c r="F983" s="25">
        <v>9</v>
      </c>
    </row>
    <row r="984" spans="1:6" x14ac:dyDescent="0.25">
      <c r="A984" s="8" t="s">
        <v>402</v>
      </c>
      <c r="B984" s="8" t="s">
        <v>128</v>
      </c>
      <c r="C984" s="8" t="s">
        <v>497</v>
      </c>
      <c r="D984" s="8" t="s">
        <v>498</v>
      </c>
      <c r="E984" s="25">
        <v>247.5</v>
      </c>
      <c r="F984" s="25">
        <v>22.5</v>
      </c>
    </row>
    <row r="985" spans="1:6" x14ac:dyDescent="0.25">
      <c r="A985" s="8" t="s">
        <v>402</v>
      </c>
      <c r="B985" s="8" t="s">
        <v>132</v>
      </c>
      <c r="C985" s="8" t="s">
        <v>499</v>
      </c>
      <c r="D985" s="8" t="s">
        <v>181</v>
      </c>
      <c r="E985" s="25">
        <v>148.5</v>
      </c>
      <c r="F985" s="25">
        <v>13.5</v>
      </c>
    </row>
    <row r="986" spans="1:6" x14ac:dyDescent="0.25">
      <c r="A986" s="8" t="s">
        <v>402</v>
      </c>
      <c r="B986" s="8" t="s">
        <v>137</v>
      </c>
      <c r="C986" s="8" t="s">
        <v>499</v>
      </c>
      <c r="D986" s="8" t="s">
        <v>182</v>
      </c>
      <c r="E986" s="25">
        <v>4.95</v>
      </c>
      <c r="F986" s="25">
        <v>0.45</v>
      </c>
    </row>
    <row r="987" spans="1:6" x14ac:dyDescent="0.25">
      <c r="A987" s="8" t="s">
        <v>402</v>
      </c>
      <c r="B987" s="8" t="s">
        <v>128</v>
      </c>
      <c r="C987" s="8" t="s">
        <v>391</v>
      </c>
      <c r="D987" s="8" t="s">
        <v>500</v>
      </c>
      <c r="E987" s="25">
        <v>330</v>
      </c>
      <c r="F987" s="25">
        <v>30</v>
      </c>
    </row>
    <row r="988" spans="1:6" x14ac:dyDescent="0.25">
      <c r="A988" s="8" t="s">
        <v>402</v>
      </c>
      <c r="B988" s="8" t="s">
        <v>132</v>
      </c>
      <c r="C988" s="8" t="s">
        <v>501</v>
      </c>
      <c r="D988" s="8" t="s">
        <v>263</v>
      </c>
      <c r="E988" s="25">
        <v>173.25</v>
      </c>
      <c r="F988" s="25">
        <v>15.75</v>
      </c>
    </row>
    <row r="989" spans="1:6" x14ac:dyDescent="0.25">
      <c r="A989" s="8" t="s">
        <v>402</v>
      </c>
      <c r="B989" s="8" t="s">
        <v>132</v>
      </c>
      <c r="C989" s="8" t="s">
        <v>501</v>
      </c>
      <c r="D989" s="8" t="s">
        <v>264</v>
      </c>
      <c r="E989" s="25">
        <v>27.5</v>
      </c>
      <c r="F989" s="25">
        <v>2.5</v>
      </c>
    </row>
    <row r="990" spans="1:6" x14ac:dyDescent="0.25">
      <c r="A990" s="8" t="s">
        <v>402</v>
      </c>
      <c r="B990" s="8" t="s">
        <v>137</v>
      </c>
      <c r="C990" s="8" t="s">
        <v>501</v>
      </c>
      <c r="D990" s="8" t="s">
        <v>182</v>
      </c>
      <c r="E990" s="25">
        <v>5.0199999999999996</v>
      </c>
      <c r="F990" s="25">
        <v>0.46</v>
      </c>
    </row>
    <row r="991" spans="1:6" x14ac:dyDescent="0.25">
      <c r="A991" s="8" t="s">
        <v>402</v>
      </c>
      <c r="B991" s="8" t="s">
        <v>128</v>
      </c>
      <c r="C991" s="8" t="s">
        <v>502</v>
      </c>
      <c r="D991" s="8" t="s">
        <v>270</v>
      </c>
      <c r="E991" s="25">
        <v>724.9</v>
      </c>
      <c r="F991" s="25">
        <v>65.900000000000006</v>
      </c>
    </row>
    <row r="992" spans="1:6" x14ac:dyDescent="0.25">
      <c r="A992" s="8" t="s">
        <v>402</v>
      </c>
      <c r="B992" s="8" t="s">
        <v>128</v>
      </c>
      <c r="C992" s="8" t="s">
        <v>502</v>
      </c>
      <c r="D992" s="8" t="s">
        <v>271</v>
      </c>
      <c r="E992" s="25">
        <v>-247.5</v>
      </c>
      <c r="F992" s="25">
        <v>-22.5</v>
      </c>
    </row>
    <row r="993" spans="1:6" x14ac:dyDescent="0.25">
      <c r="A993" s="8" t="s">
        <v>402</v>
      </c>
      <c r="B993" s="8" t="s">
        <v>128</v>
      </c>
      <c r="C993" s="8" t="s">
        <v>502</v>
      </c>
      <c r="D993" s="8" t="s">
        <v>272</v>
      </c>
      <c r="E993" s="25">
        <v>49.5</v>
      </c>
      <c r="F993" s="25">
        <v>4.5</v>
      </c>
    </row>
    <row r="994" spans="1:6" x14ac:dyDescent="0.25">
      <c r="A994" s="8" t="s">
        <v>402</v>
      </c>
      <c r="B994" s="8" t="s">
        <v>128</v>
      </c>
      <c r="C994" s="8" t="s">
        <v>502</v>
      </c>
      <c r="D994" s="8" t="s">
        <v>273</v>
      </c>
      <c r="E994" s="25">
        <v>99</v>
      </c>
      <c r="F994" s="25">
        <v>9</v>
      </c>
    </row>
    <row r="995" spans="1:6" x14ac:dyDescent="0.25">
      <c r="A995" s="8" t="s">
        <v>402</v>
      </c>
      <c r="B995" s="8" t="s">
        <v>128</v>
      </c>
      <c r="C995" s="8" t="s">
        <v>502</v>
      </c>
      <c r="D995" s="8" t="s">
        <v>274</v>
      </c>
      <c r="E995" s="25">
        <v>49.5</v>
      </c>
      <c r="F995" s="25">
        <v>4.5</v>
      </c>
    </row>
    <row r="996" spans="1:6" x14ac:dyDescent="0.25">
      <c r="A996" s="8" t="s">
        <v>402</v>
      </c>
      <c r="B996" s="8" t="s">
        <v>128</v>
      </c>
      <c r="C996" s="8" t="s">
        <v>502</v>
      </c>
      <c r="D996" s="8" t="s">
        <v>275</v>
      </c>
      <c r="E996" s="25">
        <v>-99</v>
      </c>
      <c r="F996" s="25">
        <v>-9</v>
      </c>
    </row>
    <row r="997" spans="1:6" x14ac:dyDescent="0.25">
      <c r="A997" s="8" t="s">
        <v>402</v>
      </c>
      <c r="B997" s="8" t="s">
        <v>128</v>
      </c>
      <c r="C997" s="8" t="s">
        <v>502</v>
      </c>
      <c r="D997" s="8" t="s">
        <v>276</v>
      </c>
      <c r="E997" s="25">
        <v>110</v>
      </c>
      <c r="F997" s="25">
        <v>10</v>
      </c>
    </row>
    <row r="998" spans="1:6" x14ac:dyDescent="0.25">
      <c r="A998" s="8" t="s">
        <v>402</v>
      </c>
      <c r="B998" s="8" t="s">
        <v>128</v>
      </c>
      <c r="C998" s="8" t="s">
        <v>502</v>
      </c>
      <c r="D998" s="8" t="s">
        <v>277</v>
      </c>
      <c r="E998" s="25">
        <v>99</v>
      </c>
      <c r="F998" s="25">
        <v>9</v>
      </c>
    </row>
    <row r="999" spans="1:6" x14ac:dyDescent="0.25">
      <c r="A999" s="8" t="s">
        <v>402</v>
      </c>
      <c r="B999" s="8" t="s">
        <v>137</v>
      </c>
      <c r="C999" s="8" t="s">
        <v>502</v>
      </c>
      <c r="D999" s="8" t="s">
        <v>278</v>
      </c>
      <c r="E999" s="25">
        <v>50.11</v>
      </c>
      <c r="F999" s="25">
        <v>4.5599999999999996</v>
      </c>
    </row>
    <row r="1000" spans="1:6" x14ac:dyDescent="0.25">
      <c r="A1000" s="8" t="s">
        <v>402</v>
      </c>
      <c r="B1000" s="8" t="s">
        <v>128</v>
      </c>
      <c r="C1000" s="8" t="s">
        <v>502</v>
      </c>
      <c r="D1000" s="8" t="s">
        <v>279</v>
      </c>
      <c r="E1000" s="25">
        <v>49.5</v>
      </c>
      <c r="F1000" s="25">
        <v>4.5</v>
      </c>
    </row>
    <row r="1001" spans="1:6" x14ac:dyDescent="0.25">
      <c r="A1001" s="8" t="s">
        <v>402</v>
      </c>
      <c r="B1001" s="8" t="s">
        <v>128</v>
      </c>
      <c r="C1001" s="8" t="s">
        <v>502</v>
      </c>
      <c r="D1001" s="8" t="s">
        <v>280</v>
      </c>
      <c r="E1001" s="25">
        <v>-99</v>
      </c>
      <c r="F1001" s="25">
        <v>-9</v>
      </c>
    </row>
    <row r="1002" spans="1:6" x14ac:dyDescent="0.25">
      <c r="A1002" s="8" t="s">
        <v>402</v>
      </c>
      <c r="B1002" s="8" t="s">
        <v>128</v>
      </c>
      <c r="C1002" s="8" t="s">
        <v>502</v>
      </c>
      <c r="D1002" s="8" t="s">
        <v>503</v>
      </c>
      <c r="E1002" s="25">
        <v>110</v>
      </c>
      <c r="F1002" s="25">
        <v>10</v>
      </c>
    </row>
    <row r="1003" spans="1:6" x14ac:dyDescent="0.25">
      <c r="A1003" s="8" t="s">
        <v>402</v>
      </c>
      <c r="B1003" s="8" t="s">
        <v>128</v>
      </c>
      <c r="C1003" s="8" t="s">
        <v>502</v>
      </c>
      <c r="D1003" s="8" t="s">
        <v>504</v>
      </c>
      <c r="E1003" s="25">
        <v>49.5</v>
      </c>
      <c r="F1003" s="25">
        <v>4.5</v>
      </c>
    </row>
    <row r="1004" spans="1:6" x14ac:dyDescent="0.25">
      <c r="A1004" s="8" t="s">
        <v>402</v>
      </c>
      <c r="B1004" s="8" t="s">
        <v>128</v>
      </c>
      <c r="C1004" s="8" t="s">
        <v>505</v>
      </c>
      <c r="D1004" s="8" t="s">
        <v>222</v>
      </c>
      <c r="E1004" s="25">
        <v>877.8</v>
      </c>
      <c r="F1004" s="25">
        <v>79.8</v>
      </c>
    </row>
    <row r="1005" spans="1:6" x14ac:dyDescent="0.25">
      <c r="A1005" s="8" t="s">
        <v>402</v>
      </c>
      <c r="B1005" s="8" t="s">
        <v>137</v>
      </c>
      <c r="C1005" s="8" t="s">
        <v>505</v>
      </c>
      <c r="D1005" s="8" t="s">
        <v>223</v>
      </c>
      <c r="E1005" s="25">
        <v>59.69</v>
      </c>
      <c r="F1005" s="25">
        <v>5.43</v>
      </c>
    </row>
    <row r="1006" spans="1:6" x14ac:dyDescent="0.25">
      <c r="A1006" s="8" t="s">
        <v>402</v>
      </c>
      <c r="B1006" s="8" t="s">
        <v>128</v>
      </c>
      <c r="C1006" s="8" t="s">
        <v>493</v>
      </c>
      <c r="D1006" s="8" t="s">
        <v>506</v>
      </c>
      <c r="E1006" s="25">
        <v>328.9</v>
      </c>
      <c r="F1006" s="25">
        <v>29.9</v>
      </c>
    </row>
    <row r="1007" spans="1:6" x14ac:dyDescent="0.25">
      <c r="A1007" s="8" t="s">
        <v>402</v>
      </c>
      <c r="B1007" s="8" t="s">
        <v>137</v>
      </c>
      <c r="C1007" s="8" t="s">
        <v>493</v>
      </c>
      <c r="D1007" s="8" t="s">
        <v>160</v>
      </c>
      <c r="E1007" s="25">
        <v>8.23</v>
      </c>
      <c r="F1007" s="25">
        <v>0.75</v>
      </c>
    </row>
    <row r="1008" spans="1:6" x14ac:dyDescent="0.25">
      <c r="A1008" s="8" t="s">
        <v>402</v>
      </c>
      <c r="B1008" s="8" t="s">
        <v>174</v>
      </c>
      <c r="C1008" s="8" t="s">
        <v>161</v>
      </c>
      <c r="D1008" s="8" t="s">
        <v>307</v>
      </c>
      <c r="E1008" s="25">
        <v>679.8</v>
      </c>
      <c r="F1008" s="25">
        <v>61.8</v>
      </c>
    </row>
    <row r="1009" spans="1:6" x14ac:dyDescent="0.25">
      <c r="A1009" s="8" t="s">
        <v>402</v>
      </c>
      <c r="B1009" s="8" t="s">
        <v>174</v>
      </c>
      <c r="C1009" s="8" t="s">
        <v>161</v>
      </c>
      <c r="D1009" s="8" t="s">
        <v>308</v>
      </c>
      <c r="E1009" s="25">
        <v>-49.5</v>
      </c>
      <c r="F1009" s="25">
        <v>-4.5</v>
      </c>
    </row>
    <row r="1010" spans="1:6" x14ac:dyDescent="0.25">
      <c r="A1010" s="8" t="s">
        <v>402</v>
      </c>
      <c r="B1010" s="8" t="s">
        <v>128</v>
      </c>
      <c r="C1010" s="8" t="s">
        <v>502</v>
      </c>
      <c r="D1010" s="8" t="s">
        <v>162</v>
      </c>
      <c r="E1010" s="25">
        <v>218.9</v>
      </c>
      <c r="F1010" s="25">
        <v>19.899999999999999</v>
      </c>
    </row>
    <row r="1011" spans="1:6" x14ac:dyDescent="0.25">
      <c r="A1011" s="8" t="s">
        <v>402</v>
      </c>
      <c r="B1011" s="8" t="s">
        <v>174</v>
      </c>
      <c r="C1011" s="8" t="s">
        <v>507</v>
      </c>
      <c r="D1011" s="8" t="s">
        <v>508</v>
      </c>
      <c r="E1011" s="25">
        <v>242</v>
      </c>
      <c r="F1011" s="25">
        <v>22</v>
      </c>
    </row>
    <row r="1012" spans="1:6" x14ac:dyDescent="0.25">
      <c r="A1012" s="8" t="s">
        <v>402</v>
      </c>
      <c r="B1012" s="8" t="s">
        <v>174</v>
      </c>
      <c r="C1012" s="8" t="s">
        <v>507</v>
      </c>
      <c r="D1012" s="8" t="s">
        <v>322</v>
      </c>
      <c r="E1012" s="25">
        <v>665.5</v>
      </c>
      <c r="F1012" s="25">
        <v>60.5</v>
      </c>
    </row>
    <row r="1013" spans="1:6" x14ac:dyDescent="0.25">
      <c r="A1013" s="8" t="s">
        <v>402</v>
      </c>
      <c r="B1013" s="8" t="s">
        <v>128</v>
      </c>
      <c r="C1013" s="8" t="s">
        <v>509</v>
      </c>
      <c r="D1013" s="8" t="s">
        <v>510</v>
      </c>
      <c r="E1013" s="25">
        <v>2530</v>
      </c>
      <c r="F1013" s="25">
        <v>230</v>
      </c>
    </row>
    <row r="1014" spans="1:6" x14ac:dyDescent="0.25">
      <c r="A1014" s="8" t="s">
        <v>402</v>
      </c>
      <c r="B1014" s="8" t="s">
        <v>128</v>
      </c>
      <c r="C1014" s="8" t="s">
        <v>509</v>
      </c>
      <c r="D1014" s="8" t="s">
        <v>511</v>
      </c>
      <c r="E1014" s="25">
        <v>1188</v>
      </c>
      <c r="F1014" s="25">
        <v>108</v>
      </c>
    </row>
    <row r="1015" spans="1:6" x14ac:dyDescent="0.25">
      <c r="A1015" s="8" t="s">
        <v>402</v>
      </c>
      <c r="B1015" s="8" t="s">
        <v>128</v>
      </c>
      <c r="C1015" s="8" t="s">
        <v>512</v>
      </c>
      <c r="D1015" s="8" t="s">
        <v>513</v>
      </c>
      <c r="E1015" s="25">
        <v>18348</v>
      </c>
      <c r="F1015" s="25">
        <v>1668</v>
      </c>
    </row>
    <row r="1016" spans="1:6" x14ac:dyDescent="0.25">
      <c r="A1016" s="8" t="s">
        <v>402</v>
      </c>
      <c r="B1016" s="8" t="s">
        <v>128</v>
      </c>
      <c r="C1016" s="8" t="s">
        <v>512</v>
      </c>
      <c r="D1016" s="8" t="s">
        <v>514</v>
      </c>
      <c r="E1016" s="25">
        <v>594</v>
      </c>
      <c r="F1016" s="25">
        <v>54</v>
      </c>
    </row>
    <row r="1017" spans="1:6" x14ac:dyDescent="0.25">
      <c r="A1017" s="8" t="s">
        <v>402</v>
      </c>
      <c r="B1017" s="8" t="s">
        <v>128</v>
      </c>
      <c r="C1017" s="8" t="s">
        <v>512</v>
      </c>
      <c r="D1017" s="8" t="s">
        <v>515</v>
      </c>
      <c r="E1017" s="25">
        <v>594</v>
      </c>
      <c r="F1017" s="25">
        <v>54</v>
      </c>
    </row>
    <row r="1018" spans="1:6" x14ac:dyDescent="0.25">
      <c r="A1018" s="8" t="s">
        <v>402</v>
      </c>
      <c r="B1018" s="8" t="s">
        <v>128</v>
      </c>
      <c r="C1018" s="8" t="s">
        <v>516</v>
      </c>
      <c r="D1018" s="8" t="s">
        <v>517</v>
      </c>
      <c r="E1018" s="25">
        <v>973.5</v>
      </c>
      <c r="F1018" s="25">
        <v>88.5</v>
      </c>
    </row>
    <row r="1019" spans="1:6" x14ac:dyDescent="0.25">
      <c r="A1019" s="8" t="s">
        <v>402</v>
      </c>
      <c r="B1019" s="8" t="s">
        <v>132</v>
      </c>
      <c r="C1019" s="8" t="s">
        <v>516</v>
      </c>
      <c r="D1019" s="8" t="s">
        <v>518</v>
      </c>
      <c r="E1019" s="25">
        <v>82.5</v>
      </c>
      <c r="F1019" s="25">
        <v>7.5</v>
      </c>
    </row>
    <row r="1020" spans="1:6" x14ac:dyDescent="0.25">
      <c r="A1020" s="8" t="s">
        <v>402</v>
      </c>
      <c r="B1020" s="8" t="s">
        <v>128</v>
      </c>
      <c r="C1020" s="8" t="s">
        <v>519</v>
      </c>
      <c r="D1020" s="8" t="s">
        <v>334</v>
      </c>
      <c r="E1020" s="25">
        <v>687.5</v>
      </c>
      <c r="F1020" s="25">
        <v>62.5</v>
      </c>
    </row>
    <row r="1021" spans="1:6" x14ac:dyDescent="0.25">
      <c r="A1021" s="8" t="s">
        <v>402</v>
      </c>
      <c r="B1021" s="8" t="s">
        <v>128</v>
      </c>
      <c r="C1021" s="8" t="s">
        <v>520</v>
      </c>
      <c r="D1021" s="8" t="s">
        <v>521</v>
      </c>
      <c r="E1021" s="25">
        <v>1881</v>
      </c>
      <c r="F1021" s="25">
        <v>171</v>
      </c>
    </row>
    <row r="1022" spans="1:6" x14ac:dyDescent="0.25">
      <c r="A1022" s="8" t="s">
        <v>402</v>
      </c>
      <c r="B1022" s="8" t="s">
        <v>128</v>
      </c>
      <c r="C1022" s="8" t="s">
        <v>391</v>
      </c>
      <c r="D1022" s="8" t="s">
        <v>522</v>
      </c>
      <c r="E1022" s="25">
        <v>1580.7</v>
      </c>
      <c r="F1022" s="25">
        <v>143.69999999999999</v>
      </c>
    </row>
    <row r="1023" spans="1:6" x14ac:dyDescent="0.25">
      <c r="A1023" s="8" t="s">
        <v>402</v>
      </c>
      <c r="B1023" s="8" t="s">
        <v>128</v>
      </c>
      <c r="C1023" s="8" t="s">
        <v>391</v>
      </c>
      <c r="D1023" s="8" t="s">
        <v>523</v>
      </c>
      <c r="E1023" s="25">
        <v>742.5</v>
      </c>
      <c r="F1023" s="25">
        <v>67.5</v>
      </c>
    </row>
    <row r="1024" spans="1:6" x14ac:dyDescent="0.25">
      <c r="A1024" s="8" t="s">
        <v>402</v>
      </c>
      <c r="B1024" s="8" t="s">
        <v>132</v>
      </c>
      <c r="C1024" s="8" t="s">
        <v>391</v>
      </c>
      <c r="D1024" s="8" t="s">
        <v>524</v>
      </c>
      <c r="E1024" s="25">
        <v>82.5</v>
      </c>
      <c r="F1024" s="25">
        <v>7.5</v>
      </c>
    </row>
    <row r="1025" spans="1:6" x14ac:dyDescent="0.25">
      <c r="A1025" s="8" t="s">
        <v>402</v>
      </c>
      <c r="B1025" s="8" t="s">
        <v>128</v>
      </c>
      <c r="C1025" s="8" t="s">
        <v>424</v>
      </c>
      <c r="D1025" s="8" t="s">
        <v>525</v>
      </c>
      <c r="E1025" s="25">
        <v>990</v>
      </c>
      <c r="F1025" s="25">
        <v>90</v>
      </c>
    </row>
    <row r="1026" spans="1:6" x14ac:dyDescent="0.25">
      <c r="A1026" s="8" t="s">
        <v>402</v>
      </c>
      <c r="B1026" s="8" t="s">
        <v>128</v>
      </c>
      <c r="C1026" s="8" t="s">
        <v>424</v>
      </c>
      <c r="D1026" s="8" t="s">
        <v>526</v>
      </c>
      <c r="E1026" s="25">
        <v>82.5</v>
      </c>
      <c r="F1026" s="25">
        <v>7.5</v>
      </c>
    </row>
    <row r="1027" spans="1:6" x14ac:dyDescent="0.25">
      <c r="A1027" s="8" t="s">
        <v>402</v>
      </c>
      <c r="B1027" s="8" t="s">
        <v>128</v>
      </c>
      <c r="C1027" s="8" t="s">
        <v>527</v>
      </c>
      <c r="D1027" s="8" t="s">
        <v>528</v>
      </c>
      <c r="E1027" s="25">
        <v>6534</v>
      </c>
      <c r="F1027" s="25">
        <v>594</v>
      </c>
    </row>
    <row r="1028" spans="1:6" x14ac:dyDescent="0.25">
      <c r="A1028" s="8" t="s">
        <v>402</v>
      </c>
      <c r="B1028" s="8" t="s">
        <v>128</v>
      </c>
      <c r="C1028" s="8" t="s">
        <v>527</v>
      </c>
      <c r="D1028" s="8" t="s">
        <v>529</v>
      </c>
      <c r="E1028" s="25">
        <v>1122</v>
      </c>
      <c r="F1028" s="25">
        <v>102</v>
      </c>
    </row>
    <row r="1029" spans="1:6" x14ac:dyDescent="0.25">
      <c r="A1029" s="8" t="s">
        <v>402</v>
      </c>
      <c r="B1029" s="8" t="s">
        <v>128</v>
      </c>
      <c r="C1029" s="8" t="s">
        <v>527</v>
      </c>
      <c r="D1029" s="8" t="s">
        <v>530</v>
      </c>
      <c r="E1029" s="25">
        <v>1188</v>
      </c>
      <c r="F1029" s="25">
        <v>108</v>
      </c>
    </row>
    <row r="1030" spans="1:6" x14ac:dyDescent="0.25">
      <c r="A1030" s="8" t="s">
        <v>402</v>
      </c>
      <c r="B1030" s="8" t="s">
        <v>128</v>
      </c>
      <c r="C1030" s="8" t="s">
        <v>527</v>
      </c>
      <c r="D1030" s="8" t="s">
        <v>531</v>
      </c>
      <c r="E1030" s="25">
        <v>396</v>
      </c>
      <c r="F1030" s="25">
        <v>36</v>
      </c>
    </row>
    <row r="1031" spans="1:6" x14ac:dyDescent="0.25">
      <c r="A1031" s="8" t="s">
        <v>402</v>
      </c>
      <c r="B1031" s="8" t="s">
        <v>128</v>
      </c>
      <c r="C1031" s="8" t="s">
        <v>493</v>
      </c>
      <c r="D1031" s="8" t="s">
        <v>532</v>
      </c>
      <c r="E1031" s="25">
        <v>627</v>
      </c>
      <c r="F1031" s="25">
        <v>57</v>
      </c>
    </row>
    <row r="1032" spans="1:6" x14ac:dyDescent="0.25">
      <c r="A1032" s="8" t="s">
        <v>402</v>
      </c>
      <c r="B1032" s="8" t="s">
        <v>128</v>
      </c>
      <c r="C1032" s="8" t="s">
        <v>493</v>
      </c>
      <c r="D1032" s="8" t="s">
        <v>153</v>
      </c>
      <c r="E1032" s="25">
        <v>27.5</v>
      </c>
      <c r="F1032" s="25">
        <v>2.5</v>
      </c>
    </row>
    <row r="1033" spans="1:6" x14ac:dyDescent="0.25">
      <c r="A1033" s="8" t="s">
        <v>402</v>
      </c>
      <c r="B1033" s="8" t="s">
        <v>128</v>
      </c>
      <c r="C1033" s="8" t="s">
        <v>493</v>
      </c>
      <c r="D1033" s="8" t="s">
        <v>154</v>
      </c>
      <c r="E1033" s="25">
        <v>49.5</v>
      </c>
      <c r="F1033" s="25">
        <v>4.5</v>
      </c>
    </row>
    <row r="1034" spans="1:6" x14ac:dyDescent="0.25">
      <c r="A1034" s="8" t="s">
        <v>402</v>
      </c>
      <c r="B1034" s="8" t="s">
        <v>132</v>
      </c>
      <c r="C1034" s="8" t="s">
        <v>533</v>
      </c>
      <c r="D1034" s="8" t="s">
        <v>148</v>
      </c>
      <c r="E1034" s="25">
        <v>297</v>
      </c>
      <c r="F1034" s="25">
        <v>27</v>
      </c>
    </row>
    <row r="1035" spans="1:6" x14ac:dyDescent="0.25">
      <c r="A1035" s="8" t="s">
        <v>402</v>
      </c>
      <c r="B1035" s="8" t="s">
        <v>132</v>
      </c>
      <c r="C1035" s="8" t="s">
        <v>533</v>
      </c>
      <c r="D1035" s="8" t="s">
        <v>149</v>
      </c>
      <c r="E1035" s="25">
        <v>49.5</v>
      </c>
      <c r="F1035" s="25">
        <v>4.5</v>
      </c>
    </row>
    <row r="1036" spans="1:6" x14ac:dyDescent="0.25">
      <c r="A1036" s="8" t="s">
        <v>402</v>
      </c>
      <c r="B1036" s="8" t="s">
        <v>132</v>
      </c>
      <c r="C1036" s="8" t="s">
        <v>533</v>
      </c>
      <c r="D1036" s="8" t="s">
        <v>150</v>
      </c>
      <c r="E1036" s="25">
        <v>304.92</v>
      </c>
      <c r="F1036" s="25">
        <v>27.72</v>
      </c>
    </row>
    <row r="1037" spans="1:6" x14ac:dyDescent="0.25">
      <c r="A1037" s="8" t="s">
        <v>402</v>
      </c>
      <c r="B1037" s="8" t="s">
        <v>132</v>
      </c>
      <c r="C1037" s="8" t="s">
        <v>533</v>
      </c>
      <c r="D1037" s="8" t="s">
        <v>155</v>
      </c>
      <c r="E1037" s="25">
        <v>27.5</v>
      </c>
      <c r="F1037" s="25">
        <v>2.5</v>
      </c>
    </row>
    <row r="1038" spans="1:6" x14ac:dyDescent="0.25">
      <c r="A1038" s="8" t="s">
        <v>402</v>
      </c>
      <c r="B1038" s="8" t="s">
        <v>132</v>
      </c>
      <c r="C1038" s="8" t="s">
        <v>533</v>
      </c>
      <c r="D1038" s="8" t="s">
        <v>156</v>
      </c>
      <c r="E1038" s="25">
        <v>27.5</v>
      </c>
      <c r="F1038" s="25">
        <v>2.5</v>
      </c>
    </row>
    <row r="1039" spans="1:6" x14ac:dyDescent="0.25">
      <c r="A1039" s="8" t="s">
        <v>402</v>
      </c>
      <c r="B1039" s="8" t="s">
        <v>132</v>
      </c>
      <c r="C1039" s="8" t="s">
        <v>533</v>
      </c>
      <c r="D1039" s="8" t="s">
        <v>157</v>
      </c>
      <c r="E1039" s="25">
        <v>49.5</v>
      </c>
      <c r="F1039" s="25">
        <v>4.5</v>
      </c>
    </row>
    <row r="1040" spans="1:6" x14ac:dyDescent="0.25">
      <c r="A1040" s="8" t="s">
        <v>402</v>
      </c>
      <c r="B1040" s="8" t="s">
        <v>137</v>
      </c>
      <c r="C1040" s="8" t="s">
        <v>533</v>
      </c>
      <c r="D1040" s="8" t="s">
        <v>158</v>
      </c>
      <c r="E1040" s="25">
        <v>18.899999999999999</v>
      </c>
      <c r="F1040" s="25">
        <v>1.72</v>
      </c>
    </row>
    <row r="1041" spans="1:6" x14ac:dyDescent="0.25">
      <c r="A1041" s="8" t="s">
        <v>402</v>
      </c>
      <c r="B1041" s="8" t="s">
        <v>128</v>
      </c>
      <c r="C1041" s="8" t="s">
        <v>534</v>
      </c>
      <c r="D1041" s="8" t="s">
        <v>535</v>
      </c>
      <c r="E1041" s="25">
        <v>436.7</v>
      </c>
      <c r="F1041" s="25">
        <v>39.700000000000003</v>
      </c>
    </row>
    <row r="1042" spans="1:6" x14ac:dyDescent="0.25">
      <c r="A1042" s="8" t="s">
        <v>402</v>
      </c>
      <c r="B1042" s="8" t="s">
        <v>137</v>
      </c>
      <c r="C1042" s="8" t="s">
        <v>534</v>
      </c>
      <c r="D1042" s="8" t="s">
        <v>220</v>
      </c>
      <c r="E1042" s="25">
        <v>10.92</v>
      </c>
      <c r="F1042" s="25">
        <v>0.99</v>
      </c>
    </row>
    <row r="1043" spans="1:6" x14ac:dyDescent="0.25">
      <c r="A1043" s="8" t="s">
        <v>402</v>
      </c>
      <c r="B1043" s="8" t="s">
        <v>132</v>
      </c>
      <c r="C1043" s="8" t="s">
        <v>536</v>
      </c>
      <c r="D1043" s="8" t="s">
        <v>537</v>
      </c>
      <c r="E1043" s="25">
        <v>1461.9</v>
      </c>
      <c r="F1043" s="25">
        <v>132.9</v>
      </c>
    </row>
    <row r="1044" spans="1:6" x14ac:dyDescent="0.25">
      <c r="A1044" s="8" t="s">
        <v>402</v>
      </c>
      <c r="B1044" s="8" t="s">
        <v>132</v>
      </c>
      <c r="C1044" s="8" t="s">
        <v>536</v>
      </c>
      <c r="D1044" s="8" t="s">
        <v>538</v>
      </c>
      <c r="E1044" s="25">
        <v>330</v>
      </c>
      <c r="F1044" s="25">
        <v>30</v>
      </c>
    </row>
    <row r="1045" spans="1:6" x14ac:dyDescent="0.25">
      <c r="A1045" s="8" t="s">
        <v>402</v>
      </c>
      <c r="B1045" s="8" t="s">
        <v>132</v>
      </c>
      <c r="C1045" s="8" t="s">
        <v>536</v>
      </c>
      <c r="D1045" s="8" t="s">
        <v>539</v>
      </c>
      <c r="E1045" s="25">
        <v>330</v>
      </c>
      <c r="F1045" s="25">
        <v>30</v>
      </c>
    </row>
    <row r="1046" spans="1:6" x14ac:dyDescent="0.25">
      <c r="A1046" s="8" t="s">
        <v>402</v>
      </c>
      <c r="B1046" s="8" t="s">
        <v>128</v>
      </c>
      <c r="C1046" s="8" t="s">
        <v>540</v>
      </c>
      <c r="D1046" s="8" t="s">
        <v>541</v>
      </c>
      <c r="E1046" s="25">
        <v>3960</v>
      </c>
      <c r="F1046" s="25">
        <v>360</v>
      </c>
    </row>
    <row r="1047" spans="1:6" x14ac:dyDescent="0.25">
      <c r="A1047" s="8" t="s">
        <v>402</v>
      </c>
      <c r="B1047" s="8" t="s">
        <v>128</v>
      </c>
      <c r="C1047" s="8" t="s">
        <v>493</v>
      </c>
      <c r="D1047" s="8" t="s">
        <v>542</v>
      </c>
      <c r="E1047" s="25">
        <v>273.89999999999998</v>
      </c>
      <c r="F1047" s="25">
        <v>24.9</v>
      </c>
    </row>
    <row r="1048" spans="1:6" x14ac:dyDescent="0.25">
      <c r="A1048" s="8" t="s">
        <v>402</v>
      </c>
      <c r="B1048" s="8" t="s">
        <v>132</v>
      </c>
      <c r="C1048" s="8" t="s">
        <v>543</v>
      </c>
      <c r="D1048" s="8" t="s">
        <v>544</v>
      </c>
      <c r="E1048" s="25">
        <v>891</v>
      </c>
      <c r="F1048" s="25">
        <v>81</v>
      </c>
    </row>
    <row r="1049" spans="1:6" x14ac:dyDescent="0.25">
      <c r="A1049" s="8" t="s">
        <v>402</v>
      </c>
      <c r="B1049" s="8" t="s">
        <v>128</v>
      </c>
      <c r="C1049" s="8" t="s">
        <v>502</v>
      </c>
      <c r="D1049" s="8" t="s">
        <v>290</v>
      </c>
      <c r="E1049" s="25">
        <v>675.4</v>
      </c>
      <c r="F1049" s="25">
        <v>61.4</v>
      </c>
    </row>
    <row r="1050" spans="1:6" x14ac:dyDescent="0.25">
      <c r="A1050" s="8" t="s">
        <v>402</v>
      </c>
      <c r="B1050" s="8" t="s">
        <v>128</v>
      </c>
      <c r="C1050" s="8" t="s">
        <v>502</v>
      </c>
      <c r="D1050" s="8" t="s">
        <v>291</v>
      </c>
      <c r="E1050" s="25">
        <v>-345.4</v>
      </c>
      <c r="F1050" s="25">
        <v>-31.4</v>
      </c>
    </row>
    <row r="1051" spans="1:6" x14ac:dyDescent="0.25">
      <c r="A1051" s="8" t="s">
        <v>402</v>
      </c>
      <c r="B1051" s="8" t="s">
        <v>128</v>
      </c>
      <c r="C1051" s="8" t="s">
        <v>493</v>
      </c>
      <c r="D1051" s="8" t="s">
        <v>545</v>
      </c>
      <c r="E1051" s="25">
        <v>427.9</v>
      </c>
      <c r="F1051" s="25">
        <v>38.9</v>
      </c>
    </row>
    <row r="1052" spans="1:6" x14ac:dyDescent="0.25">
      <c r="A1052" s="8" t="s">
        <v>402</v>
      </c>
      <c r="B1052" s="8" t="s">
        <v>137</v>
      </c>
      <c r="C1052" s="8" t="s">
        <v>493</v>
      </c>
      <c r="D1052" s="8" t="s">
        <v>293</v>
      </c>
      <c r="E1052" s="25">
        <v>10.7</v>
      </c>
      <c r="F1052" s="25">
        <v>0.97</v>
      </c>
    </row>
    <row r="1053" spans="1:6" x14ac:dyDescent="0.25">
      <c r="A1053" s="8" t="s">
        <v>402</v>
      </c>
      <c r="B1053" s="8" t="s">
        <v>128</v>
      </c>
      <c r="C1053" s="8" t="s">
        <v>493</v>
      </c>
      <c r="D1053" s="8" t="s">
        <v>294</v>
      </c>
      <c r="E1053" s="25">
        <v>220</v>
      </c>
      <c r="F1053" s="25">
        <v>20</v>
      </c>
    </row>
    <row r="1054" spans="1:6" x14ac:dyDescent="0.25">
      <c r="A1054" s="8" t="s">
        <v>402</v>
      </c>
      <c r="B1054" s="8" t="s">
        <v>137</v>
      </c>
      <c r="C1054" s="8" t="s">
        <v>493</v>
      </c>
      <c r="D1054" s="8" t="s">
        <v>295</v>
      </c>
      <c r="E1054" s="25">
        <v>5.5</v>
      </c>
      <c r="F1054" s="25">
        <v>0.5</v>
      </c>
    </row>
    <row r="1055" spans="1:6" x14ac:dyDescent="0.25">
      <c r="A1055" s="8" t="s">
        <v>402</v>
      </c>
      <c r="B1055" s="8" t="s">
        <v>174</v>
      </c>
      <c r="C1055" s="8" t="s">
        <v>546</v>
      </c>
      <c r="D1055" s="8" t="s">
        <v>547</v>
      </c>
      <c r="E1055" s="25">
        <v>378.4</v>
      </c>
      <c r="F1055" s="25">
        <v>34.4</v>
      </c>
    </row>
    <row r="1056" spans="1:6" x14ac:dyDescent="0.25">
      <c r="A1056" s="8" t="s">
        <v>402</v>
      </c>
      <c r="B1056" s="8" t="s">
        <v>128</v>
      </c>
      <c r="C1056" s="8" t="s">
        <v>548</v>
      </c>
      <c r="D1056" s="8" t="s">
        <v>549</v>
      </c>
      <c r="E1056" s="25">
        <v>242</v>
      </c>
      <c r="F1056" s="25">
        <v>22</v>
      </c>
    </row>
    <row r="1057" spans="1:6" x14ac:dyDescent="0.25">
      <c r="A1057" s="8" t="s">
        <v>402</v>
      </c>
      <c r="B1057" s="8" t="s">
        <v>128</v>
      </c>
      <c r="C1057" s="8" t="s">
        <v>550</v>
      </c>
      <c r="D1057" s="8" t="s">
        <v>551</v>
      </c>
      <c r="E1057" s="25">
        <v>280.5</v>
      </c>
      <c r="F1057" s="25">
        <v>25.5</v>
      </c>
    </row>
    <row r="1058" spans="1:6" x14ac:dyDescent="0.25">
      <c r="A1058" s="8" t="s">
        <v>552</v>
      </c>
      <c r="B1058" s="8" t="s">
        <v>356</v>
      </c>
      <c r="C1058" s="8" t="s">
        <v>553</v>
      </c>
      <c r="D1058" s="8" t="s">
        <v>554</v>
      </c>
      <c r="E1058" s="25">
        <v>610.5</v>
      </c>
      <c r="F1058" s="25">
        <v>55.5</v>
      </c>
    </row>
    <row r="1059" spans="1:6" x14ac:dyDescent="0.25">
      <c r="A1059" s="8" t="s">
        <v>552</v>
      </c>
      <c r="B1059" s="8" t="s">
        <v>132</v>
      </c>
      <c r="C1059" s="8" t="s">
        <v>555</v>
      </c>
      <c r="D1059" s="8" t="s">
        <v>556</v>
      </c>
      <c r="E1059" s="25">
        <v>-498.3</v>
      </c>
      <c r="F1059" s="25">
        <v>-45.3</v>
      </c>
    </row>
    <row r="1060" spans="1:6" x14ac:dyDescent="0.25">
      <c r="A1060" s="8" t="s">
        <v>552</v>
      </c>
      <c r="B1060" s="8" t="s">
        <v>132</v>
      </c>
      <c r="C1060" s="8" t="s">
        <v>555</v>
      </c>
      <c r="D1060" s="8" t="s">
        <v>557</v>
      </c>
      <c r="E1060" s="25">
        <v>-330</v>
      </c>
      <c r="F1060" s="25">
        <v>-30</v>
      </c>
    </row>
    <row r="1061" spans="1:6" x14ac:dyDescent="0.25">
      <c r="A1061" s="8" t="s">
        <v>552</v>
      </c>
      <c r="B1061" s="8" t="s">
        <v>128</v>
      </c>
      <c r="C1061" s="8" t="s">
        <v>558</v>
      </c>
      <c r="D1061" s="8" t="s">
        <v>559</v>
      </c>
      <c r="E1061" s="25">
        <v>330</v>
      </c>
      <c r="F1061" s="25">
        <v>30</v>
      </c>
    </row>
    <row r="1062" spans="1:6" x14ac:dyDescent="0.25">
      <c r="A1062" s="8" t="s">
        <v>552</v>
      </c>
      <c r="B1062" s="8" t="s">
        <v>356</v>
      </c>
      <c r="C1062" s="8" t="s">
        <v>560</v>
      </c>
      <c r="D1062" s="8" t="s">
        <v>561</v>
      </c>
      <c r="E1062" s="25">
        <v>-2442</v>
      </c>
      <c r="F1062" s="25">
        <v>-222</v>
      </c>
    </row>
    <row r="1063" spans="1:6" x14ac:dyDescent="0.25">
      <c r="A1063" s="8" t="s">
        <v>562</v>
      </c>
      <c r="B1063" s="8" t="s">
        <v>347</v>
      </c>
      <c r="C1063" s="8" t="s">
        <v>563</v>
      </c>
      <c r="D1063" s="8" t="s">
        <v>564</v>
      </c>
      <c r="E1063" s="25">
        <v>220</v>
      </c>
      <c r="F1063" s="25">
        <v>20</v>
      </c>
    </row>
    <row r="1064" spans="1:6" x14ac:dyDescent="0.25">
      <c r="A1064" s="8" t="s">
        <v>562</v>
      </c>
      <c r="B1064" s="8" t="s">
        <v>128</v>
      </c>
      <c r="C1064" s="8" t="s">
        <v>563</v>
      </c>
      <c r="D1064" s="8" t="s">
        <v>565</v>
      </c>
      <c r="E1064" s="25">
        <v>636.02</v>
      </c>
      <c r="F1064" s="25">
        <v>57.82</v>
      </c>
    </row>
    <row r="1065" spans="1:6" x14ac:dyDescent="0.25">
      <c r="A1065" s="8" t="s">
        <v>562</v>
      </c>
      <c r="B1065" s="8" t="s">
        <v>356</v>
      </c>
      <c r="C1065" s="8" t="s">
        <v>566</v>
      </c>
      <c r="D1065" s="8" t="s">
        <v>567</v>
      </c>
      <c r="E1065" s="25">
        <v>814</v>
      </c>
      <c r="F1065" s="25">
        <v>74</v>
      </c>
    </row>
    <row r="1066" spans="1:6" x14ac:dyDescent="0.25">
      <c r="A1066" s="8" t="s">
        <v>562</v>
      </c>
      <c r="B1066" s="8" t="s">
        <v>356</v>
      </c>
      <c r="C1066" s="8" t="s">
        <v>568</v>
      </c>
      <c r="D1066" s="8" t="s">
        <v>569</v>
      </c>
      <c r="E1066" s="25">
        <v>814</v>
      </c>
      <c r="F1066" s="25">
        <v>74</v>
      </c>
    </row>
    <row r="1067" spans="1:6" x14ac:dyDescent="0.25">
      <c r="A1067" s="8" t="s">
        <v>562</v>
      </c>
      <c r="B1067" s="8" t="s">
        <v>356</v>
      </c>
      <c r="C1067" s="8" t="s">
        <v>570</v>
      </c>
      <c r="D1067" s="8" t="s">
        <v>571</v>
      </c>
      <c r="E1067" s="25">
        <v>407</v>
      </c>
      <c r="F1067" s="25">
        <v>37</v>
      </c>
    </row>
    <row r="1068" spans="1:6" x14ac:dyDescent="0.25">
      <c r="A1068" s="8" t="s">
        <v>562</v>
      </c>
      <c r="B1068" s="8" t="s">
        <v>356</v>
      </c>
      <c r="C1068" s="8" t="s">
        <v>572</v>
      </c>
      <c r="D1068" s="8" t="s">
        <v>573</v>
      </c>
      <c r="E1068" s="25">
        <v>1017.5</v>
      </c>
      <c r="F1068" s="25">
        <v>92.5</v>
      </c>
    </row>
    <row r="1069" spans="1:6" x14ac:dyDescent="0.25">
      <c r="A1069" s="8" t="s">
        <v>574</v>
      </c>
      <c r="B1069" s="8" t="s">
        <v>356</v>
      </c>
      <c r="C1069" s="8" t="s">
        <v>575</v>
      </c>
      <c r="D1069" s="8" t="s">
        <v>576</v>
      </c>
      <c r="E1069" s="25">
        <v>610.5</v>
      </c>
      <c r="F1069" s="25">
        <v>55.5</v>
      </c>
    </row>
    <row r="1070" spans="1:6" x14ac:dyDescent="0.25">
      <c r="A1070" s="8" t="s">
        <v>574</v>
      </c>
      <c r="B1070" s="8" t="s">
        <v>356</v>
      </c>
      <c r="C1070" s="8" t="s">
        <v>577</v>
      </c>
      <c r="D1070" s="8" t="s">
        <v>578</v>
      </c>
      <c r="E1070" s="25">
        <v>874.5</v>
      </c>
      <c r="F1070" s="25">
        <v>79.5</v>
      </c>
    </row>
    <row r="1071" spans="1:6" x14ac:dyDescent="0.25">
      <c r="A1071" s="8" t="s">
        <v>574</v>
      </c>
      <c r="B1071" s="8" t="s">
        <v>132</v>
      </c>
      <c r="C1071" s="8" t="s">
        <v>577</v>
      </c>
      <c r="D1071" s="8" t="s">
        <v>579</v>
      </c>
      <c r="E1071" s="25">
        <v>162.86000000000001</v>
      </c>
      <c r="F1071" s="25">
        <v>14.81</v>
      </c>
    </row>
    <row r="1072" spans="1:6" x14ac:dyDescent="0.25">
      <c r="A1072" s="8" t="s">
        <v>574</v>
      </c>
      <c r="B1072" s="8" t="s">
        <v>132</v>
      </c>
      <c r="C1072" s="8" t="s">
        <v>577</v>
      </c>
      <c r="D1072" s="8" t="s">
        <v>580</v>
      </c>
      <c r="E1072" s="25">
        <v>-171.62</v>
      </c>
      <c r="F1072" s="25">
        <v>-15.6</v>
      </c>
    </row>
    <row r="1073" spans="1:6" x14ac:dyDescent="0.25">
      <c r="A1073" s="8" t="s">
        <v>574</v>
      </c>
      <c r="B1073" s="8" t="s">
        <v>356</v>
      </c>
      <c r="C1073" s="8" t="s">
        <v>581</v>
      </c>
      <c r="D1073" s="8" t="s">
        <v>582</v>
      </c>
      <c r="E1073" s="25">
        <v>1017.5</v>
      </c>
      <c r="F1073" s="25">
        <v>92.5</v>
      </c>
    </row>
    <row r="1074" spans="1:6" x14ac:dyDescent="0.25">
      <c r="A1074" s="8" t="s">
        <v>583</v>
      </c>
      <c r="B1074" s="8" t="s">
        <v>347</v>
      </c>
      <c r="C1074" s="8" t="s">
        <v>584</v>
      </c>
      <c r="D1074" s="8" t="s">
        <v>585</v>
      </c>
      <c r="E1074" s="25">
        <v>110</v>
      </c>
      <c r="F1074" s="25">
        <v>10</v>
      </c>
    </row>
    <row r="1075" spans="1:6" x14ac:dyDescent="0.25">
      <c r="A1075" s="8" t="s">
        <v>583</v>
      </c>
      <c r="B1075" s="8" t="s">
        <v>128</v>
      </c>
      <c r="C1075" s="8" t="s">
        <v>584</v>
      </c>
      <c r="D1075" s="8" t="s">
        <v>586</v>
      </c>
      <c r="E1075" s="25">
        <v>158.4</v>
      </c>
      <c r="F1075" s="25">
        <v>14.4</v>
      </c>
    </row>
    <row r="1076" spans="1:6" x14ac:dyDescent="0.25">
      <c r="A1076" s="8" t="s">
        <v>587</v>
      </c>
      <c r="B1076" s="8" t="s">
        <v>588</v>
      </c>
      <c r="C1076" s="8" t="s">
        <v>527</v>
      </c>
      <c r="D1076" s="8" t="s">
        <v>528</v>
      </c>
      <c r="E1076" s="25">
        <v>-6534</v>
      </c>
      <c r="F1076" s="25">
        <v>-594</v>
      </c>
    </row>
    <row r="1077" spans="1:6" x14ac:dyDescent="0.25">
      <c r="A1077" s="8" t="s">
        <v>587</v>
      </c>
      <c r="B1077" s="8" t="s">
        <v>588</v>
      </c>
      <c r="C1077" s="8" t="s">
        <v>527</v>
      </c>
      <c r="D1077" s="8" t="s">
        <v>529</v>
      </c>
      <c r="E1077" s="25">
        <v>-1122</v>
      </c>
      <c r="F1077" s="25">
        <v>-102</v>
      </c>
    </row>
    <row r="1078" spans="1:6" x14ac:dyDescent="0.25">
      <c r="A1078" s="8" t="s">
        <v>587</v>
      </c>
      <c r="B1078" s="8" t="s">
        <v>588</v>
      </c>
      <c r="C1078" s="8" t="s">
        <v>527</v>
      </c>
      <c r="D1078" s="8" t="s">
        <v>530</v>
      </c>
      <c r="E1078" s="25">
        <v>-1188</v>
      </c>
      <c r="F1078" s="25">
        <v>-108</v>
      </c>
    </row>
    <row r="1079" spans="1:6" x14ac:dyDescent="0.25">
      <c r="A1079" s="8" t="s">
        <v>587</v>
      </c>
      <c r="B1079" s="8" t="s">
        <v>588</v>
      </c>
      <c r="C1079" s="8" t="s">
        <v>527</v>
      </c>
      <c r="D1079" s="8" t="s">
        <v>531</v>
      </c>
      <c r="E1079" s="25">
        <v>-396</v>
      </c>
      <c r="F1079" s="25">
        <v>-36</v>
      </c>
    </row>
    <row r="1080" spans="1:6" x14ac:dyDescent="0.25">
      <c r="A1080" s="8" t="s">
        <v>587</v>
      </c>
      <c r="B1080" s="8" t="s">
        <v>347</v>
      </c>
      <c r="C1080" s="8" t="s">
        <v>589</v>
      </c>
      <c r="D1080" s="8" t="s">
        <v>590</v>
      </c>
      <c r="E1080" s="25">
        <v>220</v>
      </c>
      <c r="F1080" s="25">
        <v>20</v>
      </c>
    </row>
    <row r="1081" spans="1:6" x14ac:dyDescent="0.25">
      <c r="A1081" s="8" t="s">
        <v>587</v>
      </c>
      <c r="B1081" s="8" t="s">
        <v>347</v>
      </c>
      <c r="C1081" s="8" t="s">
        <v>589</v>
      </c>
      <c r="D1081" s="8" t="s">
        <v>591</v>
      </c>
      <c r="E1081" s="25">
        <v>-220</v>
      </c>
      <c r="F1081" s="25">
        <v>-20</v>
      </c>
    </row>
    <row r="1082" spans="1:6" x14ac:dyDescent="0.25">
      <c r="A1082" s="8" t="s">
        <v>587</v>
      </c>
      <c r="B1082" s="8" t="s">
        <v>128</v>
      </c>
      <c r="C1082" s="8" t="s">
        <v>589</v>
      </c>
      <c r="D1082" s="8" t="s">
        <v>592</v>
      </c>
      <c r="E1082" s="25">
        <v>297</v>
      </c>
      <c r="F1082" s="25">
        <v>27</v>
      </c>
    </row>
    <row r="1083" spans="1:6" x14ac:dyDescent="0.25">
      <c r="A1083" s="8" t="s">
        <v>587</v>
      </c>
      <c r="B1083" s="8" t="s">
        <v>128</v>
      </c>
      <c r="C1083" s="8" t="s">
        <v>589</v>
      </c>
      <c r="D1083" s="8" t="s">
        <v>593</v>
      </c>
      <c r="E1083" s="25">
        <v>-297</v>
      </c>
      <c r="F1083" s="25">
        <v>-27</v>
      </c>
    </row>
    <row r="1084" spans="1:6" x14ac:dyDescent="0.25">
      <c r="A1084" s="8" t="s">
        <v>594</v>
      </c>
      <c r="B1084" s="8" t="s">
        <v>132</v>
      </c>
      <c r="C1084" s="8" t="s">
        <v>595</v>
      </c>
      <c r="D1084" s="8" t="s">
        <v>596</v>
      </c>
      <c r="E1084" s="25">
        <v>357.5</v>
      </c>
      <c r="F1084" s="25">
        <v>32.5</v>
      </c>
    </row>
    <row r="1085" spans="1:6" x14ac:dyDescent="0.25">
      <c r="A1085" s="8" t="s">
        <v>594</v>
      </c>
      <c r="B1085" s="8" t="s">
        <v>128</v>
      </c>
      <c r="C1085" s="8" t="s">
        <v>597</v>
      </c>
      <c r="D1085" s="8" t="s">
        <v>598</v>
      </c>
      <c r="E1085" s="25">
        <v>-527.12</v>
      </c>
      <c r="F1085" s="25">
        <v>-47.92</v>
      </c>
    </row>
    <row r="1086" spans="1:6" x14ac:dyDescent="0.25">
      <c r="A1086" s="8" t="s">
        <v>599</v>
      </c>
      <c r="B1086" s="8" t="s">
        <v>347</v>
      </c>
      <c r="C1086" s="8" t="s">
        <v>600</v>
      </c>
      <c r="D1086" s="8" t="s">
        <v>601</v>
      </c>
      <c r="E1086" s="25">
        <v>110</v>
      </c>
      <c r="F1086" s="25">
        <v>10</v>
      </c>
    </row>
    <row r="1087" spans="1:6" x14ac:dyDescent="0.25">
      <c r="A1087" s="8" t="s">
        <v>599</v>
      </c>
      <c r="B1087" s="8" t="s">
        <v>128</v>
      </c>
      <c r="C1087" s="8" t="s">
        <v>600</v>
      </c>
      <c r="D1087" s="8" t="s">
        <v>602</v>
      </c>
      <c r="E1087" s="25">
        <v>600.82000000000005</v>
      </c>
      <c r="F1087" s="25">
        <v>54.62</v>
      </c>
    </row>
    <row r="1088" spans="1:6" x14ac:dyDescent="0.25">
      <c r="A1088" s="8" t="s">
        <v>599</v>
      </c>
      <c r="B1088" s="8" t="s">
        <v>356</v>
      </c>
      <c r="C1088" s="8" t="s">
        <v>357</v>
      </c>
      <c r="D1088" s="8" t="s">
        <v>603</v>
      </c>
      <c r="E1088" s="25">
        <v>407</v>
      </c>
      <c r="F1088" s="25">
        <v>37</v>
      </c>
    </row>
    <row r="1089" spans="1:6" x14ac:dyDescent="0.25">
      <c r="A1089" s="8" t="s">
        <v>599</v>
      </c>
      <c r="B1089" s="8" t="s">
        <v>356</v>
      </c>
      <c r="C1089" s="8" t="s">
        <v>357</v>
      </c>
      <c r="D1089" s="8" t="s">
        <v>604</v>
      </c>
      <c r="E1089" s="25">
        <v>407</v>
      </c>
      <c r="F1089" s="25">
        <v>37</v>
      </c>
    </row>
    <row r="1090" spans="1:6" x14ac:dyDescent="0.25">
      <c r="A1090" s="8" t="s">
        <v>605</v>
      </c>
      <c r="B1090" s="8" t="s">
        <v>347</v>
      </c>
      <c r="C1090" s="8" t="s">
        <v>606</v>
      </c>
      <c r="D1090" s="8" t="s">
        <v>607</v>
      </c>
      <c r="E1090" s="25">
        <v>4290</v>
      </c>
      <c r="F1090" s="25">
        <v>390</v>
      </c>
    </row>
    <row r="1091" spans="1:6" x14ac:dyDescent="0.25">
      <c r="A1091" s="8" t="s">
        <v>605</v>
      </c>
      <c r="B1091" s="8" t="s">
        <v>347</v>
      </c>
      <c r="C1091" s="8" t="s">
        <v>606</v>
      </c>
      <c r="D1091" s="8" t="s">
        <v>608</v>
      </c>
      <c r="E1091" s="25">
        <v>-429</v>
      </c>
      <c r="F1091" s="25">
        <v>-39</v>
      </c>
    </row>
    <row r="1092" spans="1:6" x14ac:dyDescent="0.25">
      <c r="A1092" s="8" t="s">
        <v>605</v>
      </c>
      <c r="B1092" s="8" t="s">
        <v>347</v>
      </c>
      <c r="C1092" s="8" t="s">
        <v>606</v>
      </c>
      <c r="D1092" s="8" t="s">
        <v>609</v>
      </c>
      <c r="E1092" s="25">
        <v>874.5</v>
      </c>
      <c r="F1092" s="25">
        <v>79.5</v>
      </c>
    </row>
    <row r="1093" spans="1:6" x14ac:dyDescent="0.25">
      <c r="A1093" s="8" t="s">
        <v>605</v>
      </c>
      <c r="B1093" s="8" t="s">
        <v>347</v>
      </c>
      <c r="C1093" s="8" t="s">
        <v>606</v>
      </c>
      <c r="D1093" s="8" t="s">
        <v>610</v>
      </c>
      <c r="E1093" s="25">
        <v>654.5</v>
      </c>
      <c r="F1093" s="25">
        <v>59.5</v>
      </c>
    </row>
    <row r="1094" spans="1:6" x14ac:dyDescent="0.25">
      <c r="A1094" s="8" t="s">
        <v>605</v>
      </c>
      <c r="B1094" s="8" t="s">
        <v>128</v>
      </c>
      <c r="C1094" s="8" t="s">
        <v>611</v>
      </c>
      <c r="D1094" s="8" t="s">
        <v>612</v>
      </c>
      <c r="E1094" s="25">
        <v>2508</v>
      </c>
      <c r="F1094" s="25">
        <v>228</v>
      </c>
    </row>
    <row r="1095" spans="1:6" x14ac:dyDescent="0.25">
      <c r="A1095" s="8" t="s">
        <v>605</v>
      </c>
      <c r="B1095" s="8" t="s">
        <v>128</v>
      </c>
      <c r="C1095" s="8" t="s">
        <v>611</v>
      </c>
      <c r="D1095" s="8" t="s">
        <v>613</v>
      </c>
      <c r="E1095" s="25">
        <v>82.5</v>
      </c>
      <c r="F1095" s="25">
        <v>7.5</v>
      </c>
    </row>
    <row r="1096" spans="1:6" x14ac:dyDescent="0.25">
      <c r="A1096" s="8" t="s">
        <v>614</v>
      </c>
      <c r="B1096" s="8" t="s">
        <v>347</v>
      </c>
      <c r="C1096" s="8" t="s">
        <v>615</v>
      </c>
      <c r="D1096" s="8" t="s">
        <v>616</v>
      </c>
      <c r="E1096" s="25">
        <v>110</v>
      </c>
      <c r="F1096" s="25">
        <v>10</v>
      </c>
    </row>
    <row r="1097" spans="1:6" x14ac:dyDescent="0.25">
      <c r="A1097" s="8" t="s">
        <v>614</v>
      </c>
      <c r="B1097" s="8" t="s">
        <v>347</v>
      </c>
      <c r="C1097" s="8" t="s">
        <v>615</v>
      </c>
      <c r="D1097" s="8" t="s">
        <v>617</v>
      </c>
      <c r="E1097" s="25">
        <v>-110</v>
      </c>
      <c r="F1097" s="25">
        <v>-10</v>
      </c>
    </row>
    <row r="1098" spans="1:6" x14ac:dyDescent="0.25">
      <c r="A1098" s="8" t="s">
        <v>614</v>
      </c>
      <c r="B1098" s="8" t="s">
        <v>128</v>
      </c>
      <c r="C1098" s="8" t="s">
        <v>615</v>
      </c>
      <c r="D1098" s="8" t="s">
        <v>618</v>
      </c>
      <c r="E1098" s="25">
        <v>148.5</v>
      </c>
      <c r="F1098" s="25">
        <v>13.5</v>
      </c>
    </row>
    <row r="1099" spans="1:6" x14ac:dyDescent="0.25">
      <c r="A1099" s="8" t="s">
        <v>614</v>
      </c>
      <c r="B1099" s="8" t="s">
        <v>128</v>
      </c>
      <c r="C1099" s="8" t="s">
        <v>615</v>
      </c>
      <c r="D1099" s="8" t="s">
        <v>619</v>
      </c>
      <c r="E1099" s="25">
        <v>-148.5</v>
      </c>
      <c r="F1099" s="25">
        <v>-13.5</v>
      </c>
    </row>
    <row r="1100" spans="1:6" x14ac:dyDescent="0.25">
      <c r="A1100" s="8" t="s">
        <v>614</v>
      </c>
      <c r="B1100" s="8" t="s">
        <v>347</v>
      </c>
      <c r="C1100" s="8" t="s">
        <v>620</v>
      </c>
      <c r="D1100" s="8" t="s">
        <v>621</v>
      </c>
      <c r="E1100" s="25">
        <v>110</v>
      </c>
      <c r="F1100" s="25">
        <v>10</v>
      </c>
    </row>
    <row r="1101" spans="1:6" x14ac:dyDescent="0.25">
      <c r="A1101" s="8" t="s">
        <v>614</v>
      </c>
      <c r="B1101" s="8" t="s">
        <v>347</v>
      </c>
      <c r="C1101" s="8" t="s">
        <v>620</v>
      </c>
      <c r="D1101" s="8" t="s">
        <v>622</v>
      </c>
      <c r="E1101" s="25">
        <v>-110</v>
      </c>
      <c r="F1101" s="25">
        <v>-10</v>
      </c>
    </row>
    <row r="1102" spans="1:6" x14ac:dyDescent="0.25">
      <c r="A1102" s="8" t="s">
        <v>614</v>
      </c>
      <c r="B1102" s="8" t="s">
        <v>128</v>
      </c>
      <c r="C1102" s="8" t="s">
        <v>620</v>
      </c>
      <c r="D1102" s="8" t="s">
        <v>623</v>
      </c>
      <c r="E1102" s="25">
        <v>330</v>
      </c>
      <c r="F1102" s="25">
        <v>30</v>
      </c>
    </row>
    <row r="1103" spans="1:6" x14ac:dyDescent="0.25">
      <c r="A1103" s="8" t="s">
        <v>614</v>
      </c>
      <c r="B1103" s="8" t="s">
        <v>128</v>
      </c>
      <c r="C1103" s="8" t="s">
        <v>620</v>
      </c>
      <c r="D1103" s="8" t="s">
        <v>624</v>
      </c>
      <c r="E1103" s="25">
        <v>-330</v>
      </c>
      <c r="F1103" s="25">
        <v>-30</v>
      </c>
    </row>
    <row r="1104" spans="1:6" x14ac:dyDescent="0.25">
      <c r="A1104" s="8" t="s">
        <v>625</v>
      </c>
      <c r="B1104" s="8" t="s">
        <v>356</v>
      </c>
      <c r="C1104" s="8" t="s">
        <v>357</v>
      </c>
      <c r="D1104" s="8" t="s">
        <v>626</v>
      </c>
      <c r="E1104" s="25">
        <v>1628</v>
      </c>
      <c r="F1104" s="25">
        <v>148</v>
      </c>
    </row>
    <row r="1105" spans="1:6" x14ac:dyDescent="0.25">
      <c r="A1105" s="8" t="s">
        <v>625</v>
      </c>
      <c r="B1105" s="8" t="s">
        <v>356</v>
      </c>
      <c r="C1105" s="8" t="s">
        <v>627</v>
      </c>
      <c r="D1105" s="8" t="s">
        <v>628</v>
      </c>
      <c r="E1105" s="25">
        <v>814</v>
      </c>
      <c r="F1105" s="25">
        <v>74</v>
      </c>
    </row>
    <row r="1106" spans="1:6" x14ac:dyDescent="0.25">
      <c r="A1106" s="8" t="s">
        <v>625</v>
      </c>
      <c r="B1106" s="8" t="s">
        <v>356</v>
      </c>
      <c r="C1106" s="8" t="s">
        <v>629</v>
      </c>
      <c r="D1106" s="8" t="s">
        <v>630</v>
      </c>
      <c r="E1106" s="25">
        <v>814</v>
      </c>
      <c r="F1106" s="25">
        <v>74</v>
      </c>
    </row>
    <row r="1107" spans="1:6" x14ac:dyDescent="0.25">
      <c r="A1107" s="8" t="s">
        <v>625</v>
      </c>
      <c r="B1107" s="8" t="s">
        <v>347</v>
      </c>
      <c r="C1107" s="8" t="s">
        <v>631</v>
      </c>
      <c r="D1107" s="8" t="s">
        <v>632</v>
      </c>
      <c r="E1107" s="25">
        <v>5445</v>
      </c>
      <c r="F1107" s="25">
        <v>495</v>
      </c>
    </row>
    <row r="1108" spans="1:6" x14ac:dyDescent="0.25">
      <c r="A1108" s="8" t="s">
        <v>625</v>
      </c>
      <c r="B1108" s="8" t="s">
        <v>128</v>
      </c>
      <c r="C1108" s="8" t="s">
        <v>633</v>
      </c>
      <c r="D1108" s="8" t="s">
        <v>634</v>
      </c>
      <c r="E1108" s="25">
        <v>1303.5</v>
      </c>
      <c r="F1108" s="25">
        <v>118.5</v>
      </c>
    </row>
    <row r="1109" spans="1:6" x14ac:dyDescent="0.25">
      <c r="A1109" s="8" t="s">
        <v>625</v>
      </c>
      <c r="B1109" s="8" t="s">
        <v>356</v>
      </c>
      <c r="C1109" s="8" t="s">
        <v>635</v>
      </c>
      <c r="D1109" s="8" t="s">
        <v>636</v>
      </c>
      <c r="E1109" s="25">
        <v>-407</v>
      </c>
      <c r="F1109" s="25">
        <v>-37</v>
      </c>
    </row>
    <row r="1110" spans="1:6" x14ac:dyDescent="0.25">
      <c r="A1110" s="8" t="s">
        <v>625</v>
      </c>
      <c r="B1110" s="8" t="s">
        <v>132</v>
      </c>
      <c r="C1110" s="8" t="s">
        <v>637</v>
      </c>
      <c r="D1110" s="8" t="s">
        <v>638</v>
      </c>
      <c r="E1110" s="25">
        <v>-1066.3</v>
      </c>
      <c r="F1110" s="25">
        <v>-96.94</v>
      </c>
    </row>
    <row r="1111" spans="1:6" x14ac:dyDescent="0.25">
      <c r="A1111" s="8" t="s">
        <v>625</v>
      </c>
      <c r="B1111" s="8" t="s">
        <v>132</v>
      </c>
      <c r="C1111" s="8" t="s">
        <v>637</v>
      </c>
      <c r="D1111" s="8" t="s">
        <v>639</v>
      </c>
      <c r="E1111" s="25">
        <v>-82.5</v>
      </c>
      <c r="F1111" s="25">
        <v>-7.5</v>
      </c>
    </row>
    <row r="1112" spans="1:6" x14ac:dyDescent="0.25">
      <c r="A1112" s="8" t="s">
        <v>625</v>
      </c>
      <c r="B1112" s="8" t="s">
        <v>347</v>
      </c>
      <c r="C1112" s="8" t="s">
        <v>640</v>
      </c>
      <c r="D1112" s="8" t="s">
        <v>641</v>
      </c>
      <c r="E1112" s="25">
        <v>330</v>
      </c>
      <c r="F1112" s="25">
        <v>30</v>
      </c>
    </row>
    <row r="1113" spans="1:6" x14ac:dyDescent="0.25">
      <c r="A1113" s="8" t="s">
        <v>625</v>
      </c>
      <c r="B1113" s="8" t="s">
        <v>347</v>
      </c>
      <c r="C1113" s="8" t="s">
        <v>640</v>
      </c>
      <c r="D1113" s="8" t="s">
        <v>642</v>
      </c>
      <c r="E1113" s="25">
        <v>-330</v>
      </c>
      <c r="F1113" s="25">
        <v>-30</v>
      </c>
    </row>
    <row r="1114" spans="1:6" x14ac:dyDescent="0.25">
      <c r="A1114" s="8" t="s">
        <v>625</v>
      </c>
      <c r="B1114" s="8" t="s">
        <v>128</v>
      </c>
      <c r="C1114" s="8" t="s">
        <v>640</v>
      </c>
      <c r="D1114" s="8" t="s">
        <v>643</v>
      </c>
      <c r="E1114" s="25">
        <v>445.5</v>
      </c>
      <c r="F1114" s="25">
        <v>40.5</v>
      </c>
    </row>
    <row r="1115" spans="1:6" x14ac:dyDescent="0.25">
      <c r="A1115" s="8" t="s">
        <v>625</v>
      </c>
      <c r="B1115" s="8" t="s">
        <v>128</v>
      </c>
      <c r="C1115" s="8" t="s">
        <v>640</v>
      </c>
      <c r="D1115" s="8" t="s">
        <v>644</v>
      </c>
      <c r="E1115" s="25">
        <v>-445.5</v>
      </c>
      <c r="F1115" s="25">
        <v>-40.5</v>
      </c>
    </row>
    <row r="1116" spans="1:6" x14ac:dyDescent="0.25">
      <c r="A1116" s="8" t="s">
        <v>625</v>
      </c>
      <c r="B1116" s="8" t="s">
        <v>356</v>
      </c>
      <c r="C1116" s="8" t="s">
        <v>645</v>
      </c>
      <c r="D1116" s="8" t="s">
        <v>646</v>
      </c>
      <c r="E1116" s="25">
        <v>1221</v>
      </c>
      <c r="F1116" s="25">
        <v>111</v>
      </c>
    </row>
    <row r="1117" spans="1:6" x14ac:dyDescent="0.25">
      <c r="A1117" s="8" t="s">
        <v>625</v>
      </c>
      <c r="B1117" s="8" t="s">
        <v>356</v>
      </c>
      <c r="C1117" s="8" t="s">
        <v>647</v>
      </c>
      <c r="D1117" s="8" t="s">
        <v>648</v>
      </c>
      <c r="E1117" s="25">
        <v>407</v>
      </c>
      <c r="F1117" s="25">
        <v>37</v>
      </c>
    </row>
    <row r="1118" spans="1:6" x14ac:dyDescent="0.25">
      <c r="A1118" s="8" t="s">
        <v>625</v>
      </c>
      <c r="B1118" s="8" t="s">
        <v>356</v>
      </c>
      <c r="C1118" s="8" t="s">
        <v>627</v>
      </c>
      <c r="D1118" s="8" t="s">
        <v>628</v>
      </c>
      <c r="E1118" s="25">
        <v>-814</v>
      </c>
      <c r="F1118" s="25">
        <v>-74</v>
      </c>
    </row>
    <row r="1119" spans="1:6" x14ac:dyDescent="0.25">
      <c r="A1119" s="8" t="s">
        <v>649</v>
      </c>
      <c r="B1119" s="8" t="s">
        <v>347</v>
      </c>
      <c r="C1119" s="8" t="s">
        <v>650</v>
      </c>
      <c r="D1119" s="8" t="s">
        <v>651</v>
      </c>
      <c r="E1119" s="25">
        <v>110</v>
      </c>
      <c r="F1119" s="25">
        <v>10</v>
      </c>
    </row>
    <row r="1120" spans="1:6" x14ac:dyDescent="0.25">
      <c r="A1120" s="8" t="s">
        <v>649</v>
      </c>
      <c r="B1120" s="8" t="s">
        <v>347</v>
      </c>
      <c r="C1120" s="8" t="s">
        <v>650</v>
      </c>
      <c r="D1120" s="8" t="s">
        <v>652</v>
      </c>
      <c r="E1120" s="25">
        <v>-110</v>
      </c>
      <c r="F1120" s="25">
        <v>-10</v>
      </c>
    </row>
    <row r="1121" spans="1:6" x14ac:dyDescent="0.25">
      <c r="A1121" s="8" t="s">
        <v>649</v>
      </c>
      <c r="B1121" s="8" t="s">
        <v>128</v>
      </c>
      <c r="C1121" s="8" t="s">
        <v>650</v>
      </c>
      <c r="D1121" s="8" t="s">
        <v>653</v>
      </c>
      <c r="E1121" s="25">
        <v>148.5</v>
      </c>
      <c r="F1121" s="25">
        <v>13.5</v>
      </c>
    </row>
    <row r="1122" spans="1:6" x14ac:dyDescent="0.25">
      <c r="A1122" s="8" t="s">
        <v>649</v>
      </c>
      <c r="B1122" s="8" t="s">
        <v>128</v>
      </c>
      <c r="C1122" s="8" t="s">
        <v>650</v>
      </c>
      <c r="D1122" s="8" t="s">
        <v>654</v>
      </c>
      <c r="E1122" s="25">
        <v>-148.5</v>
      </c>
      <c r="F1122" s="25">
        <v>-13.5</v>
      </c>
    </row>
    <row r="1123" spans="1:6" x14ac:dyDescent="0.25">
      <c r="A1123" s="8" t="s">
        <v>655</v>
      </c>
      <c r="B1123" s="8" t="s">
        <v>356</v>
      </c>
      <c r="C1123" s="8" t="s">
        <v>357</v>
      </c>
      <c r="D1123" s="8" t="s">
        <v>656</v>
      </c>
      <c r="E1123" s="25">
        <v>874.5</v>
      </c>
      <c r="F1123" s="25">
        <v>79.5</v>
      </c>
    </row>
    <row r="1124" spans="1:6" x14ac:dyDescent="0.25">
      <c r="A1124" s="8" t="s">
        <v>655</v>
      </c>
      <c r="B1124" s="8" t="s">
        <v>132</v>
      </c>
      <c r="C1124" s="8" t="s">
        <v>357</v>
      </c>
      <c r="D1124" s="8" t="s">
        <v>657</v>
      </c>
      <c r="E1124" s="25">
        <v>55</v>
      </c>
      <c r="F1124" s="25">
        <v>5</v>
      </c>
    </row>
    <row r="1125" spans="1:6" x14ac:dyDescent="0.25">
      <c r="A1125" s="8" t="s">
        <v>658</v>
      </c>
      <c r="B1125" s="8" t="s">
        <v>132</v>
      </c>
      <c r="C1125" s="8" t="s">
        <v>659</v>
      </c>
      <c r="D1125" s="8" t="s">
        <v>660</v>
      </c>
      <c r="E1125" s="25">
        <v>8464.5</v>
      </c>
      <c r="F1125" s="25">
        <v>769.5</v>
      </c>
    </row>
    <row r="1126" spans="1:6" x14ac:dyDescent="0.25">
      <c r="A1126" s="8" t="s">
        <v>658</v>
      </c>
      <c r="B1126" s="8" t="s">
        <v>132</v>
      </c>
      <c r="C1126" s="8" t="s">
        <v>659</v>
      </c>
      <c r="D1126" s="8" t="s">
        <v>661</v>
      </c>
      <c r="E1126" s="25">
        <v>-8464.5</v>
      </c>
      <c r="F1126" s="25">
        <v>-769.5</v>
      </c>
    </row>
    <row r="1127" spans="1:6" x14ac:dyDescent="0.25">
      <c r="A1127" s="8" t="s">
        <v>658</v>
      </c>
      <c r="B1127" s="8" t="s">
        <v>132</v>
      </c>
      <c r="C1127" s="8" t="s">
        <v>659</v>
      </c>
      <c r="D1127" s="8" t="s">
        <v>662</v>
      </c>
      <c r="E1127" s="25">
        <v>423.23</v>
      </c>
      <c r="F1127" s="25">
        <v>38.479999999999997</v>
      </c>
    </row>
    <row r="1128" spans="1:6" x14ac:dyDescent="0.25">
      <c r="A1128" s="8" t="s">
        <v>658</v>
      </c>
      <c r="B1128" s="8" t="s">
        <v>132</v>
      </c>
      <c r="C1128" s="8" t="s">
        <v>659</v>
      </c>
      <c r="D1128" s="8" t="s">
        <v>663</v>
      </c>
      <c r="E1128" s="25">
        <v>-423.23</v>
      </c>
      <c r="F1128" s="25">
        <v>-38.479999999999997</v>
      </c>
    </row>
    <row r="1129" spans="1:6" x14ac:dyDescent="0.25">
      <c r="A1129" s="8" t="s">
        <v>664</v>
      </c>
      <c r="B1129" s="8" t="s">
        <v>132</v>
      </c>
      <c r="C1129" s="8" t="s">
        <v>665</v>
      </c>
      <c r="D1129" s="8" t="s">
        <v>666</v>
      </c>
      <c r="E1129" s="25">
        <v>6534</v>
      </c>
      <c r="F1129" s="25">
        <v>594</v>
      </c>
    </row>
    <row r="1130" spans="1:6" x14ac:dyDescent="0.25">
      <c r="A1130" s="8" t="s">
        <v>664</v>
      </c>
      <c r="B1130" s="8" t="s">
        <v>132</v>
      </c>
      <c r="C1130" s="8" t="s">
        <v>665</v>
      </c>
      <c r="D1130" s="8" t="s">
        <v>667</v>
      </c>
      <c r="E1130" s="25">
        <v>-6534</v>
      </c>
      <c r="F1130" s="25">
        <v>-594</v>
      </c>
    </row>
    <row r="1131" spans="1:6" x14ac:dyDescent="0.25">
      <c r="A1131" s="8" t="s">
        <v>664</v>
      </c>
      <c r="B1131" s="8" t="s">
        <v>132</v>
      </c>
      <c r="C1131" s="8" t="s">
        <v>665</v>
      </c>
      <c r="D1131" s="8" t="s">
        <v>668</v>
      </c>
      <c r="E1131" s="25">
        <v>326.7</v>
      </c>
      <c r="F1131" s="25">
        <v>29.7</v>
      </c>
    </row>
    <row r="1132" spans="1:6" x14ac:dyDescent="0.25">
      <c r="A1132" s="8" t="s">
        <v>664</v>
      </c>
      <c r="B1132" s="8" t="s">
        <v>132</v>
      </c>
      <c r="C1132" s="8" t="s">
        <v>665</v>
      </c>
      <c r="D1132" s="8" t="s">
        <v>669</v>
      </c>
      <c r="E1132" s="25">
        <v>-326.7</v>
      </c>
      <c r="F1132" s="25">
        <v>-29.7</v>
      </c>
    </row>
    <row r="1133" spans="1:6" x14ac:dyDescent="0.25">
      <c r="A1133" s="8" t="s">
        <v>664</v>
      </c>
      <c r="B1133" s="8" t="s">
        <v>132</v>
      </c>
      <c r="C1133" s="8" t="s">
        <v>665</v>
      </c>
      <c r="D1133" s="8" t="s">
        <v>670</v>
      </c>
      <c r="E1133" s="25">
        <v>297</v>
      </c>
      <c r="F1133" s="25">
        <v>27</v>
      </c>
    </row>
    <row r="1134" spans="1:6" x14ac:dyDescent="0.25">
      <c r="A1134" s="8" t="s">
        <v>664</v>
      </c>
      <c r="B1134" s="8" t="s">
        <v>132</v>
      </c>
      <c r="C1134" s="8" t="s">
        <v>665</v>
      </c>
      <c r="D1134" s="8" t="s">
        <v>671</v>
      </c>
      <c r="E1134" s="25">
        <v>-297</v>
      </c>
      <c r="F1134" s="25">
        <v>-27</v>
      </c>
    </row>
    <row r="1135" spans="1:6" x14ac:dyDescent="0.25">
      <c r="A1135" s="8" t="s">
        <v>664</v>
      </c>
      <c r="B1135" s="8" t="s">
        <v>356</v>
      </c>
      <c r="C1135" s="8" t="s">
        <v>629</v>
      </c>
      <c r="D1135" s="8" t="s">
        <v>630</v>
      </c>
      <c r="E1135" s="25">
        <v>-814</v>
      </c>
      <c r="F1135" s="25">
        <v>-74</v>
      </c>
    </row>
    <row r="1136" spans="1:6" x14ac:dyDescent="0.25">
      <c r="A1136" s="8" t="s">
        <v>672</v>
      </c>
      <c r="B1136" s="8" t="s">
        <v>132</v>
      </c>
      <c r="C1136" s="8" t="s">
        <v>673</v>
      </c>
      <c r="D1136" s="8" t="s">
        <v>674</v>
      </c>
      <c r="E1136" s="25">
        <v>5643</v>
      </c>
      <c r="F1136" s="25">
        <v>513</v>
      </c>
    </row>
    <row r="1137" spans="1:6" x14ac:dyDescent="0.25">
      <c r="A1137" s="8" t="s">
        <v>672</v>
      </c>
      <c r="B1137" s="8" t="s">
        <v>132</v>
      </c>
      <c r="C1137" s="8" t="s">
        <v>673</v>
      </c>
      <c r="D1137" s="8" t="s">
        <v>675</v>
      </c>
      <c r="E1137" s="25">
        <v>-5643</v>
      </c>
      <c r="F1137" s="25">
        <v>-513</v>
      </c>
    </row>
    <row r="1138" spans="1:6" x14ac:dyDescent="0.25">
      <c r="A1138" s="8" t="s">
        <v>672</v>
      </c>
      <c r="B1138" s="8" t="s">
        <v>132</v>
      </c>
      <c r="C1138" s="8" t="s">
        <v>673</v>
      </c>
      <c r="D1138" s="8" t="s">
        <v>676</v>
      </c>
      <c r="E1138" s="25">
        <v>282.14999999999998</v>
      </c>
      <c r="F1138" s="25">
        <v>25.65</v>
      </c>
    </row>
    <row r="1139" spans="1:6" x14ac:dyDescent="0.25">
      <c r="A1139" s="8" t="s">
        <v>672</v>
      </c>
      <c r="B1139" s="8" t="s">
        <v>132</v>
      </c>
      <c r="C1139" s="8" t="s">
        <v>673</v>
      </c>
      <c r="D1139" s="8" t="s">
        <v>663</v>
      </c>
      <c r="E1139" s="25">
        <v>-282.14999999999998</v>
      </c>
      <c r="F1139" s="25">
        <v>-25.65</v>
      </c>
    </row>
    <row r="1140" spans="1:6" x14ac:dyDescent="0.25">
      <c r="A1140" s="8" t="s">
        <v>672</v>
      </c>
      <c r="B1140" s="8" t="s">
        <v>347</v>
      </c>
      <c r="C1140" s="8" t="s">
        <v>677</v>
      </c>
      <c r="D1140" s="8" t="s">
        <v>678</v>
      </c>
      <c r="E1140" s="25">
        <v>220</v>
      </c>
      <c r="F1140" s="25">
        <v>20</v>
      </c>
    </row>
    <row r="1141" spans="1:6" x14ac:dyDescent="0.25">
      <c r="A1141" s="8" t="s">
        <v>672</v>
      </c>
      <c r="B1141" s="8" t="s">
        <v>347</v>
      </c>
      <c r="C1141" s="8" t="s">
        <v>677</v>
      </c>
      <c r="D1141" s="8" t="s">
        <v>679</v>
      </c>
      <c r="E1141" s="25">
        <v>-220</v>
      </c>
      <c r="F1141" s="25">
        <v>-20</v>
      </c>
    </row>
    <row r="1142" spans="1:6" x14ac:dyDescent="0.25">
      <c r="A1142" s="8" t="s">
        <v>672</v>
      </c>
      <c r="B1142" s="8" t="s">
        <v>128</v>
      </c>
      <c r="C1142" s="8" t="s">
        <v>677</v>
      </c>
      <c r="D1142" s="8" t="s">
        <v>680</v>
      </c>
      <c r="E1142" s="25">
        <v>660</v>
      </c>
      <c r="F1142" s="25">
        <v>60</v>
      </c>
    </row>
    <row r="1143" spans="1:6" x14ac:dyDescent="0.25">
      <c r="A1143" s="8" t="s">
        <v>672</v>
      </c>
      <c r="B1143" s="8" t="s">
        <v>128</v>
      </c>
      <c r="C1143" s="8" t="s">
        <v>677</v>
      </c>
      <c r="D1143" s="8" t="s">
        <v>681</v>
      </c>
      <c r="E1143" s="25">
        <v>-660</v>
      </c>
      <c r="F1143" s="25">
        <v>-60</v>
      </c>
    </row>
    <row r="1144" spans="1:6" x14ac:dyDescent="0.25">
      <c r="A1144" s="8" t="s">
        <v>672</v>
      </c>
      <c r="B1144" s="8" t="s">
        <v>682</v>
      </c>
      <c r="C1144" s="8" t="s">
        <v>683</v>
      </c>
      <c r="D1144" s="8" t="s">
        <v>684</v>
      </c>
      <c r="E1144" s="25">
        <v>9355.5</v>
      </c>
      <c r="F1144" s="25">
        <v>850.5</v>
      </c>
    </row>
    <row r="1145" spans="1:6" x14ac:dyDescent="0.25">
      <c r="A1145" s="8" t="s">
        <v>672</v>
      </c>
      <c r="B1145" s="8" t="s">
        <v>682</v>
      </c>
      <c r="C1145" s="8" t="s">
        <v>683</v>
      </c>
      <c r="D1145" s="8" t="s">
        <v>685</v>
      </c>
      <c r="E1145" s="25">
        <v>-9355.5</v>
      </c>
      <c r="F1145" s="25">
        <v>-850.5</v>
      </c>
    </row>
    <row r="1146" spans="1:6" x14ac:dyDescent="0.25">
      <c r="A1146" s="8" t="s">
        <v>672</v>
      </c>
      <c r="B1146" s="8" t="s">
        <v>132</v>
      </c>
      <c r="C1146" s="8" t="s">
        <v>683</v>
      </c>
      <c r="D1146" s="8" t="s">
        <v>686</v>
      </c>
      <c r="E1146" s="25">
        <v>445.5</v>
      </c>
      <c r="F1146" s="25">
        <v>40.5</v>
      </c>
    </row>
    <row r="1147" spans="1:6" x14ac:dyDescent="0.25">
      <c r="A1147" s="8" t="s">
        <v>672</v>
      </c>
      <c r="B1147" s="8" t="s">
        <v>132</v>
      </c>
      <c r="C1147" s="8" t="s">
        <v>683</v>
      </c>
      <c r="D1147" s="8" t="s">
        <v>687</v>
      </c>
      <c r="E1147" s="25">
        <v>-445.5</v>
      </c>
      <c r="F1147" s="25">
        <v>-40.5</v>
      </c>
    </row>
    <row r="1148" spans="1:6" x14ac:dyDescent="0.25">
      <c r="A1148" s="8" t="s">
        <v>672</v>
      </c>
      <c r="B1148" s="8" t="s">
        <v>682</v>
      </c>
      <c r="C1148" s="8" t="s">
        <v>688</v>
      </c>
      <c r="D1148" s="8" t="s">
        <v>689</v>
      </c>
      <c r="E1148" s="25">
        <v>4870.8</v>
      </c>
      <c r="F1148" s="25">
        <v>442.8</v>
      </c>
    </row>
    <row r="1149" spans="1:6" x14ac:dyDescent="0.25">
      <c r="A1149" s="8" t="s">
        <v>672</v>
      </c>
      <c r="B1149" s="8" t="s">
        <v>682</v>
      </c>
      <c r="C1149" s="8" t="s">
        <v>688</v>
      </c>
      <c r="D1149" s="8" t="s">
        <v>690</v>
      </c>
      <c r="E1149" s="25">
        <v>-4870.8</v>
      </c>
      <c r="F1149" s="25">
        <v>-442.8</v>
      </c>
    </row>
    <row r="1150" spans="1:6" x14ac:dyDescent="0.25">
      <c r="A1150" s="8" t="s">
        <v>672</v>
      </c>
      <c r="B1150" s="8" t="s">
        <v>132</v>
      </c>
      <c r="C1150" s="8" t="s">
        <v>688</v>
      </c>
      <c r="D1150" s="8" t="s">
        <v>691</v>
      </c>
      <c r="E1150" s="25">
        <v>228.69</v>
      </c>
      <c r="F1150" s="25">
        <v>20.79</v>
      </c>
    </row>
    <row r="1151" spans="1:6" x14ac:dyDescent="0.25">
      <c r="A1151" s="8" t="s">
        <v>672</v>
      </c>
      <c r="B1151" s="8" t="s">
        <v>132</v>
      </c>
      <c r="C1151" s="8" t="s">
        <v>688</v>
      </c>
      <c r="D1151" s="8" t="s">
        <v>692</v>
      </c>
      <c r="E1151" s="25">
        <v>-228.69</v>
      </c>
      <c r="F1151" s="25">
        <v>-20.79</v>
      </c>
    </row>
    <row r="1152" spans="1:6" x14ac:dyDescent="0.25">
      <c r="A1152" s="8" t="s">
        <v>672</v>
      </c>
      <c r="B1152" s="8" t="s">
        <v>132</v>
      </c>
      <c r="C1152" s="8" t="s">
        <v>688</v>
      </c>
      <c r="D1152" s="8" t="s">
        <v>693</v>
      </c>
      <c r="E1152" s="25">
        <v>148.5</v>
      </c>
      <c r="F1152" s="25">
        <v>13.5</v>
      </c>
    </row>
    <row r="1153" spans="1:6" x14ac:dyDescent="0.25">
      <c r="A1153" s="8" t="s">
        <v>672</v>
      </c>
      <c r="B1153" s="8" t="s">
        <v>132</v>
      </c>
      <c r="C1153" s="8" t="s">
        <v>688</v>
      </c>
      <c r="D1153" s="8" t="s">
        <v>694</v>
      </c>
      <c r="E1153" s="25">
        <v>-148.5</v>
      </c>
      <c r="F1153" s="25">
        <v>-13.5</v>
      </c>
    </row>
    <row r="1154" spans="1:6" x14ac:dyDescent="0.25">
      <c r="A1154" s="8" t="s">
        <v>695</v>
      </c>
      <c r="B1154" s="8" t="s">
        <v>132</v>
      </c>
      <c r="C1154" s="8" t="s">
        <v>696</v>
      </c>
      <c r="D1154" s="8" t="s">
        <v>674</v>
      </c>
      <c r="E1154" s="25">
        <v>5643</v>
      </c>
      <c r="F1154" s="25">
        <v>513</v>
      </c>
    </row>
    <row r="1155" spans="1:6" x14ac:dyDescent="0.25">
      <c r="A1155" s="8" t="s">
        <v>695</v>
      </c>
      <c r="B1155" s="8" t="s">
        <v>132</v>
      </c>
      <c r="C1155" s="8" t="s">
        <v>696</v>
      </c>
      <c r="D1155" s="8" t="s">
        <v>675</v>
      </c>
      <c r="E1155" s="25">
        <v>-5643</v>
      </c>
      <c r="F1155" s="25">
        <v>-513</v>
      </c>
    </row>
    <row r="1156" spans="1:6" x14ac:dyDescent="0.25">
      <c r="A1156" s="8" t="s">
        <v>695</v>
      </c>
      <c r="B1156" s="8" t="s">
        <v>132</v>
      </c>
      <c r="C1156" s="8" t="s">
        <v>696</v>
      </c>
      <c r="D1156" s="8" t="s">
        <v>676</v>
      </c>
      <c r="E1156" s="25">
        <v>282.14999999999998</v>
      </c>
      <c r="F1156" s="25">
        <v>25.65</v>
      </c>
    </row>
    <row r="1157" spans="1:6" x14ac:dyDescent="0.25">
      <c r="A1157" s="8" t="s">
        <v>695</v>
      </c>
      <c r="B1157" s="8" t="s">
        <v>132</v>
      </c>
      <c r="C1157" s="8" t="s">
        <v>696</v>
      </c>
      <c r="D1157" s="8" t="s">
        <v>663</v>
      </c>
      <c r="E1157" s="25">
        <v>-282.14999999999998</v>
      </c>
      <c r="F1157" s="25">
        <v>-25.65</v>
      </c>
    </row>
    <row r="1158" spans="1:6" x14ac:dyDescent="0.25">
      <c r="A1158" s="8" t="s">
        <v>695</v>
      </c>
      <c r="B1158" s="8" t="s">
        <v>356</v>
      </c>
      <c r="C1158" s="8" t="s">
        <v>357</v>
      </c>
      <c r="D1158" s="8" t="s">
        <v>697</v>
      </c>
      <c r="E1158" s="25">
        <v>1221</v>
      </c>
      <c r="F1158" s="25">
        <v>111</v>
      </c>
    </row>
    <row r="1159" spans="1:6" x14ac:dyDescent="0.25">
      <c r="A1159" s="8" t="s">
        <v>695</v>
      </c>
      <c r="B1159" s="8" t="s">
        <v>347</v>
      </c>
      <c r="C1159" s="8" t="s">
        <v>698</v>
      </c>
      <c r="D1159" s="8" t="s">
        <v>699</v>
      </c>
      <c r="E1159" s="25">
        <v>110</v>
      </c>
      <c r="F1159" s="25">
        <v>10</v>
      </c>
    </row>
    <row r="1160" spans="1:6" x14ac:dyDescent="0.25">
      <c r="A1160" s="8" t="s">
        <v>695</v>
      </c>
      <c r="B1160" s="8" t="s">
        <v>347</v>
      </c>
      <c r="C1160" s="8" t="s">
        <v>698</v>
      </c>
      <c r="D1160" s="8" t="s">
        <v>700</v>
      </c>
      <c r="E1160" s="25">
        <v>-110</v>
      </c>
      <c r="F1160" s="25">
        <v>-10</v>
      </c>
    </row>
    <row r="1161" spans="1:6" x14ac:dyDescent="0.25">
      <c r="A1161" s="8" t="s">
        <v>695</v>
      </c>
      <c r="B1161" s="8" t="s">
        <v>128</v>
      </c>
      <c r="C1161" s="8" t="s">
        <v>698</v>
      </c>
      <c r="D1161" s="8" t="s">
        <v>701</v>
      </c>
      <c r="E1161" s="25">
        <v>148.5</v>
      </c>
      <c r="F1161" s="25">
        <v>13.5</v>
      </c>
    </row>
    <row r="1162" spans="1:6" x14ac:dyDescent="0.25">
      <c r="A1162" s="8" t="s">
        <v>695</v>
      </c>
      <c r="B1162" s="8" t="s">
        <v>128</v>
      </c>
      <c r="C1162" s="8" t="s">
        <v>698</v>
      </c>
      <c r="D1162" s="8" t="s">
        <v>702</v>
      </c>
      <c r="E1162" s="25">
        <v>-148.5</v>
      </c>
      <c r="F1162" s="25">
        <v>-13.5</v>
      </c>
    </row>
    <row r="1163" spans="1:6" x14ac:dyDescent="0.25">
      <c r="A1163" s="8" t="s">
        <v>695</v>
      </c>
      <c r="B1163" s="8" t="s">
        <v>356</v>
      </c>
      <c r="C1163" s="8" t="s">
        <v>357</v>
      </c>
      <c r="D1163" s="8" t="s">
        <v>703</v>
      </c>
      <c r="E1163" s="25">
        <v>4884</v>
      </c>
      <c r="F1163" s="25">
        <v>444</v>
      </c>
    </row>
    <row r="1164" spans="1:6" x14ac:dyDescent="0.25">
      <c r="A1164" s="8" t="s">
        <v>695</v>
      </c>
      <c r="B1164" s="8" t="s">
        <v>356</v>
      </c>
      <c r="C1164" s="8" t="s">
        <v>357</v>
      </c>
      <c r="D1164" s="8" t="s">
        <v>704</v>
      </c>
      <c r="E1164" s="25">
        <v>9157.5</v>
      </c>
      <c r="F1164" s="25">
        <v>832.5</v>
      </c>
    </row>
    <row r="1165" spans="1:6" x14ac:dyDescent="0.25">
      <c r="A1165" s="8" t="s">
        <v>695</v>
      </c>
      <c r="B1165" s="8" t="s">
        <v>347</v>
      </c>
      <c r="C1165" s="8" t="s">
        <v>705</v>
      </c>
      <c r="D1165" s="8" t="s">
        <v>706</v>
      </c>
      <c r="E1165" s="25">
        <v>770</v>
      </c>
      <c r="F1165" s="25">
        <v>70</v>
      </c>
    </row>
    <row r="1166" spans="1:6" x14ac:dyDescent="0.25">
      <c r="A1166" s="8" t="s">
        <v>695</v>
      </c>
      <c r="B1166" s="8" t="s">
        <v>347</v>
      </c>
      <c r="C1166" s="8" t="s">
        <v>705</v>
      </c>
      <c r="D1166" s="8" t="s">
        <v>707</v>
      </c>
      <c r="E1166" s="25">
        <v>-770</v>
      </c>
      <c r="F1166" s="25">
        <v>-70</v>
      </c>
    </row>
    <row r="1167" spans="1:6" x14ac:dyDescent="0.25">
      <c r="A1167" s="8" t="s">
        <v>695</v>
      </c>
      <c r="B1167" s="8" t="s">
        <v>128</v>
      </c>
      <c r="C1167" s="8" t="s">
        <v>705</v>
      </c>
      <c r="D1167" s="8" t="s">
        <v>708</v>
      </c>
      <c r="E1167" s="25">
        <v>1039.5</v>
      </c>
      <c r="F1167" s="25">
        <v>94.5</v>
      </c>
    </row>
    <row r="1168" spans="1:6" x14ac:dyDescent="0.25">
      <c r="A1168" s="8" t="s">
        <v>695</v>
      </c>
      <c r="B1168" s="8" t="s">
        <v>128</v>
      </c>
      <c r="C1168" s="8" t="s">
        <v>705</v>
      </c>
      <c r="D1168" s="8" t="s">
        <v>709</v>
      </c>
      <c r="E1168" s="25">
        <v>-1039.5</v>
      </c>
      <c r="F1168" s="25">
        <v>-94.5</v>
      </c>
    </row>
    <row r="1169" spans="1:6" x14ac:dyDescent="0.25">
      <c r="A1169" s="8" t="s">
        <v>695</v>
      </c>
      <c r="B1169" s="8" t="s">
        <v>347</v>
      </c>
      <c r="C1169" s="8" t="s">
        <v>710</v>
      </c>
      <c r="D1169" s="8" t="s">
        <v>711</v>
      </c>
      <c r="E1169" s="25">
        <v>110</v>
      </c>
      <c r="F1169" s="25">
        <v>10</v>
      </c>
    </row>
    <row r="1170" spans="1:6" x14ac:dyDescent="0.25">
      <c r="A1170" s="8" t="s">
        <v>695</v>
      </c>
      <c r="B1170" s="8" t="s">
        <v>347</v>
      </c>
      <c r="C1170" s="8" t="s">
        <v>710</v>
      </c>
      <c r="D1170" s="8" t="s">
        <v>712</v>
      </c>
      <c r="E1170" s="25">
        <v>-110</v>
      </c>
      <c r="F1170" s="25">
        <v>-10</v>
      </c>
    </row>
    <row r="1171" spans="1:6" x14ac:dyDescent="0.25">
      <c r="A1171" s="8" t="s">
        <v>695</v>
      </c>
      <c r="B1171" s="8" t="s">
        <v>128</v>
      </c>
      <c r="C1171" s="8" t="s">
        <v>710</v>
      </c>
      <c r="D1171" s="8" t="s">
        <v>713</v>
      </c>
      <c r="E1171" s="25">
        <v>330</v>
      </c>
      <c r="F1171" s="25">
        <v>30</v>
      </c>
    </row>
    <row r="1172" spans="1:6" x14ac:dyDescent="0.25">
      <c r="A1172" s="8" t="s">
        <v>695</v>
      </c>
      <c r="B1172" s="8" t="s">
        <v>128</v>
      </c>
      <c r="C1172" s="8" t="s">
        <v>710</v>
      </c>
      <c r="D1172" s="8" t="s">
        <v>714</v>
      </c>
      <c r="E1172" s="25">
        <v>-330</v>
      </c>
      <c r="F1172" s="25">
        <v>-30</v>
      </c>
    </row>
    <row r="1173" spans="1:6" x14ac:dyDescent="0.25">
      <c r="A1173" s="8" t="s">
        <v>715</v>
      </c>
      <c r="B1173" s="8" t="s">
        <v>128</v>
      </c>
      <c r="C1173" s="8" t="s">
        <v>716</v>
      </c>
      <c r="D1173" s="8" t="s">
        <v>717</v>
      </c>
      <c r="E1173" s="25">
        <v>242</v>
      </c>
      <c r="F1173" s="25">
        <v>22</v>
      </c>
    </row>
    <row r="1174" spans="1:6" x14ac:dyDescent="0.25">
      <c r="A1174" s="8" t="s">
        <v>715</v>
      </c>
      <c r="B1174" s="8" t="s">
        <v>128</v>
      </c>
      <c r="C1174" s="8" t="s">
        <v>718</v>
      </c>
      <c r="D1174" s="8" t="s">
        <v>719</v>
      </c>
      <c r="E1174" s="25">
        <v>5280</v>
      </c>
      <c r="F1174" s="25">
        <v>480</v>
      </c>
    </row>
    <row r="1175" spans="1:6" x14ac:dyDescent="0.25">
      <c r="A1175" s="8" t="s">
        <v>715</v>
      </c>
      <c r="B1175" s="8" t="s">
        <v>128</v>
      </c>
      <c r="C1175" s="8" t="s">
        <v>720</v>
      </c>
      <c r="D1175" s="8" t="s">
        <v>721</v>
      </c>
      <c r="E1175" s="25">
        <v>427.9</v>
      </c>
      <c r="F1175" s="25">
        <v>38.9</v>
      </c>
    </row>
    <row r="1176" spans="1:6" x14ac:dyDescent="0.25">
      <c r="A1176" s="8" t="s">
        <v>715</v>
      </c>
      <c r="B1176" s="8" t="s">
        <v>137</v>
      </c>
      <c r="C1176" s="8" t="s">
        <v>720</v>
      </c>
      <c r="D1176" s="8" t="s">
        <v>293</v>
      </c>
      <c r="E1176" s="25">
        <v>10.7</v>
      </c>
      <c r="F1176" s="25">
        <v>0.97</v>
      </c>
    </row>
    <row r="1177" spans="1:6" x14ac:dyDescent="0.25">
      <c r="A1177" s="8" t="s">
        <v>715</v>
      </c>
      <c r="B1177" s="8" t="s">
        <v>128</v>
      </c>
      <c r="C1177" s="8" t="s">
        <v>611</v>
      </c>
      <c r="D1177" s="8" t="s">
        <v>722</v>
      </c>
      <c r="E1177" s="25">
        <v>825</v>
      </c>
      <c r="F1177" s="25">
        <v>75</v>
      </c>
    </row>
    <row r="1178" spans="1:6" x14ac:dyDescent="0.25">
      <c r="A1178" s="8" t="s">
        <v>715</v>
      </c>
      <c r="B1178" s="8" t="s">
        <v>128</v>
      </c>
      <c r="C1178" s="8" t="s">
        <v>611</v>
      </c>
      <c r="D1178" s="8" t="s">
        <v>723</v>
      </c>
      <c r="E1178" s="25">
        <v>1039.5</v>
      </c>
      <c r="F1178" s="25">
        <v>94.5</v>
      </c>
    </row>
    <row r="1179" spans="1:6" x14ac:dyDescent="0.25">
      <c r="A1179" s="8" t="s">
        <v>715</v>
      </c>
      <c r="B1179" s="8" t="s">
        <v>128</v>
      </c>
      <c r="C1179" s="8" t="s">
        <v>611</v>
      </c>
      <c r="D1179" s="8" t="s">
        <v>724</v>
      </c>
      <c r="E1179" s="25">
        <v>148.5</v>
      </c>
      <c r="F1179" s="25">
        <v>13.5</v>
      </c>
    </row>
    <row r="1180" spans="1:6" x14ac:dyDescent="0.25">
      <c r="A1180" s="8" t="s">
        <v>715</v>
      </c>
      <c r="B1180" s="8" t="s">
        <v>128</v>
      </c>
      <c r="C1180" s="8" t="s">
        <v>611</v>
      </c>
      <c r="D1180" s="8" t="s">
        <v>725</v>
      </c>
      <c r="E1180" s="25">
        <v>330</v>
      </c>
      <c r="F1180" s="25">
        <v>30</v>
      </c>
    </row>
    <row r="1181" spans="1:6" x14ac:dyDescent="0.25">
      <c r="A1181" s="8" t="s">
        <v>715</v>
      </c>
      <c r="B1181" s="8" t="s">
        <v>128</v>
      </c>
      <c r="C1181" s="8" t="s">
        <v>726</v>
      </c>
      <c r="D1181" s="8" t="s">
        <v>727</v>
      </c>
      <c r="E1181" s="25">
        <v>990</v>
      </c>
      <c r="F1181" s="25">
        <v>90</v>
      </c>
    </row>
    <row r="1182" spans="1:6" x14ac:dyDescent="0.25">
      <c r="A1182" s="8" t="s">
        <v>715</v>
      </c>
      <c r="B1182" s="8" t="s">
        <v>128</v>
      </c>
      <c r="C1182" s="8" t="s">
        <v>728</v>
      </c>
      <c r="D1182" s="8" t="s">
        <v>729</v>
      </c>
      <c r="E1182" s="25">
        <v>495</v>
      </c>
      <c r="F1182" s="25">
        <v>45</v>
      </c>
    </row>
    <row r="1183" spans="1:6" x14ac:dyDescent="0.25">
      <c r="A1183" s="8" t="s">
        <v>715</v>
      </c>
      <c r="B1183" s="8" t="s">
        <v>128</v>
      </c>
      <c r="C1183" s="8" t="s">
        <v>720</v>
      </c>
      <c r="D1183" s="8" t="s">
        <v>730</v>
      </c>
      <c r="E1183" s="25">
        <v>627</v>
      </c>
      <c r="F1183" s="25">
        <v>57</v>
      </c>
    </row>
    <row r="1184" spans="1:6" x14ac:dyDescent="0.25">
      <c r="A1184" s="8" t="s">
        <v>715</v>
      </c>
      <c r="B1184" s="8" t="s">
        <v>128</v>
      </c>
      <c r="C1184" s="8" t="s">
        <v>720</v>
      </c>
      <c r="D1184" s="8" t="s">
        <v>153</v>
      </c>
      <c r="E1184" s="25">
        <v>27.5</v>
      </c>
      <c r="F1184" s="25">
        <v>2.5</v>
      </c>
    </row>
    <row r="1185" spans="1:6" x14ac:dyDescent="0.25">
      <c r="A1185" s="8" t="s">
        <v>715</v>
      </c>
      <c r="B1185" s="8" t="s">
        <v>128</v>
      </c>
      <c r="C1185" s="8" t="s">
        <v>720</v>
      </c>
      <c r="D1185" s="8" t="s">
        <v>154</v>
      </c>
      <c r="E1185" s="25">
        <v>49.5</v>
      </c>
      <c r="F1185" s="25">
        <v>4.5</v>
      </c>
    </row>
    <row r="1186" spans="1:6" x14ac:dyDescent="0.25">
      <c r="A1186" s="8" t="s">
        <v>715</v>
      </c>
      <c r="B1186" s="8" t="s">
        <v>128</v>
      </c>
      <c r="C1186" s="8" t="s">
        <v>731</v>
      </c>
      <c r="D1186" s="8" t="s">
        <v>732</v>
      </c>
      <c r="E1186" s="25">
        <v>328.9</v>
      </c>
      <c r="F1186" s="25">
        <v>29.9</v>
      </c>
    </row>
    <row r="1187" spans="1:6" x14ac:dyDescent="0.25">
      <c r="A1187" s="8" t="s">
        <v>715</v>
      </c>
      <c r="B1187" s="8" t="s">
        <v>137</v>
      </c>
      <c r="C1187" s="8" t="s">
        <v>731</v>
      </c>
      <c r="D1187" s="8" t="s">
        <v>160</v>
      </c>
      <c r="E1187" s="25">
        <v>8.23</v>
      </c>
      <c r="F1187" s="25">
        <v>0.75</v>
      </c>
    </row>
    <row r="1188" spans="1:6" x14ac:dyDescent="0.25">
      <c r="A1188" s="8" t="s">
        <v>715</v>
      </c>
      <c r="B1188" s="8" t="s">
        <v>132</v>
      </c>
      <c r="C1188" s="8" t="s">
        <v>733</v>
      </c>
      <c r="D1188" s="8" t="s">
        <v>734</v>
      </c>
      <c r="E1188" s="25">
        <v>653.4</v>
      </c>
      <c r="F1188" s="25">
        <v>59.4</v>
      </c>
    </row>
    <row r="1189" spans="1:6" x14ac:dyDescent="0.25">
      <c r="A1189" s="8" t="s">
        <v>715</v>
      </c>
      <c r="B1189" s="8" t="s">
        <v>132</v>
      </c>
      <c r="C1189" s="8" t="s">
        <v>733</v>
      </c>
      <c r="D1189" s="8" t="s">
        <v>735</v>
      </c>
      <c r="E1189" s="25">
        <v>594</v>
      </c>
      <c r="F1189" s="25">
        <v>54</v>
      </c>
    </row>
    <row r="1190" spans="1:6" x14ac:dyDescent="0.25">
      <c r="A1190" s="8" t="s">
        <v>715</v>
      </c>
      <c r="B1190" s="8" t="s">
        <v>132</v>
      </c>
      <c r="C1190" s="8" t="s">
        <v>733</v>
      </c>
      <c r="D1190" s="8" t="s">
        <v>736</v>
      </c>
      <c r="E1190" s="25">
        <v>82.5</v>
      </c>
      <c r="F1190" s="25">
        <v>7.5</v>
      </c>
    </row>
    <row r="1191" spans="1:6" x14ac:dyDescent="0.25">
      <c r="A1191" s="8" t="s">
        <v>715</v>
      </c>
      <c r="B1191" s="8" t="s">
        <v>132</v>
      </c>
      <c r="C1191" s="8" t="s">
        <v>733</v>
      </c>
      <c r="D1191" s="8" t="s">
        <v>737</v>
      </c>
      <c r="E1191" s="25">
        <v>148.5</v>
      </c>
      <c r="F1191" s="25">
        <v>13.5</v>
      </c>
    </row>
    <row r="1192" spans="1:6" x14ac:dyDescent="0.25">
      <c r="A1192" s="8" t="s">
        <v>715</v>
      </c>
      <c r="B1192" s="8" t="s">
        <v>128</v>
      </c>
      <c r="C1192" s="8" t="s">
        <v>738</v>
      </c>
      <c r="D1192" s="8" t="s">
        <v>334</v>
      </c>
      <c r="E1192" s="25">
        <v>687.5</v>
      </c>
      <c r="F1192" s="25">
        <v>62.5</v>
      </c>
    </row>
    <row r="1193" spans="1:6" x14ac:dyDescent="0.25">
      <c r="A1193" s="8" t="s">
        <v>715</v>
      </c>
      <c r="B1193" s="8" t="s">
        <v>128</v>
      </c>
      <c r="C1193" s="8" t="s">
        <v>726</v>
      </c>
      <c r="D1193" s="8" t="s">
        <v>739</v>
      </c>
      <c r="E1193" s="25">
        <v>1877.7</v>
      </c>
      <c r="F1193" s="25">
        <v>170.7</v>
      </c>
    </row>
    <row r="1194" spans="1:6" x14ac:dyDescent="0.25">
      <c r="A1194" s="8" t="s">
        <v>715</v>
      </c>
      <c r="B1194" s="8" t="s">
        <v>128</v>
      </c>
      <c r="C1194" s="8" t="s">
        <v>726</v>
      </c>
      <c r="D1194" s="8" t="s">
        <v>740</v>
      </c>
      <c r="E1194" s="25">
        <v>330</v>
      </c>
      <c r="F1194" s="25">
        <v>30</v>
      </c>
    </row>
    <row r="1195" spans="1:6" x14ac:dyDescent="0.25">
      <c r="A1195" s="8" t="s">
        <v>715</v>
      </c>
      <c r="B1195" s="8" t="s">
        <v>128</v>
      </c>
      <c r="C1195" s="8" t="s">
        <v>611</v>
      </c>
      <c r="D1195" s="8" t="s">
        <v>741</v>
      </c>
      <c r="E1195" s="25">
        <v>1996.5</v>
      </c>
      <c r="F1195" s="25">
        <v>181.5</v>
      </c>
    </row>
    <row r="1196" spans="1:6" x14ac:dyDescent="0.25">
      <c r="A1196" s="8" t="s">
        <v>715</v>
      </c>
      <c r="B1196" s="8" t="s">
        <v>128</v>
      </c>
      <c r="C1196" s="8" t="s">
        <v>611</v>
      </c>
      <c r="D1196" s="8" t="s">
        <v>742</v>
      </c>
      <c r="E1196" s="25">
        <v>577.5</v>
      </c>
      <c r="F1196" s="25">
        <v>52.5</v>
      </c>
    </row>
    <row r="1197" spans="1:6" x14ac:dyDescent="0.25">
      <c r="A1197" s="8" t="s">
        <v>715</v>
      </c>
      <c r="B1197" s="8" t="s">
        <v>128</v>
      </c>
      <c r="C1197" s="8" t="s">
        <v>611</v>
      </c>
      <c r="D1197" s="8" t="s">
        <v>743</v>
      </c>
      <c r="E1197" s="25">
        <v>-161.69999999999999</v>
      </c>
      <c r="F1197" s="25">
        <v>-14.7</v>
      </c>
    </row>
    <row r="1198" spans="1:6" x14ac:dyDescent="0.25">
      <c r="A1198" s="8" t="s">
        <v>715</v>
      </c>
      <c r="B1198" s="8" t="s">
        <v>174</v>
      </c>
      <c r="C1198" s="8" t="s">
        <v>744</v>
      </c>
      <c r="D1198" s="8" t="s">
        <v>745</v>
      </c>
      <c r="E1198" s="25">
        <v>994.4</v>
      </c>
      <c r="F1198" s="25">
        <v>90.4</v>
      </c>
    </row>
    <row r="1199" spans="1:6" x14ac:dyDescent="0.25">
      <c r="A1199" s="8" t="s">
        <v>715</v>
      </c>
      <c r="B1199" s="8" t="s">
        <v>128</v>
      </c>
      <c r="C1199" s="8" t="s">
        <v>746</v>
      </c>
      <c r="D1199" s="8" t="s">
        <v>222</v>
      </c>
      <c r="E1199" s="25">
        <v>877.8</v>
      </c>
      <c r="F1199" s="25">
        <v>79.8</v>
      </c>
    </row>
    <row r="1200" spans="1:6" x14ac:dyDescent="0.25">
      <c r="A1200" s="8" t="s">
        <v>715</v>
      </c>
      <c r="B1200" s="8" t="s">
        <v>137</v>
      </c>
      <c r="C1200" s="8" t="s">
        <v>746</v>
      </c>
      <c r="D1200" s="8" t="s">
        <v>223</v>
      </c>
      <c r="E1200" s="25">
        <v>59.69</v>
      </c>
      <c r="F1200" s="25">
        <v>5.43</v>
      </c>
    </row>
    <row r="1201" spans="1:6" x14ac:dyDescent="0.25">
      <c r="A1201" s="8" t="s">
        <v>715</v>
      </c>
      <c r="B1201" s="8" t="s">
        <v>174</v>
      </c>
      <c r="C1201" s="8" t="s">
        <v>747</v>
      </c>
      <c r="D1201" s="8" t="s">
        <v>324</v>
      </c>
      <c r="E1201" s="25">
        <v>1654.4</v>
      </c>
      <c r="F1201" s="25">
        <v>150.4</v>
      </c>
    </row>
    <row r="1202" spans="1:6" x14ac:dyDescent="0.25">
      <c r="A1202" s="8" t="s">
        <v>715</v>
      </c>
      <c r="B1202" s="8" t="s">
        <v>174</v>
      </c>
      <c r="C1202" s="8" t="s">
        <v>747</v>
      </c>
      <c r="D1202" s="8" t="s">
        <v>325</v>
      </c>
      <c r="E1202" s="25">
        <v>220</v>
      </c>
      <c r="F1202" s="25">
        <v>20</v>
      </c>
    </row>
    <row r="1203" spans="1:6" x14ac:dyDescent="0.25">
      <c r="A1203" s="8" t="s">
        <v>715</v>
      </c>
      <c r="B1203" s="8" t="s">
        <v>137</v>
      </c>
      <c r="C1203" s="8" t="s">
        <v>747</v>
      </c>
      <c r="D1203" s="8" t="s">
        <v>326</v>
      </c>
      <c r="E1203" s="25">
        <v>46.86</v>
      </c>
      <c r="F1203" s="25">
        <v>4.26</v>
      </c>
    </row>
    <row r="1204" spans="1:6" x14ac:dyDescent="0.25">
      <c r="A1204" s="8" t="s">
        <v>715</v>
      </c>
      <c r="B1204" s="8" t="s">
        <v>128</v>
      </c>
      <c r="C1204" s="8" t="s">
        <v>720</v>
      </c>
      <c r="D1204" s="8" t="s">
        <v>294</v>
      </c>
      <c r="E1204" s="25">
        <v>220</v>
      </c>
      <c r="F1204" s="25">
        <v>20</v>
      </c>
    </row>
    <row r="1205" spans="1:6" x14ac:dyDescent="0.25">
      <c r="A1205" s="8" t="s">
        <v>715</v>
      </c>
      <c r="B1205" s="8" t="s">
        <v>137</v>
      </c>
      <c r="C1205" s="8" t="s">
        <v>720</v>
      </c>
      <c r="D1205" s="8" t="s">
        <v>295</v>
      </c>
      <c r="E1205" s="25">
        <v>5.5</v>
      </c>
      <c r="F1205" s="25">
        <v>0.5</v>
      </c>
    </row>
    <row r="1206" spans="1:6" x14ac:dyDescent="0.25">
      <c r="A1206" s="8" t="s">
        <v>715</v>
      </c>
      <c r="B1206" s="8" t="s">
        <v>174</v>
      </c>
      <c r="C1206" s="8" t="s">
        <v>502</v>
      </c>
      <c r="D1206" s="8" t="s">
        <v>748</v>
      </c>
      <c r="E1206" s="25">
        <v>477.4</v>
      </c>
      <c r="F1206" s="25">
        <v>43.4</v>
      </c>
    </row>
    <row r="1207" spans="1:6" x14ac:dyDescent="0.25">
      <c r="A1207" s="8" t="s">
        <v>715</v>
      </c>
      <c r="B1207" s="8" t="s">
        <v>174</v>
      </c>
      <c r="C1207" s="8" t="s">
        <v>502</v>
      </c>
      <c r="D1207" s="8" t="s">
        <v>306</v>
      </c>
      <c r="E1207" s="25">
        <v>49.5</v>
      </c>
      <c r="F1207" s="25">
        <v>4.5</v>
      </c>
    </row>
    <row r="1208" spans="1:6" x14ac:dyDescent="0.25">
      <c r="A1208" s="8" t="s">
        <v>715</v>
      </c>
      <c r="B1208" s="8" t="s">
        <v>174</v>
      </c>
      <c r="C1208" s="8" t="s">
        <v>502</v>
      </c>
      <c r="D1208" s="8" t="s">
        <v>307</v>
      </c>
      <c r="E1208" s="25">
        <v>679.8</v>
      </c>
      <c r="F1208" s="25">
        <v>61.8</v>
      </c>
    </row>
    <row r="1209" spans="1:6" x14ac:dyDescent="0.25">
      <c r="A1209" s="8" t="s">
        <v>715</v>
      </c>
      <c r="B1209" s="8" t="s">
        <v>174</v>
      </c>
      <c r="C1209" s="8" t="s">
        <v>502</v>
      </c>
      <c r="D1209" s="8" t="s">
        <v>308</v>
      </c>
      <c r="E1209" s="25">
        <v>-49.5</v>
      </c>
      <c r="F1209" s="25">
        <v>-4.5</v>
      </c>
    </row>
    <row r="1210" spans="1:6" x14ac:dyDescent="0.25">
      <c r="A1210" s="8" t="s">
        <v>715</v>
      </c>
      <c r="B1210" s="8" t="s">
        <v>132</v>
      </c>
      <c r="C1210" s="8" t="s">
        <v>749</v>
      </c>
      <c r="D1210" s="8" t="s">
        <v>750</v>
      </c>
      <c r="E1210" s="25">
        <v>103.95</v>
      </c>
      <c r="F1210" s="25">
        <v>9.4499999999999993</v>
      </c>
    </row>
    <row r="1211" spans="1:6" x14ac:dyDescent="0.25">
      <c r="A1211" s="8" t="s">
        <v>715</v>
      </c>
      <c r="B1211" s="8" t="s">
        <v>128</v>
      </c>
      <c r="C1211" s="8" t="s">
        <v>751</v>
      </c>
      <c r="D1211" s="8" t="s">
        <v>752</v>
      </c>
      <c r="E1211" s="25">
        <v>986.7</v>
      </c>
      <c r="F1211" s="25">
        <v>89.7</v>
      </c>
    </row>
    <row r="1212" spans="1:6" x14ac:dyDescent="0.25">
      <c r="A1212" s="8" t="s">
        <v>715</v>
      </c>
      <c r="B1212" s="8" t="s">
        <v>128</v>
      </c>
      <c r="C1212" s="8" t="s">
        <v>751</v>
      </c>
      <c r="D1212" s="8" t="s">
        <v>753</v>
      </c>
      <c r="E1212" s="25">
        <v>297</v>
      </c>
      <c r="F1212" s="25">
        <v>27</v>
      </c>
    </row>
    <row r="1213" spans="1:6" x14ac:dyDescent="0.25">
      <c r="A1213" s="8" t="s">
        <v>715</v>
      </c>
      <c r="B1213" s="8" t="s">
        <v>128</v>
      </c>
      <c r="C1213" s="8" t="s">
        <v>611</v>
      </c>
      <c r="D1213" s="8" t="s">
        <v>754</v>
      </c>
      <c r="E1213" s="25">
        <v>1729.2</v>
      </c>
      <c r="F1213" s="25">
        <v>157.19999999999999</v>
      </c>
    </row>
    <row r="1214" spans="1:6" x14ac:dyDescent="0.25">
      <c r="A1214" s="8" t="s">
        <v>715</v>
      </c>
      <c r="B1214" s="8" t="s">
        <v>128</v>
      </c>
      <c r="C1214" s="8" t="s">
        <v>611</v>
      </c>
      <c r="D1214" s="8" t="s">
        <v>755</v>
      </c>
      <c r="E1214" s="25">
        <v>297</v>
      </c>
      <c r="F1214" s="25">
        <v>27</v>
      </c>
    </row>
    <row r="1215" spans="1:6" x14ac:dyDescent="0.25">
      <c r="A1215" s="8" t="s">
        <v>715</v>
      </c>
      <c r="B1215" s="8" t="s">
        <v>128</v>
      </c>
      <c r="C1215" s="8" t="s">
        <v>756</v>
      </c>
      <c r="D1215" s="8" t="s">
        <v>757</v>
      </c>
      <c r="E1215" s="25">
        <v>3135</v>
      </c>
      <c r="F1215" s="25">
        <v>285</v>
      </c>
    </row>
    <row r="1216" spans="1:6" x14ac:dyDescent="0.25">
      <c r="A1216" s="8" t="s">
        <v>715</v>
      </c>
      <c r="B1216" s="8" t="s">
        <v>128</v>
      </c>
      <c r="C1216" s="8" t="s">
        <v>756</v>
      </c>
      <c r="D1216" s="8" t="s">
        <v>143</v>
      </c>
      <c r="E1216" s="25">
        <v>935</v>
      </c>
      <c r="F1216" s="25">
        <v>85</v>
      </c>
    </row>
    <row r="1217" spans="1:6" x14ac:dyDescent="0.25">
      <c r="A1217" s="8" t="s">
        <v>715</v>
      </c>
      <c r="B1217" s="8" t="s">
        <v>128</v>
      </c>
      <c r="C1217" s="8" t="s">
        <v>756</v>
      </c>
      <c r="D1217" s="8" t="s">
        <v>145</v>
      </c>
      <c r="E1217" s="25">
        <v>93.5</v>
      </c>
      <c r="F1217" s="25">
        <v>8.5</v>
      </c>
    </row>
    <row r="1218" spans="1:6" x14ac:dyDescent="0.25">
      <c r="A1218" s="8" t="s">
        <v>715</v>
      </c>
      <c r="B1218" s="8" t="s">
        <v>132</v>
      </c>
      <c r="C1218" s="8" t="s">
        <v>758</v>
      </c>
      <c r="D1218" s="8" t="s">
        <v>759</v>
      </c>
      <c r="E1218" s="25">
        <v>556.88</v>
      </c>
      <c r="F1218" s="25">
        <v>50.63</v>
      </c>
    </row>
    <row r="1219" spans="1:6" x14ac:dyDescent="0.25">
      <c r="A1219" s="8" t="s">
        <v>715</v>
      </c>
      <c r="B1219" s="8" t="s">
        <v>132</v>
      </c>
      <c r="C1219" s="8" t="s">
        <v>758</v>
      </c>
      <c r="D1219" s="8" t="s">
        <v>760</v>
      </c>
      <c r="E1219" s="25">
        <v>82.5</v>
      </c>
      <c r="F1219" s="25">
        <v>7.5</v>
      </c>
    </row>
    <row r="1220" spans="1:6" x14ac:dyDescent="0.25">
      <c r="A1220" s="8" t="s">
        <v>715</v>
      </c>
      <c r="B1220" s="8" t="s">
        <v>132</v>
      </c>
      <c r="C1220" s="8" t="s">
        <v>758</v>
      </c>
      <c r="D1220" s="8" t="s">
        <v>761</v>
      </c>
      <c r="E1220" s="25">
        <v>-63.93</v>
      </c>
      <c r="F1220" s="25">
        <v>-5.81</v>
      </c>
    </row>
    <row r="1221" spans="1:6" x14ac:dyDescent="0.25">
      <c r="A1221" s="8" t="s">
        <v>715</v>
      </c>
      <c r="B1221" s="8" t="s">
        <v>132</v>
      </c>
      <c r="C1221" s="8" t="s">
        <v>762</v>
      </c>
      <c r="D1221" s="8" t="s">
        <v>763</v>
      </c>
      <c r="E1221" s="25">
        <v>2910.6</v>
      </c>
      <c r="F1221" s="25">
        <v>264.60000000000002</v>
      </c>
    </row>
    <row r="1222" spans="1:6" x14ac:dyDescent="0.25">
      <c r="A1222" s="8" t="s">
        <v>715</v>
      </c>
      <c r="B1222" s="8" t="s">
        <v>132</v>
      </c>
      <c r="C1222" s="8" t="s">
        <v>762</v>
      </c>
      <c r="D1222" s="8" t="s">
        <v>764</v>
      </c>
      <c r="E1222" s="25">
        <v>330</v>
      </c>
      <c r="F1222" s="25">
        <v>30</v>
      </c>
    </row>
    <row r="1223" spans="1:6" x14ac:dyDescent="0.25">
      <c r="A1223" s="8" t="s">
        <v>715</v>
      </c>
      <c r="B1223" s="8" t="s">
        <v>128</v>
      </c>
      <c r="C1223" s="8" t="s">
        <v>765</v>
      </c>
      <c r="D1223" s="8" t="s">
        <v>766</v>
      </c>
      <c r="E1223" s="25">
        <v>3564</v>
      </c>
      <c r="F1223" s="25">
        <v>324</v>
      </c>
    </row>
    <row r="1224" spans="1:6" x14ac:dyDescent="0.25">
      <c r="A1224" s="8" t="s">
        <v>715</v>
      </c>
      <c r="B1224" s="8" t="s">
        <v>132</v>
      </c>
      <c r="C1224" s="8" t="s">
        <v>767</v>
      </c>
      <c r="D1224" s="8" t="s">
        <v>768</v>
      </c>
      <c r="E1224" s="25">
        <v>247.5</v>
      </c>
      <c r="F1224" s="25">
        <v>22.5</v>
      </c>
    </row>
    <row r="1225" spans="1:6" x14ac:dyDescent="0.25">
      <c r="A1225" s="8" t="s">
        <v>715</v>
      </c>
      <c r="B1225" s="8" t="s">
        <v>137</v>
      </c>
      <c r="C1225" s="8" t="s">
        <v>767</v>
      </c>
      <c r="D1225" s="8" t="s">
        <v>258</v>
      </c>
      <c r="E1225" s="25">
        <v>16.829999999999998</v>
      </c>
      <c r="F1225" s="25">
        <v>1.53</v>
      </c>
    </row>
    <row r="1226" spans="1:6" x14ac:dyDescent="0.25">
      <c r="A1226" s="8" t="s">
        <v>715</v>
      </c>
      <c r="B1226" s="8" t="s">
        <v>132</v>
      </c>
      <c r="C1226" s="8" t="s">
        <v>769</v>
      </c>
      <c r="D1226" s="8" t="s">
        <v>330</v>
      </c>
      <c r="E1226" s="25">
        <v>387.2</v>
      </c>
      <c r="F1226" s="25">
        <v>35.200000000000003</v>
      </c>
    </row>
    <row r="1227" spans="1:6" x14ac:dyDescent="0.25">
      <c r="A1227" s="8" t="s">
        <v>715</v>
      </c>
      <c r="B1227" s="8" t="s">
        <v>132</v>
      </c>
      <c r="C1227" s="8" t="s">
        <v>769</v>
      </c>
      <c r="D1227" s="8" t="s">
        <v>331</v>
      </c>
      <c r="E1227" s="25">
        <v>27.5</v>
      </c>
      <c r="F1227" s="25">
        <v>2.5</v>
      </c>
    </row>
    <row r="1228" spans="1:6" x14ac:dyDescent="0.25">
      <c r="A1228" s="8" t="s">
        <v>715</v>
      </c>
      <c r="B1228" s="8" t="s">
        <v>132</v>
      </c>
      <c r="C1228" s="8" t="s">
        <v>769</v>
      </c>
      <c r="D1228" s="8" t="s">
        <v>430</v>
      </c>
      <c r="E1228" s="25">
        <v>27.5</v>
      </c>
      <c r="F1228" s="25">
        <v>2.5</v>
      </c>
    </row>
    <row r="1229" spans="1:6" x14ac:dyDescent="0.25">
      <c r="A1229" s="8" t="s">
        <v>715</v>
      </c>
      <c r="B1229" s="8" t="s">
        <v>132</v>
      </c>
      <c r="C1229" s="8" t="s">
        <v>770</v>
      </c>
      <c r="D1229" s="8" t="s">
        <v>134</v>
      </c>
      <c r="E1229" s="25">
        <v>49.5</v>
      </c>
      <c r="F1229" s="25">
        <v>4.5</v>
      </c>
    </row>
    <row r="1230" spans="1:6" x14ac:dyDescent="0.25">
      <c r="A1230" s="8" t="s">
        <v>715</v>
      </c>
      <c r="B1230" s="8" t="s">
        <v>132</v>
      </c>
      <c r="C1230" s="8" t="s">
        <v>770</v>
      </c>
      <c r="D1230" s="8" t="s">
        <v>136</v>
      </c>
      <c r="E1230" s="25">
        <v>27.5</v>
      </c>
      <c r="F1230" s="25">
        <v>2.5</v>
      </c>
    </row>
    <row r="1231" spans="1:6" x14ac:dyDescent="0.25">
      <c r="A1231" s="8" t="s">
        <v>715</v>
      </c>
      <c r="B1231" s="8" t="s">
        <v>137</v>
      </c>
      <c r="C1231" s="8" t="s">
        <v>770</v>
      </c>
      <c r="D1231" s="8" t="s">
        <v>138</v>
      </c>
      <c r="E1231" s="25">
        <v>1.93</v>
      </c>
      <c r="F1231" s="25">
        <v>0.18</v>
      </c>
    </row>
    <row r="1232" spans="1:6" x14ac:dyDescent="0.25">
      <c r="A1232" s="8" t="s">
        <v>715</v>
      </c>
      <c r="B1232" s="8" t="s">
        <v>132</v>
      </c>
      <c r="C1232" s="8" t="s">
        <v>771</v>
      </c>
      <c r="D1232" s="8" t="s">
        <v>772</v>
      </c>
      <c r="E1232" s="25">
        <v>357.49</v>
      </c>
      <c r="F1232" s="25">
        <v>32.5</v>
      </c>
    </row>
    <row r="1233" spans="1:6" x14ac:dyDescent="0.25">
      <c r="A1233" s="8" t="s">
        <v>715</v>
      </c>
      <c r="B1233" s="8" t="s">
        <v>132</v>
      </c>
      <c r="C1233" s="8" t="s">
        <v>771</v>
      </c>
      <c r="D1233" s="8" t="s">
        <v>773</v>
      </c>
      <c r="E1233" s="25">
        <v>82.5</v>
      </c>
      <c r="F1233" s="25">
        <v>7.5</v>
      </c>
    </row>
    <row r="1234" spans="1:6" x14ac:dyDescent="0.25">
      <c r="A1234" s="8" t="s">
        <v>715</v>
      </c>
      <c r="B1234" s="8" t="s">
        <v>132</v>
      </c>
      <c r="C1234" s="8" t="s">
        <v>774</v>
      </c>
      <c r="D1234" s="8" t="s">
        <v>181</v>
      </c>
      <c r="E1234" s="25">
        <v>148.5</v>
      </c>
      <c r="F1234" s="25">
        <v>13.5</v>
      </c>
    </row>
    <row r="1235" spans="1:6" x14ac:dyDescent="0.25">
      <c r="A1235" s="8" t="s">
        <v>715</v>
      </c>
      <c r="B1235" s="8" t="s">
        <v>137</v>
      </c>
      <c r="C1235" s="8" t="s">
        <v>774</v>
      </c>
      <c r="D1235" s="8" t="s">
        <v>182</v>
      </c>
      <c r="E1235" s="25">
        <v>4.95</v>
      </c>
      <c r="F1235" s="25">
        <v>0.45</v>
      </c>
    </row>
    <row r="1236" spans="1:6" x14ac:dyDescent="0.25">
      <c r="A1236" s="8" t="s">
        <v>715</v>
      </c>
      <c r="B1236" s="8" t="s">
        <v>128</v>
      </c>
      <c r="C1236" s="8" t="s">
        <v>775</v>
      </c>
      <c r="D1236" s="8" t="s">
        <v>776</v>
      </c>
      <c r="E1236" s="25">
        <v>436.7</v>
      </c>
      <c r="F1236" s="25">
        <v>39.700000000000003</v>
      </c>
    </row>
    <row r="1237" spans="1:6" x14ac:dyDescent="0.25">
      <c r="A1237" s="8" t="s">
        <v>715</v>
      </c>
      <c r="B1237" s="8" t="s">
        <v>137</v>
      </c>
      <c r="C1237" s="8" t="s">
        <v>775</v>
      </c>
      <c r="D1237" s="8" t="s">
        <v>220</v>
      </c>
      <c r="E1237" s="25">
        <v>10.92</v>
      </c>
      <c r="F1237" s="25">
        <v>0.99</v>
      </c>
    </row>
    <row r="1238" spans="1:6" x14ac:dyDescent="0.25">
      <c r="A1238" s="8" t="s">
        <v>715</v>
      </c>
      <c r="B1238" s="8" t="s">
        <v>128</v>
      </c>
      <c r="C1238" s="8" t="s">
        <v>777</v>
      </c>
      <c r="D1238" s="8" t="s">
        <v>162</v>
      </c>
      <c r="E1238" s="25">
        <v>218.9</v>
      </c>
      <c r="F1238" s="25">
        <v>19.899999999999999</v>
      </c>
    </row>
    <row r="1239" spans="1:6" x14ac:dyDescent="0.25">
      <c r="A1239" s="8" t="s">
        <v>715</v>
      </c>
      <c r="B1239" s="8" t="s">
        <v>128</v>
      </c>
      <c r="C1239" s="8" t="s">
        <v>778</v>
      </c>
      <c r="D1239" s="8" t="s">
        <v>779</v>
      </c>
      <c r="E1239" s="25">
        <v>253</v>
      </c>
      <c r="F1239" s="25">
        <v>23</v>
      </c>
    </row>
    <row r="1240" spans="1:6" x14ac:dyDescent="0.25">
      <c r="A1240" s="8" t="s">
        <v>715</v>
      </c>
      <c r="B1240" s="8" t="s">
        <v>128</v>
      </c>
      <c r="C1240" s="8" t="s">
        <v>611</v>
      </c>
      <c r="D1240" s="8" t="s">
        <v>780</v>
      </c>
      <c r="E1240" s="25">
        <v>1710.79</v>
      </c>
      <c r="F1240" s="25">
        <v>155.53</v>
      </c>
    </row>
    <row r="1241" spans="1:6" x14ac:dyDescent="0.25">
      <c r="A1241" s="8" t="s">
        <v>715</v>
      </c>
      <c r="B1241" s="8" t="s">
        <v>128</v>
      </c>
      <c r="C1241" s="8" t="s">
        <v>611</v>
      </c>
      <c r="D1241" s="8" t="s">
        <v>781</v>
      </c>
      <c r="E1241" s="25">
        <v>462</v>
      </c>
      <c r="F1241" s="25">
        <v>42</v>
      </c>
    </row>
    <row r="1242" spans="1:6" x14ac:dyDescent="0.25">
      <c r="A1242" s="8" t="s">
        <v>715</v>
      </c>
      <c r="B1242" s="8" t="s">
        <v>128</v>
      </c>
      <c r="C1242" s="8" t="s">
        <v>611</v>
      </c>
      <c r="D1242" s="8" t="s">
        <v>782</v>
      </c>
      <c r="E1242" s="25">
        <v>-594</v>
      </c>
      <c r="F1242" s="25">
        <v>-54</v>
      </c>
    </row>
    <row r="1243" spans="1:6" x14ac:dyDescent="0.25">
      <c r="A1243" s="8" t="s">
        <v>715</v>
      </c>
      <c r="B1243" s="8" t="s">
        <v>132</v>
      </c>
      <c r="C1243" s="8" t="s">
        <v>783</v>
      </c>
      <c r="D1243" s="8" t="s">
        <v>784</v>
      </c>
      <c r="E1243" s="25">
        <v>2376</v>
      </c>
      <c r="F1243" s="25">
        <v>216</v>
      </c>
    </row>
    <row r="1244" spans="1:6" x14ac:dyDescent="0.25">
      <c r="A1244" s="8" t="s">
        <v>715</v>
      </c>
      <c r="B1244" s="8" t="s">
        <v>174</v>
      </c>
      <c r="C1244" s="8" t="s">
        <v>785</v>
      </c>
      <c r="D1244" s="8" t="s">
        <v>786</v>
      </c>
      <c r="E1244" s="25">
        <v>220</v>
      </c>
      <c r="F1244" s="25">
        <v>20</v>
      </c>
    </row>
    <row r="1245" spans="1:6" x14ac:dyDescent="0.25">
      <c r="A1245" s="8" t="s">
        <v>715</v>
      </c>
      <c r="B1245" s="8" t="s">
        <v>128</v>
      </c>
      <c r="C1245" s="8" t="s">
        <v>726</v>
      </c>
      <c r="D1245" s="8" t="s">
        <v>787</v>
      </c>
      <c r="E1245" s="25">
        <v>544.5</v>
      </c>
      <c r="F1245" s="25">
        <v>49.5</v>
      </c>
    </row>
    <row r="1246" spans="1:6" x14ac:dyDescent="0.25">
      <c r="A1246" s="8" t="s">
        <v>715</v>
      </c>
      <c r="B1246" s="8" t="s">
        <v>128</v>
      </c>
      <c r="C1246" s="8" t="s">
        <v>726</v>
      </c>
      <c r="D1246" s="8" t="s">
        <v>788</v>
      </c>
      <c r="E1246" s="25">
        <v>990</v>
      </c>
      <c r="F1246" s="25">
        <v>90</v>
      </c>
    </row>
    <row r="1247" spans="1:6" x14ac:dyDescent="0.25">
      <c r="A1247" s="8" t="s">
        <v>715</v>
      </c>
      <c r="B1247" s="8" t="s">
        <v>128</v>
      </c>
      <c r="C1247" s="8" t="s">
        <v>726</v>
      </c>
      <c r="D1247" s="8" t="s">
        <v>789</v>
      </c>
      <c r="E1247" s="25">
        <v>330</v>
      </c>
      <c r="F1247" s="25">
        <v>30</v>
      </c>
    </row>
    <row r="1248" spans="1:6" x14ac:dyDescent="0.25">
      <c r="A1248" s="8" t="s">
        <v>715</v>
      </c>
      <c r="B1248" s="8" t="s">
        <v>128</v>
      </c>
      <c r="C1248" s="8" t="s">
        <v>726</v>
      </c>
      <c r="D1248" s="8" t="s">
        <v>790</v>
      </c>
      <c r="E1248" s="25">
        <v>891</v>
      </c>
      <c r="F1248" s="25">
        <v>81</v>
      </c>
    </row>
    <row r="1249" spans="1:6" x14ac:dyDescent="0.25">
      <c r="A1249" s="8" t="s">
        <v>715</v>
      </c>
      <c r="B1249" s="8" t="s">
        <v>128</v>
      </c>
      <c r="C1249" s="8" t="s">
        <v>726</v>
      </c>
      <c r="D1249" s="8" t="s">
        <v>164</v>
      </c>
      <c r="E1249" s="25">
        <v>2310</v>
      </c>
      <c r="F1249" s="25">
        <v>210</v>
      </c>
    </row>
    <row r="1250" spans="1:6" x14ac:dyDescent="0.25">
      <c r="A1250" s="8" t="s">
        <v>715</v>
      </c>
      <c r="B1250" s="8" t="s">
        <v>128</v>
      </c>
      <c r="C1250" s="8" t="s">
        <v>726</v>
      </c>
      <c r="D1250" s="8" t="s">
        <v>165</v>
      </c>
      <c r="E1250" s="25">
        <v>82.5</v>
      </c>
      <c r="F1250" s="25">
        <v>7.5</v>
      </c>
    </row>
    <row r="1251" spans="1:6" x14ac:dyDescent="0.25">
      <c r="A1251" s="8" t="s">
        <v>715</v>
      </c>
      <c r="B1251" s="8" t="s">
        <v>128</v>
      </c>
      <c r="C1251" s="8" t="s">
        <v>791</v>
      </c>
      <c r="D1251" s="8" t="s">
        <v>792</v>
      </c>
      <c r="E1251" s="25">
        <v>363</v>
      </c>
      <c r="F1251" s="25">
        <v>33</v>
      </c>
    </row>
    <row r="1252" spans="1:6" x14ac:dyDescent="0.25">
      <c r="A1252" s="8" t="s">
        <v>715</v>
      </c>
      <c r="B1252" s="8" t="s">
        <v>128</v>
      </c>
      <c r="C1252" s="8" t="s">
        <v>793</v>
      </c>
      <c r="D1252" s="8" t="s">
        <v>794</v>
      </c>
      <c r="E1252" s="25">
        <v>1593.9</v>
      </c>
      <c r="F1252" s="25">
        <v>144.9</v>
      </c>
    </row>
    <row r="1253" spans="1:6" x14ac:dyDescent="0.25">
      <c r="A1253" s="8" t="s">
        <v>715</v>
      </c>
      <c r="B1253" s="8" t="s">
        <v>128</v>
      </c>
      <c r="C1253" s="8" t="s">
        <v>793</v>
      </c>
      <c r="D1253" s="8" t="s">
        <v>795</v>
      </c>
      <c r="E1253" s="25">
        <v>660</v>
      </c>
      <c r="F1253" s="25">
        <v>60</v>
      </c>
    </row>
    <row r="1254" spans="1:6" x14ac:dyDescent="0.25">
      <c r="A1254" s="8" t="s">
        <v>715</v>
      </c>
      <c r="B1254" s="8" t="s">
        <v>128</v>
      </c>
      <c r="C1254" s="8" t="s">
        <v>793</v>
      </c>
      <c r="D1254" s="8" t="s">
        <v>796</v>
      </c>
      <c r="E1254" s="25">
        <v>330</v>
      </c>
      <c r="F1254" s="25">
        <v>30</v>
      </c>
    </row>
    <row r="1255" spans="1:6" x14ac:dyDescent="0.25">
      <c r="A1255" s="8" t="s">
        <v>715</v>
      </c>
      <c r="B1255" s="8" t="s">
        <v>128</v>
      </c>
      <c r="C1255" s="8" t="s">
        <v>793</v>
      </c>
      <c r="D1255" s="8" t="s">
        <v>797</v>
      </c>
      <c r="E1255" s="25">
        <v>330</v>
      </c>
      <c r="F1255" s="25">
        <v>30</v>
      </c>
    </row>
    <row r="1256" spans="1:6" x14ac:dyDescent="0.25">
      <c r="A1256" s="8" t="s">
        <v>715</v>
      </c>
      <c r="B1256" s="8" t="s">
        <v>128</v>
      </c>
      <c r="C1256" s="8" t="s">
        <v>793</v>
      </c>
      <c r="D1256" s="8" t="s">
        <v>798</v>
      </c>
      <c r="E1256" s="25">
        <v>148.5</v>
      </c>
      <c r="F1256" s="25">
        <v>13.5</v>
      </c>
    </row>
    <row r="1257" spans="1:6" x14ac:dyDescent="0.25">
      <c r="A1257" s="8" t="s">
        <v>715</v>
      </c>
      <c r="B1257" s="8" t="s">
        <v>128</v>
      </c>
      <c r="C1257" s="8" t="s">
        <v>799</v>
      </c>
      <c r="D1257" s="8" t="s">
        <v>800</v>
      </c>
      <c r="E1257" s="25">
        <v>1580.7</v>
      </c>
      <c r="F1257" s="25">
        <v>143.69999999999999</v>
      </c>
    </row>
    <row r="1258" spans="1:6" x14ac:dyDescent="0.25">
      <c r="A1258" s="8" t="s">
        <v>715</v>
      </c>
      <c r="B1258" s="8" t="s">
        <v>128</v>
      </c>
      <c r="C1258" s="8" t="s">
        <v>799</v>
      </c>
      <c r="D1258" s="8" t="s">
        <v>801</v>
      </c>
      <c r="E1258" s="25">
        <v>330</v>
      </c>
      <c r="F1258" s="25">
        <v>30</v>
      </c>
    </row>
    <row r="1259" spans="1:6" x14ac:dyDescent="0.25">
      <c r="A1259" s="8" t="s">
        <v>715</v>
      </c>
      <c r="B1259" s="8" t="s">
        <v>128</v>
      </c>
      <c r="C1259" s="8" t="s">
        <v>611</v>
      </c>
      <c r="D1259" s="8" t="s">
        <v>802</v>
      </c>
      <c r="E1259" s="25">
        <v>2640</v>
      </c>
      <c r="F1259" s="25">
        <v>240</v>
      </c>
    </row>
    <row r="1260" spans="1:6" x14ac:dyDescent="0.25">
      <c r="A1260" s="8" t="s">
        <v>715</v>
      </c>
      <c r="B1260" s="8" t="s">
        <v>128</v>
      </c>
      <c r="C1260" s="8" t="s">
        <v>611</v>
      </c>
      <c r="D1260" s="8" t="s">
        <v>803</v>
      </c>
      <c r="E1260" s="25">
        <v>330</v>
      </c>
      <c r="F1260" s="25">
        <v>30</v>
      </c>
    </row>
    <row r="1261" spans="1:6" x14ac:dyDescent="0.25">
      <c r="A1261" s="8" t="s">
        <v>715</v>
      </c>
      <c r="B1261" s="8" t="s">
        <v>128</v>
      </c>
      <c r="C1261" s="8" t="s">
        <v>611</v>
      </c>
      <c r="D1261" s="8" t="s">
        <v>804</v>
      </c>
      <c r="E1261" s="25">
        <v>297</v>
      </c>
      <c r="F1261" s="25">
        <v>27</v>
      </c>
    </row>
    <row r="1262" spans="1:6" x14ac:dyDescent="0.25">
      <c r="A1262" s="8" t="s">
        <v>715</v>
      </c>
      <c r="B1262" s="8" t="s">
        <v>128</v>
      </c>
      <c r="C1262" s="8" t="s">
        <v>611</v>
      </c>
      <c r="D1262" s="8" t="s">
        <v>805</v>
      </c>
      <c r="E1262" s="25">
        <v>297</v>
      </c>
      <c r="F1262" s="25">
        <v>27</v>
      </c>
    </row>
    <row r="1263" spans="1:6" x14ac:dyDescent="0.25">
      <c r="A1263" s="8" t="s">
        <v>715</v>
      </c>
      <c r="B1263" s="8" t="s">
        <v>128</v>
      </c>
      <c r="C1263" s="8" t="s">
        <v>611</v>
      </c>
      <c r="D1263" s="8" t="s">
        <v>806</v>
      </c>
      <c r="E1263" s="25">
        <v>-445.5</v>
      </c>
      <c r="F1263" s="25">
        <v>-40.5</v>
      </c>
    </row>
    <row r="1264" spans="1:6" x14ac:dyDescent="0.25">
      <c r="A1264" s="8" t="s">
        <v>715</v>
      </c>
      <c r="B1264" s="8" t="s">
        <v>128</v>
      </c>
      <c r="C1264" s="8" t="s">
        <v>611</v>
      </c>
      <c r="D1264" s="8" t="s">
        <v>807</v>
      </c>
      <c r="E1264" s="25">
        <v>-148.5</v>
      </c>
      <c r="F1264" s="25">
        <v>-13.5</v>
      </c>
    </row>
    <row r="1265" spans="1:6" x14ac:dyDescent="0.25">
      <c r="A1265" s="8" t="s">
        <v>715</v>
      </c>
      <c r="B1265" s="8" t="s">
        <v>128</v>
      </c>
      <c r="C1265" s="8" t="s">
        <v>611</v>
      </c>
      <c r="D1265" s="8" t="s">
        <v>808</v>
      </c>
      <c r="E1265" s="25">
        <v>330</v>
      </c>
      <c r="F1265" s="25">
        <v>30</v>
      </c>
    </row>
    <row r="1266" spans="1:6" x14ac:dyDescent="0.25">
      <c r="A1266" s="8" t="s">
        <v>715</v>
      </c>
      <c r="B1266" s="8" t="s">
        <v>128</v>
      </c>
      <c r="C1266" s="8" t="s">
        <v>809</v>
      </c>
      <c r="D1266" s="8" t="s">
        <v>810</v>
      </c>
      <c r="E1266" s="25">
        <v>3791.7</v>
      </c>
      <c r="F1266" s="25">
        <v>344.7</v>
      </c>
    </row>
    <row r="1267" spans="1:6" x14ac:dyDescent="0.25">
      <c r="A1267" s="8" t="s">
        <v>715</v>
      </c>
      <c r="B1267" s="8" t="s">
        <v>128</v>
      </c>
      <c r="C1267" s="8" t="s">
        <v>809</v>
      </c>
      <c r="D1267" s="8" t="s">
        <v>811</v>
      </c>
      <c r="E1267" s="25">
        <v>82.5</v>
      </c>
      <c r="F1267" s="25">
        <v>7.5</v>
      </c>
    </row>
    <row r="1268" spans="1:6" x14ac:dyDescent="0.25">
      <c r="A1268" s="8" t="s">
        <v>715</v>
      </c>
      <c r="B1268" s="8" t="s">
        <v>128</v>
      </c>
      <c r="C1268" s="8" t="s">
        <v>809</v>
      </c>
      <c r="D1268" s="8" t="s">
        <v>812</v>
      </c>
      <c r="E1268" s="25">
        <v>297</v>
      </c>
      <c r="F1268" s="25">
        <v>27</v>
      </c>
    </row>
    <row r="1269" spans="1:6" x14ac:dyDescent="0.25">
      <c r="A1269" s="8" t="s">
        <v>715</v>
      </c>
      <c r="B1269" s="8" t="s">
        <v>128</v>
      </c>
      <c r="C1269" s="8" t="s">
        <v>756</v>
      </c>
      <c r="D1269" s="8" t="s">
        <v>813</v>
      </c>
      <c r="E1269" s="25">
        <v>165</v>
      </c>
      <c r="F1269" s="25">
        <v>15</v>
      </c>
    </row>
    <row r="1270" spans="1:6" x14ac:dyDescent="0.25">
      <c r="A1270" s="8" t="s">
        <v>715</v>
      </c>
      <c r="B1270" s="8" t="s">
        <v>128</v>
      </c>
      <c r="C1270" s="8" t="s">
        <v>756</v>
      </c>
      <c r="D1270" s="8" t="s">
        <v>243</v>
      </c>
      <c r="E1270" s="25">
        <v>16.5</v>
      </c>
      <c r="F1270" s="25">
        <v>1.5</v>
      </c>
    </row>
    <row r="1271" spans="1:6" x14ac:dyDescent="0.25">
      <c r="A1271" s="8" t="s">
        <v>715</v>
      </c>
      <c r="B1271" s="8" t="s">
        <v>128</v>
      </c>
      <c r="C1271" s="8" t="s">
        <v>756</v>
      </c>
      <c r="D1271" s="8" t="s">
        <v>490</v>
      </c>
      <c r="E1271" s="25">
        <v>734.8</v>
      </c>
      <c r="F1271" s="25">
        <v>66.8</v>
      </c>
    </row>
    <row r="1272" spans="1:6" x14ac:dyDescent="0.25">
      <c r="A1272" s="8" t="s">
        <v>715</v>
      </c>
      <c r="B1272" s="8" t="s">
        <v>128</v>
      </c>
      <c r="C1272" s="8" t="s">
        <v>756</v>
      </c>
      <c r="D1272" s="8" t="s">
        <v>814</v>
      </c>
      <c r="E1272" s="25">
        <v>396</v>
      </c>
      <c r="F1272" s="25">
        <v>36</v>
      </c>
    </row>
    <row r="1273" spans="1:6" x14ac:dyDescent="0.25">
      <c r="A1273" s="8" t="s">
        <v>715</v>
      </c>
      <c r="B1273" s="8" t="s">
        <v>128</v>
      </c>
      <c r="C1273" s="8" t="s">
        <v>756</v>
      </c>
      <c r="D1273" s="8" t="s">
        <v>253</v>
      </c>
      <c r="E1273" s="25">
        <v>247.5</v>
      </c>
      <c r="F1273" s="25">
        <v>22.5</v>
      </c>
    </row>
    <row r="1274" spans="1:6" x14ac:dyDescent="0.25">
      <c r="A1274" s="8" t="s">
        <v>715</v>
      </c>
      <c r="B1274" s="8" t="s">
        <v>128</v>
      </c>
      <c r="C1274" s="8" t="s">
        <v>756</v>
      </c>
      <c r="D1274" s="8" t="s">
        <v>254</v>
      </c>
      <c r="E1274" s="25">
        <v>220</v>
      </c>
      <c r="F1274" s="25">
        <v>20</v>
      </c>
    </row>
    <row r="1275" spans="1:6" x14ac:dyDescent="0.25">
      <c r="A1275" s="8" t="s">
        <v>715</v>
      </c>
      <c r="B1275" s="8" t="s">
        <v>128</v>
      </c>
      <c r="C1275" s="8" t="s">
        <v>756</v>
      </c>
      <c r="D1275" s="8" t="s">
        <v>815</v>
      </c>
      <c r="E1275" s="25">
        <v>99</v>
      </c>
      <c r="F1275" s="25">
        <v>9</v>
      </c>
    </row>
    <row r="1276" spans="1:6" x14ac:dyDescent="0.25">
      <c r="A1276" s="8" t="s">
        <v>715</v>
      </c>
      <c r="B1276" s="8" t="s">
        <v>132</v>
      </c>
      <c r="C1276" s="8" t="s">
        <v>816</v>
      </c>
      <c r="D1276" s="8" t="s">
        <v>148</v>
      </c>
      <c r="E1276" s="25">
        <v>297</v>
      </c>
      <c r="F1276" s="25">
        <v>27</v>
      </c>
    </row>
    <row r="1277" spans="1:6" x14ac:dyDescent="0.25">
      <c r="A1277" s="8" t="s">
        <v>715</v>
      </c>
      <c r="B1277" s="8" t="s">
        <v>132</v>
      </c>
      <c r="C1277" s="8" t="s">
        <v>816</v>
      </c>
      <c r="D1277" s="8" t="s">
        <v>149</v>
      </c>
      <c r="E1277" s="25">
        <v>49.5</v>
      </c>
      <c r="F1277" s="25">
        <v>4.5</v>
      </c>
    </row>
    <row r="1278" spans="1:6" x14ac:dyDescent="0.25">
      <c r="A1278" s="8" t="s">
        <v>715</v>
      </c>
      <c r="B1278" s="8" t="s">
        <v>132</v>
      </c>
      <c r="C1278" s="8" t="s">
        <v>816</v>
      </c>
      <c r="D1278" s="8" t="s">
        <v>150</v>
      </c>
      <c r="E1278" s="25">
        <v>304.92</v>
      </c>
      <c r="F1278" s="25">
        <v>27.72</v>
      </c>
    </row>
    <row r="1279" spans="1:6" x14ac:dyDescent="0.25">
      <c r="A1279" s="8" t="s">
        <v>715</v>
      </c>
      <c r="B1279" s="8" t="s">
        <v>132</v>
      </c>
      <c r="C1279" s="8" t="s">
        <v>816</v>
      </c>
      <c r="D1279" s="8" t="s">
        <v>155</v>
      </c>
      <c r="E1279" s="25">
        <v>27.5</v>
      </c>
      <c r="F1279" s="25">
        <v>2.5</v>
      </c>
    </row>
    <row r="1280" spans="1:6" x14ac:dyDescent="0.25">
      <c r="A1280" s="8" t="s">
        <v>715</v>
      </c>
      <c r="B1280" s="8" t="s">
        <v>132</v>
      </c>
      <c r="C1280" s="8" t="s">
        <v>816</v>
      </c>
      <c r="D1280" s="8" t="s">
        <v>156</v>
      </c>
      <c r="E1280" s="25">
        <v>27.5</v>
      </c>
      <c r="F1280" s="25">
        <v>2.5</v>
      </c>
    </row>
    <row r="1281" spans="1:6" x14ac:dyDescent="0.25">
      <c r="A1281" s="8" t="s">
        <v>715</v>
      </c>
      <c r="B1281" s="8" t="s">
        <v>132</v>
      </c>
      <c r="C1281" s="8" t="s">
        <v>816</v>
      </c>
      <c r="D1281" s="8" t="s">
        <v>157</v>
      </c>
      <c r="E1281" s="25">
        <v>49.5</v>
      </c>
      <c r="F1281" s="25">
        <v>4.5</v>
      </c>
    </row>
    <row r="1282" spans="1:6" x14ac:dyDescent="0.25">
      <c r="A1282" s="8" t="s">
        <v>715</v>
      </c>
      <c r="B1282" s="8" t="s">
        <v>137</v>
      </c>
      <c r="C1282" s="8" t="s">
        <v>816</v>
      </c>
      <c r="D1282" s="8" t="s">
        <v>158</v>
      </c>
      <c r="E1282" s="25">
        <v>18.899999999999999</v>
      </c>
      <c r="F1282" s="25">
        <v>1.72</v>
      </c>
    </row>
    <row r="1283" spans="1:6" x14ac:dyDescent="0.25">
      <c r="A1283" s="8" t="s">
        <v>715</v>
      </c>
      <c r="B1283" s="8" t="s">
        <v>128</v>
      </c>
      <c r="C1283" s="8" t="s">
        <v>720</v>
      </c>
      <c r="D1283" s="8" t="s">
        <v>817</v>
      </c>
      <c r="E1283" s="25">
        <v>330</v>
      </c>
      <c r="F1283" s="25">
        <v>30</v>
      </c>
    </row>
    <row r="1284" spans="1:6" x14ac:dyDescent="0.25">
      <c r="A1284" s="8" t="s">
        <v>715</v>
      </c>
      <c r="B1284" s="8" t="s">
        <v>174</v>
      </c>
      <c r="C1284" s="8" t="s">
        <v>818</v>
      </c>
      <c r="D1284" s="8" t="s">
        <v>819</v>
      </c>
      <c r="E1284" s="25">
        <v>825</v>
      </c>
      <c r="F1284" s="25">
        <v>75</v>
      </c>
    </row>
    <row r="1285" spans="1:6" x14ac:dyDescent="0.25">
      <c r="A1285" s="8" t="s">
        <v>715</v>
      </c>
      <c r="B1285" s="8" t="s">
        <v>174</v>
      </c>
      <c r="C1285" s="8" t="s">
        <v>818</v>
      </c>
      <c r="D1285" s="8" t="s">
        <v>261</v>
      </c>
      <c r="E1285" s="25">
        <v>99</v>
      </c>
      <c r="F1285" s="25">
        <v>9</v>
      </c>
    </row>
    <row r="1286" spans="1:6" x14ac:dyDescent="0.25">
      <c r="A1286" s="8" t="s">
        <v>715</v>
      </c>
      <c r="B1286" s="8" t="s">
        <v>132</v>
      </c>
      <c r="C1286" s="8" t="s">
        <v>820</v>
      </c>
      <c r="D1286" s="8" t="s">
        <v>263</v>
      </c>
      <c r="E1286" s="25">
        <v>173.25</v>
      </c>
      <c r="F1286" s="25">
        <v>15.75</v>
      </c>
    </row>
    <row r="1287" spans="1:6" x14ac:dyDescent="0.25">
      <c r="A1287" s="8" t="s">
        <v>715</v>
      </c>
      <c r="B1287" s="8" t="s">
        <v>132</v>
      </c>
      <c r="C1287" s="8" t="s">
        <v>820</v>
      </c>
      <c r="D1287" s="8" t="s">
        <v>264</v>
      </c>
      <c r="E1287" s="25">
        <v>27.5</v>
      </c>
      <c r="F1287" s="25">
        <v>2.5</v>
      </c>
    </row>
    <row r="1288" spans="1:6" x14ac:dyDescent="0.25">
      <c r="A1288" s="8" t="s">
        <v>715</v>
      </c>
      <c r="B1288" s="8" t="s">
        <v>137</v>
      </c>
      <c r="C1288" s="8" t="s">
        <v>820</v>
      </c>
      <c r="D1288" s="8" t="s">
        <v>182</v>
      </c>
      <c r="E1288" s="25">
        <v>5.0199999999999996</v>
      </c>
      <c r="F1288" s="25">
        <v>0.46</v>
      </c>
    </row>
    <row r="1289" spans="1:6" x14ac:dyDescent="0.25">
      <c r="A1289" s="8" t="s">
        <v>715</v>
      </c>
      <c r="B1289" s="8" t="s">
        <v>128</v>
      </c>
      <c r="C1289" s="8" t="s">
        <v>777</v>
      </c>
      <c r="D1289" s="8" t="s">
        <v>270</v>
      </c>
      <c r="E1289" s="25">
        <v>724.9</v>
      </c>
      <c r="F1289" s="25">
        <v>65.900000000000006</v>
      </c>
    </row>
    <row r="1290" spans="1:6" x14ac:dyDescent="0.25">
      <c r="A1290" s="8" t="s">
        <v>715</v>
      </c>
      <c r="B1290" s="8" t="s">
        <v>128</v>
      </c>
      <c r="C1290" s="8" t="s">
        <v>777</v>
      </c>
      <c r="D1290" s="8" t="s">
        <v>271</v>
      </c>
      <c r="E1290" s="25">
        <v>-247.5</v>
      </c>
      <c r="F1290" s="25">
        <v>-22.5</v>
      </c>
    </row>
    <row r="1291" spans="1:6" x14ac:dyDescent="0.25">
      <c r="A1291" s="8" t="s">
        <v>715</v>
      </c>
      <c r="B1291" s="8" t="s">
        <v>128</v>
      </c>
      <c r="C1291" s="8" t="s">
        <v>777</v>
      </c>
      <c r="D1291" s="8" t="s">
        <v>272</v>
      </c>
      <c r="E1291" s="25">
        <v>49.5</v>
      </c>
      <c r="F1291" s="25">
        <v>4.5</v>
      </c>
    </row>
    <row r="1292" spans="1:6" x14ac:dyDescent="0.25">
      <c r="A1292" s="8" t="s">
        <v>715</v>
      </c>
      <c r="B1292" s="8" t="s">
        <v>128</v>
      </c>
      <c r="C1292" s="8" t="s">
        <v>777</v>
      </c>
      <c r="D1292" s="8" t="s">
        <v>273</v>
      </c>
      <c r="E1292" s="25">
        <v>99</v>
      </c>
      <c r="F1292" s="25">
        <v>9</v>
      </c>
    </row>
    <row r="1293" spans="1:6" x14ac:dyDescent="0.25">
      <c r="A1293" s="8" t="s">
        <v>715</v>
      </c>
      <c r="B1293" s="8" t="s">
        <v>128</v>
      </c>
      <c r="C1293" s="8" t="s">
        <v>777</v>
      </c>
      <c r="D1293" s="8" t="s">
        <v>274</v>
      </c>
      <c r="E1293" s="25">
        <v>49.5</v>
      </c>
      <c r="F1293" s="25">
        <v>4.5</v>
      </c>
    </row>
    <row r="1294" spans="1:6" x14ac:dyDescent="0.25">
      <c r="A1294" s="8" t="s">
        <v>715</v>
      </c>
      <c r="B1294" s="8" t="s">
        <v>128</v>
      </c>
      <c r="C1294" s="8" t="s">
        <v>777</v>
      </c>
      <c r="D1294" s="8" t="s">
        <v>275</v>
      </c>
      <c r="E1294" s="25">
        <v>-99</v>
      </c>
      <c r="F1294" s="25">
        <v>-9</v>
      </c>
    </row>
    <row r="1295" spans="1:6" x14ac:dyDescent="0.25">
      <c r="A1295" s="8" t="s">
        <v>715</v>
      </c>
      <c r="B1295" s="8" t="s">
        <v>128</v>
      </c>
      <c r="C1295" s="8" t="s">
        <v>777</v>
      </c>
      <c r="D1295" s="8" t="s">
        <v>276</v>
      </c>
      <c r="E1295" s="25">
        <v>110</v>
      </c>
      <c r="F1295" s="25">
        <v>10</v>
      </c>
    </row>
    <row r="1296" spans="1:6" x14ac:dyDescent="0.25">
      <c r="A1296" s="8" t="s">
        <v>715</v>
      </c>
      <c r="B1296" s="8" t="s">
        <v>128</v>
      </c>
      <c r="C1296" s="8" t="s">
        <v>777</v>
      </c>
      <c r="D1296" s="8" t="s">
        <v>277</v>
      </c>
      <c r="E1296" s="25">
        <v>99</v>
      </c>
      <c r="F1296" s="25">
        <v>9</v>
      </c>
    </row>
    <row r="1297" spans="1:6" x14ac:dyDescent="0.25">
      <c r="A1297" s="8" t="s">
        <v>715</v>
      </c>
      <c r="B1297" s="8" t="s">
        <v>137</v>
      </c>
      <c r="C1297" s="8" t="s">
        <v>777</v>
      </c>
      <c r="D1297" s="8" t="s">
        <v>278</v>
      </c>
      <c r="E1297" s="25">
        <v>50.11</v>
      </c>
      <c r="F1297" s="25">
        <v>4.5599999999999996</v>
      </c>
    </row>
    <row r="1298" spans="1:6" x14ac:dyDescent="0.25">
      <c r="A1298" s="8" t="s">
        <v>715</v>
      </c>
      <c r="B1298" s="8" t="s">
        <v>128</v>
      </c>
      <c r="C1298" s="8" t="s">
        <v>777</v>
      </c>
      <c r="D1298" s="8" t="s">
        <v>279</v>
      </c>
      <c r="E1298" s="25">
        <v>49.5</v>
      </c>
      <c r="F1298" s="25">
        <v>4.5</v>
      </c>
    </row>
    <row r="1299" spans="1:6" x14ac:dyDescent="0.25">
      <c r="A1299" s="8" t="s">
        <v>715</v>
      </c>
      <c r="B1299" s="8" t="s">
        <v>128</v>
      </c>
      <c r="C1299" s="8" t="s">
        <v>777</v>
      </c>
      <c r="D1299" s="8" t="s">
        <v>280</v>
      </c>
      <c r="E1299" s="25">
        <v>-99</v>
      </c>
      <c r="F1299" s="25">
        <v>-9</v>
      </c>
    </row>
    <row r="1300" spans="1:6" x14ac:dyDescent="0.25">
      <c r="A1300" s="8" t="s">
        <v>715</v>
      </c>
      <c r="B1300" s="8" t="s">
        <v>128</v>
      </c>
      <c r="C1300" s="8" t="s">
        <v>777</v>
      </c>
      <c r="D1300" s="8" t="s">
        <v>503</v>
      </c>
      <c r="E1300" s="25">
        <v>110</v>
      </c>
      <c r="F1300" s="25">
        <v>10</v>
      </c>
    </row>
    <row r="1301" spans="1:6" x14ac:dyDescent="0.25">
      <c r="A1301" s="8" t="s">
        <v>715</v>
      </c>
      <c r="B1301" s="8" t="s">
        <v>128</v>
      </c>
      <c r="C1301" s="8" t="s">
        <v>777</v>
      </c>
      <c r="D1301" s="8" t="s">
        <v>504</v>
      </c>
      <c r="E1301" s="25">
        <v>49.5</v>
      </c>
      <c r="F1301" s="25">
        <v>4.5</v>
      </c>
    </row>
    <row r="1302" spans="1:6" x14ac:dyDescent="0.25">
      <c r="A1302" s="8" t="s">
        <v>715</v>
      </c>
      <c r="B1302" s="8" t="s">
        <v>128</v>
      </c>
      <c r="C1302" s="8" t="s">
        <v>720</v>
      </c>
      <c r="D1302" s="8" t="s">
        <v>821</v>
      </c>
      <c r="E1302" s="25">
        <v>273.89999999999998</v>
      </c>
      <c r="F1302" s="25">
        <v>24.9</v>
      </c>
    </row>
    <row r="1303" spans="1:6" x14ac:dyDescent="0.25">
      <c r="A1303" s="8" t="s">
        <v>715</v>
      </c>
      <c r="B1303" s="8" t="s">
        <v>128</v>
      </c>
      <c r="C1303" s="8" t="s">
        <v>777</v>
      </c>
      <c r="D1303" s="8" t="s">
        <v>290</v>
      </c>
      <c r="E1303" s="25">
        <v>675.4</v>
      </c>
      <c r="F1303" s="25">
        <v>61.4</v>
      </c>
    </row>
    <row r="1304" spans="1:6" x14ac:dyDescent="0.25">
      <c r="A1304" s="8" t="s">
        <v>715</v>
      </c>
      <c r="B1304" s="8" t="s">
        <v>128</v>
      </c>
      <c r="C1304" s="8" t="s">
        <v>777</v>
      </c>
      <c r="D1304" s="8" t="s">
        <v>291</v>
      </c>
      <c r="E1304" s="25">
        <v>-345.4</v>
      </c>
      <c r="F1304" s="25">
        <v>-31.4</v>
      </c>
    </row>
    <row r="1305" spans="1:6" x14ac:dyDescent="0.25">
      <c r="A1305" s="8" t="s">
        <v>715</v>
      </c>
      <c r="B1305" s="8" t="s">
        <v>174</v>
      </c>
      <c r="C1305" s="8" t="s">
        <v>822</v>
      </c>
      <c r="D1305" s="8" t="s">
        <v>823</v>
      </c>
      <c r="E1305" s="25">
        <v>378.4</v>
      </c>
      <c r="F1305" s="25">
        <v>34.4</v>
      </c>
    </row>
    <row r="1306" spans="1:6" x14ac:dyDescent="0.25">
      <c r="A1306" s="8" t="s">
        <v>715</v>
      </c>
      <c r="B1306" s="8" t="s">
        <v>174</v>
      </c>
      <c r="C1306" s="8" t="s">
        <v>824</v>
      </c>
      <c r="D1306" s="8" t="s">
        <v>825</v>
      </c>
      <c r="E1306" s="25">
        <v>242</v>
      </c>
      <c r="F1306" s="25">
        <v>22</v>
      </c>
    </row>
    <row r="1307" spans="1:6" x14ac:dyDescent="0.25">
      <c r="A1307" s="8" t="s">
        <v>715</v>
      </c>
      <c r="B1307" s="8" t="s">
        <v>174</v>
      </c>
      <c r="C1307" s="8" t="s">
        <v>824</v>
      </c>
      <c r="D1307" s="8" t="s">
        <v>322</v>
      </c>
      <c r="E1307" s="25">
        <v>665.5</v>
      </c>
      <c r="F1307" s="25">
        <v>60.5</v>
      </c>
    </row>
    <row r="1308" spans="1:6" x14ac:dyDescent="0.25">
      <c r="A1308" s="8" t="s">
        <v>715</v>
      </c>
      <c r="B1308" s="8" t="s">
        <v>174</v>
      </c>
      <c r="C1308" s="8" t="s">
        <v>470</v>
      </c>
      <c r="D1308" s="8" t="s">
        <v>225</v>
      </c>
      <c r="E1308" s="25">
        <v>1589.5</v>
      </c>
      <c r="F1308" s="25">
        <v>144.5</v>
      </c>
    </row>
    <row r="1309" spans="1:6" x14ac:dyDescent="0.25">
      <c r="A1309" s="8" t="s">
        <v>715</v>
      </c>
      <c r="B1309" s="8" t="s">
        <v>174</v>
      </c>
      <c r="C1309" s="8" t="s">
        <v>470</v>
      </c>
      <c r="D1309" s="8" t="s">
        <v>226</v>
      </c>
      <c r="E1309" s="25">
        <v>49.5</v>
      </c>
      <c r="F1309" s="25">
        <v>4.5</v>
      </c>
    </row>
    <row r="1310" spans="1:6" x14ac:dyDescent="0.25">
      <c r="A1310" s="8" t="s">
        <v>715</v>
      </c>
      <c r="B1310" s="8" t="s">
        <v>132</v>
      </c>
      <c r="C1310" s="8" t="s">
        <v>470</v>
      </c>
      <c r="D1310" s="8" t="s">
        <v>227</v>
      </c>
      <c r="E1310" s="25">
        <v>110</v>
      </c>
      <c r="F1310" s="25">
        <v>10</v>
      </c>
    </row>
    <row r="1311" spans="1:6" x14ac:dyDescent="0.25">
      <c r="A1311" s="8" t="s">
        <v>826</v>
      </c>
      <c r="B1311" s="8" t="s">
        <v>356</v>
      </c>
      <c r="C1311" s="8" t="s">
        <v>827</v>
      </c>
      <c r="D1311" s="8" t="s">
        <v>828</v>
      </c>
      <c r="E1311" s="25">
        <v>1017.5</v>
      </c>
      <c r="F1311" s="25">
        <v>92.5</v>
      </c>
    </row>
    <row r="1312" spans="1:6" x14ac:dyDescent="0.25">
      <c r="A1312" s="8" t="s">
        <v>826</v>
      </c>
      <c r="B1312" s="8" t="s">
        <v>356</v>
      </c>
      <c r="C1312" s="8" t="s">
        <v>829</v>
      </c>
      <c r="D1312" s="8" t="s">
        <v>830</v>
      </c>
      <c r="E1312" s="25">
        <v>407</v>
      </c>
      <c r="F1312" s="25">
        <v>37</v>
      </c>
    </row>
    <row r="1313" spans="1:6" x14ac:dyDescent="0.25">
      <c r="A1313" s="8" t="s">
        <v>826</v>
      </c>
      <c r="B1313" s="8" t="s">
        <v>356</v>
      </c>
      <c r="C1313" s="8" t="s">
        <v>831</v>
      </c>
      <c r="D1313" s="8" t="s">
        <v>832</v>
      </c>
      <c r="E1313" s="25">
        <v>1017.5</v>
      </c>
      <c r="F1313" s="25">
        <v>92.5</v>
      </c>
    </row>
    <row r="1314" spans="1:6" x14ac:dyDescent="0.25">
      <c r="A1314" s="8" t="s">
        <v>833</v>
      </c>
      <c r="B1314" s="8" t="s">
        <v>132</v>
      </c>
      <c r="C1314" s="8" t="s">
        <v>749</v>
      </c>
      <c r="D1314" s="8" t="s">
        <v>750</v>
      </c>
      <c r="E1314" s="25">
        <v>-103.95</v>
      </c>
      <c r="F1314" s="25">
        <v>-9.4499999999999993</v>
      </c>
    </row>
    <row r="1315" spans="1:6" x14ac:dyDescent="0.25">
      <c r="A1315" s="8" t="s">
        <v>833</v>
      </c>
      <c r="B1315" s="8" t="s">
        <v>128</v>
      </c>
      <c r="C1315" s="8" t="s">
        <v>834</v>
      </c>
      <c r="D1315" s="8" t="s">
        <v>835</v>
      </c>
      <c r="E1315" s="25">
        <v>1633.5</v>
      </c>
      <c r="F1315" s="25">
        <v>148.5</v>
      </c>
    </row>
    <row r="1316" spans="1:6" x14ac:dyDescent="0.25">
      <c r="A1316" s="8" t="s">
        <v>833</v>
      </c>
      <c r="B1316" s="8" t="s">
        <v>128</v>
      </c>
      <c r="C1316" s="8" t="s">
        <v>611</v>
      </c>
      <c r="D1316" s="8" t="s">
        <v>741</v>
      </c>
      <c r="E1316" s="25">
        <v>-1996.5</v>
      </c>
      <c r="F1316" s="25">
        <v>-181.5</v>
      </c>
    </row>
    <row r="1317" spans="1:6" x14ac:dyDescent="0.25">
      <c r="A1317" s="8" t="s">
        <v>833</v>
      </c>
      <c r="B1317" s="8" t="s">
        <v>356</v>
      </c>
      <c r="C1317" s="8" t="s">
        <v>836</v>
      </c>
      <c r="D1317" s="8" t="s">
        <v>837</v>
      </c>
      <c r="E1317" s="25">
        <v>1628</v>
      </c>
      <c r="F1317" s="25">
        <v>148</v>
      </c>
    </row>
    <row r="1318" spans="1:6" x14ac:dyDescent="0.25">
      <c r="A1318" s="8" t="s">
        <v>833</v>
      </c>
      <c r="B1318" s="8" t="s">
        <v>347</v>
      </c>
      <c r="C1318" s="8" t="s">
        <v>838</v>
      </c>
      <c r="D1318" s="8" t="s">
        <v>839</v>
      </c>
      <c r="E1318" s="25">
        <v>110</v>
      </c>
      <c r="F1318" s="25">
        <v>10</v>
      </c>
    </row>
    <row r="1319" spans="1:6" x14ac:dyDescent="0.25">
      <c r="A1319" s="8" t="s">
        <v>833</v>
      </c>
      <c r="B1319" s="8" t="s">
        <v>128</v>
      </c>
      <c r="C1319" s="8" t="s">
        <v>838</v>
      </c>
      <c r="D1319" s="8" t="s">
        <v>840</v>
      </c>
      <c r="E1319" s="25">
        <v>428.01</v>
      </c>
      <c r="F1319" s="25">
        <v>38.909999999999997</v>
      </c>
    </row>
    <row r="1320" spans="1:6" x14ac:dyDescent="0.25">
      <c r="A1320" s="8" t="s">
        <v>841</v>
      </c>
      <c r="B1320" s="8" t="s">
        <v>356</v>
      </c>
      <c r="C1320" s="8" t="s">
        <v>357</v>
      </c>
      <c r="D1320" s="8" t="s">
        <v>842</v>
      </c>
      <c r="E1320" s="25">
        <v>-203.5</v>
      </c>
      <c r="F1320" s="25">
        <v>-18.5</v>
      </c>
    </row>
    <row r="1321" spans="1:6" x14ac:dyDescent="0.25">
      <c r="A1321" s="8" t="s">
        <v>841</v>
      </c>
      <c r="B1321" s="8" t="s">
        <v>356</v>
      </c>
      <c r="C1321" s="8" t="s">
        <v>357</v>
      </c>
      <c r="D1321" s="8" t="s">
        <v>843</v>
      </c>
      <c r="E1321" s="25">
        <v>4070</v>
      </c>
      <c r="F1321" s="25">
        <v>370</v>
      </c>
    </row>
    <row r="1322" spans="1:6" x14ac:dyDescent="0.25">
      <c r="A1322" s="8" t="s">
        <v>841</v>
      </c>
      <c r="B1322" s="8" t="s">
        <v>356</v>
      </c>
      <c r="C1322" s="8" t="s">
        <v>357</v>
      </c>
      <c r="D1322" s="8" t="s">
        <v>844</v>
      </c>
      <c r="E1322" s="25">
        <v>4070</v>
      </c>
      <c r="F1322" s="25">
        <v>370</v>
      </c>
    </row>
    <row r="1323" spans="1:6" x14ac:dyDescent="0.25">
      <c r="A1323" s="8" t="s">
        <v>841</v>
      </c>
      <c r="B1323" s="8" t="s">
        <v>347</v>
      </c>
      <c r="C1323" s="8" t="s">
        <v>845</v>
      </c>
      <c r="D1323" s="8" t="s">
        <v>846</v>
      </c>
      <c r="E1323" s="25">
        <v>330</v>
      </c>
      <c r="F1323" s="25">
        <v>30</v>
      </c>
    </row>
    <row r="1324" spans="1:6" x14ac:dyDescent="0.25">
      <c r="A1324" s="8" t="s">
        <v>841</v>
      </c>
      <c r="B1324" s="8" t="s">
        <v>128</v>
      </c>
      <c r="C1324" s="8" t="s">
        <v>845</v>
      </c>
      <c r="D1324" s="8" t="s">
        <v>847</v>
      </c>
      <c r="E1324" s="25">
        <v>173.25</v>
      </c>
      <c r="F1324" s="25">
        <v>15.75</v>
      </c>
    </row>
    <row r="1325" spans="1:6" x14ac:dyDescent="0.25">
      <c r="A1325" s="8" t="s">
        <v>841</v>
      </c>
      <c r="B1325" s="8" t="s">
        <v>356</v>
      </c>
      <c r="C1325" s="8" t="s">
        <v>357</v>
      </c>
      <c r="D1325" s="8" t="s">
        <v>848</v>
      </c>
      <c r="E1325" s="25">
        <v>1221</v>
      </c>
      <c r="F1325" s="25">
        <v>111</v>
      </c>
    </row>
    <row r="1326" spans="1:6" x14ac:dyDescent="0.25">
      <c r="A1326" s="8" t="s">
        <v>849</v>
      </c>
      <c r="B1326" s="8" t="s">
        <v>356</v>
      </c>
      <c r="C1326" s="8" t="s">
        <v>850</v>
      </c>
      <c r="D1326" s="8" t="s">
        <v>851</v>
      </c>
      <c r="E1326" s="25">
        <v>814</v>
      </c>
      <c r="F1326" s="25">
        <v>74</v>
      </c>
    </row>
    <row r="1327" spans="1:6" x14ac:dyDescent="0.25">
      <c r="A1327" s="8" t="s">
        <v>849</v>
      </c>
      <c r="B1327" s="8" t="s">
        <v>356</v>
      </c>
      <c r="C1327" s="8" t="s">
        <v>852</v>
      </c>
      <c r="D1327" s="8" t="s">
        <v>853</v>
      </c>
      <c r="E1327" s="25">
        <v>508.75</v>
      </c>
      <c r="F1327" s="25">
        <v>46.25</v>
      </c>
    </row>
    <row r="1328" spans="1:6" x14ac:dyDescent="0.25">
      <c r="A1328" s="8" t="s">
        <v>854</v>
      </c>
      <c r="B1328" s="8" t="s">
        <v>356</v>
      </c>
      <c r="C1328" s="8" t="s">
        <v>357</v>
      </c>
      <c r="D1328" s="8" t="s">
        <v>855</v>
      </c>
      <c r="E1328" s="25">
        <v>610.5</v>
      </c>
      <c r="F1328" s="25">
        <v>55.5</v>
      </c>
    </row>
    <row r="1329" spans="1:6" x14ac:dyDescent="0.25">
      <c r="A1329" s="8" t="s">
        <v>856</v>
      </c>
      <c r="B1329" s="8" t="s">
        <v>347</v>
      </c>
      <c r="C1329" s="8" t="s">
        <v>357</v>
      </c>
      <c r="D1329" s="8" t="s">
        <v>857</v>
      </c>
      <c r="E1329" s="25">
        <v>874.5</v>
      </c>
      <c r="F1329" s="25">
        <v>79.5</v>
      </c>
    </row>
    <row r="1330" spans="1:6" x14ac:dyDescent="0.25">
      <c r="A1330" s="8" t="s">
        <v>856</v>
      </c>
      <c r="B1330" s="8" t="s">
        <v>132</v>
      </c>
      <c r="C1330" s="8" t="s">
        <v>357</v>
      </c>
      <c r="D1330" s="8" t="s">
        <v>858</v>
      </c>
      <c r="E1330" s="25">
        <v>75.09</v>
      </c>
      <c r="F1330" s="25">
        <v>6.83</v>
      </c>
    </row>
    <row r="1331" spans="1:6" x14ac:dyDescent="0.25">
      <c r="A1331" s="8" t="s">
        <v>859</v>
      </c>
      <c r="B1331" s="8" t="s">
        <v>137</v>
      </c>
      <c r="C1331" s="8" t="s">
        <v>860</v>
      </c>
      <c r="D1331" s="8" t="s">
        <v>861</v>
      </c>
      <c r="E1331" s="25">
        <v>187</v>
      </c>
      <c r="F1331" s="25">
        <v>17</v>
      </c>
    </row>
    <row r="1332" spans="1:6" x14ac:dyDescent="0.25">
      <c r="A1332" s="8" t="s">
        <v>859</v>
      </c>
      <c r="B1332" s="8" t="s">
        <v>137</v>
      </c>
      <c r="C1332" s="8" t="s">
        <v>860</v>
      </c>
      <c r="D1332" s="8" t="s">
        <v>861</v>
      </c>
      <c r="E1332" s="25">
        <v>187</v>
      </c>
      <c r="F1332" s="25">
        <v>17</v>
      </c>
    </row>
    <row r="1333" spans="1:6" x14ac:dyDescent="0.25">
      <c r="A1333" s="8" t="s">
        <v>862</v>
      </c>
      <c r="B1333" s="8" t="s">
        <v>347</v>
      </c>
      <c r="C1333" s="8" t="s">
        <v>863</v>
      </c>
      <c r="D1333" s="8" t="s">
        <v>864</v>
      </c>
      <c r="E1333" s="25">
        <v>110</v>
      </c>
      <c r="F1333" s="25">
        <v>10</v>
      </c>
    </row>
    <row r="1334" spans="1:6" x14ac:dyDescent="0.25">
      <c r="A1334" s="8" t="s">
        <v>862</v>
      </c>
      <c r="B1334" s="8" t="s">
        <v>128</v>
      </c>
      <c r="C1334" s="8" t="s">
        <v>863</v>
      </c>
      <c r="D1334" s="8" t="s">
        <v>865</v>
      </c>
      <c r="E1334" s="25">
        <v>87.45</v>
      </c>
      <c r="F1334" s="25">
        <v>7.95</v>
      </c>
    </row>
    <row r="1335" spans="1:6" x14ac:dyDescent="0.25">
      <c r="A1335" s="8" t="s">
        <v>862</v>
      </c>
      <c r="B1335" s="8" t="s">
        <v>347</v>
      </c>
      <c r="C1335" s="8" t="s">
        <v>866</v>
      </c>
      <c r="D1335" s="8" t="s">
        <v>867</v>
      </c>
      <c r="E1335" s="25">
        <v>220</v>
      </c>
      <c r="F1335" s="25">
        <v>20</v>
      </c>
    </row>
    <row r="1336" spans="1:6" x14ac:dyDescent="0.25">
      <c r="A1336" s="8" t="s">
        <v>862</v>
      </c>
      <c r="B1336" s="8" t="s">
        <v>128</v>
      </c>
      <c r="C1336" s="8" t="s">
        <v>866</v>
      </c>
      <c r="D1336" s="8" t="s">
        <v>868</v>
      </c>
      <c r="E1336" s="25">
        <v>263.56</v>
      </c>
      <c r="F1336" s="25">
        <v>23.96</v>
      </c>
    </row>
    <row r="1337" spans="1:6" x14ac:dyDescent="0.25">
      <c r="A1337" s="8" t="s">
        <v>869</v>
      </c>
      <c r="B1337" s="8" t="s">
        <v>347</v>
      </c>
      <c r="C1337" s="8" t="s">
        <v>870</v>
      </c>
      <c r="D1337" s="8" t="s">
        <v>871</v>
      </c>
      <c r="E1337" s="25">
        <v>4950</v>
      </c>
      <c r="F1337" s="25">
        <v>450</v>
      </c>
    </row>
    <row r="1338" spans="1:6" x14ac:dyDescent="0.25">
      <c r="A1338" s="8" t="s">
        <v>869</v>
      </c>
      <c r="B1338" s="8" t="s">
        <v>347</v>
      </c>
      <c r="C1338" s="8" t="s">
        <v>870</v>
      </c>
      <c r="D1338" s="8" t="s">
        <v>872</v>
      </c>
      <c r="E1338" s="25">
        <v>874.5</v>
      </c>
      <c r="F1338" s="25">
        <v>79.5</v>
      </c>
    </row>
    <row r="1339" spans="1:6" x14ac:dyDescent="0.25">
      <c r="A1339" s="8" t="s">
        <v>869</v>
      </c>
      <c r="B1339" s="8" t="s">
        <v>347</v>
      </c>
      <c r="C1339" s="8" t="s">
        <v>873</v>
      </c>
      <c r="D1339" s="8" t="s">
        <v>874</v>
      </c>
      <c r="E1339" s="25">
        <v>220</v>
      </c>
      <c r="F1339" s="25">
        <v>20</v>
      </c>
    </row>
    <row r="1340" spans="1:6" x14ac:dyDescent="0.25">
      <c r="A1340" s="8" t="s">
        <v>869</v>
      </c>
      <c r="B1340" s="8" t="s">
        <v>128</v>
      </c>
      <c r="C1340" s="8" t="s">
        <v>873</v>
      </c>
      <c r="D1340" s="8" t="s">
        <v>875</v>
      </c>
      <c r="E1340" s="25">
        <v>220</v>
      </c>
      <c r="F1340" s="25">
        <v>20</v>
      </c>
    </row>
    <row r="1341" spans="1:6" x14ac:dyDescent="0.25">
      <c r="A1341" s="8" t="s">
        <v>876</v>
      </c>
      <c r="B1341" s="8" t="s">
        <v>356</v>
      </c>
      <c r="C1341" s="8" t="s">
        <v>877</v>
      </c>
      <c r="D1341" s="8" t="s">
        <v>878</v>
      </c>
      <c r="E1341" s="25">
        <v>1221</v>
      </c>
      <c r="F1341" s="25">
        <v>111</v>
      </c>
    </row>
    <row r="1342" spans="1:6" x14ac:dyDescent="0.25">
      <c r="A1342" s="8" t="s">
        <v>876</v>
      </c>
      <c r="B1342" s="8" t="s">
        <v>128</v>
      </c>
      <c r="C1342" s="8" t="s">
        <v>879</v>
      </c>
      <c r="D1342" s="8" t="s">
        <v>880</v>
      </c>
      <c r="E1342" s="25">
        <v>3531</v>
      </c>
      <c r="F1342" s="25">
        <v>321</v>
      </c>
    </row>
    <row r="1343" spans="1:6" x14ac:dyDescent="0.25">
      <c r="A1343" s="8" t="s">
        <v>876</v>
      </c>
      <c r="B1343" s="8" t="s">
        <v>128</v>
      </c>
      <c r="C1343" s="8" t="s">
        <v>879</v>
      </c>
      <c r="D1343" s="8" t="s">
        <v>881</v>
      </c>
      <c r="E1343" s="25">
        <v>82.5</v>
      </c>
      <c r="F1343" s="25">
        <v>7.5</v>
      </c>
    </row>
    <row r="1344" spans="1:6" x14ac:dyDescent="0.25">
      <c r="A1344" s="8" t="s">
        <v>882</v>
      </c>
      <c r="B1344" s="8" t="s">
        <v>347</v>
      </c>
      <c r="C1344" s="8" t="s">
        <v>883</v>
      </c>
      <c r="D1344" s="8" t="s">
        <v>884</v>
      </c>
      <c r="E1344" s="25">
        <v>1100</v>
      </c>
      <c r="F1344" s="25">
        <v>100</v>
      </c>
    </row>
    <row r="1345" spans="1:6" x14ac:dyDescent="0.25">
      <c r="A1345" s="8" t="s">
        <v>882</v>
      </c>
      <c r="B1345" s="8" t="s">
        <v>347</v>
      </c>
      <c r="C1345" s="8" t="s">
        <v>883</v>
      </c>
      <c r="D1345" s="8" t="s">
        <v>885</v>
      </c>
      <c r="E1345" s="25">
        <v>544.5</v>
      </c>
      <c r="F1345" s="25">
        <v>49.5</v>
      </c>
    </row>
    <row r="1346" spans="1:6" x14ac:dyDescent="0.25">
      <c r="A1346" s="8" t="s">
        <v>882</v>
      </c>
      <c r="B1346" s="8" t="s">
        <v>132</v>
      </c>
      <c r="C1346" s="8" t="s">
        <v>883</v>
      </c>
      <c r="D1346" s="8" t="s">
        <v>886</v>
      </c>
      <c r="E1346" s="25">
        <v>387.2</v>
      </c>
      <c r="F1346" s="25">
        <v>35.200000000000003</v>
      </c>
    </row>
    <row r="1347" spans="1:6" x14ac:dyDescent="0.25">
      <c r="A1347" s="8" t="s">
        <v>882</v>
      </c>
      <c r="B1347" s="8" t="s">
        <v>132</v>
      </c>
      <c r="C1347" s="8" t="s">
        <v>883</v>
      </c>
      <c r="D1347" s="8" t="s">
        <v>887</v>
      </c>
      <c r="E1347" s="25">
        <v>330</v>
      </c>
      <c r="F1347" s="25">
        <v>30</v>
      </c>
    </row>
    <row r="1348" spans="1:6" x14ac:dyDescent="0.25">
      <c r="A1348" s="8" t="s">
        <v>882</v>
      </c>
      <c r="B1348" s="8" t="s">
        <v>347</v>
      </c>
      <c r="C1348" s="8" t="s">
        <v>888</v>
      </c>
      <c r="D1348" s="8" t="s">
        <v>889</v>
      </c>
      <c r="E1348" s="25">
        <v>1100</v>
      </c>
      <c r="F1348" s="25">
        <v>100</v>
      </c>
    </row>
    <row r="1349" spans="1:6" x14ac:dyDescent="0.25">
      <c r="A1349" s="8" t="s">
        <v>882</v>
      </c>
      <c r="B1349" s="8" t="s">
        <v>347</v>
      </c>
      <c r="C1349" s="8" t="s">
        <v>888</v>
      </c>
      <c r="D1349" s="8" t="s">
        <v>890</v>
      </c>
      <c r="E1349" s="25">
        <v>544.5</v>
      </c>
      <c r="F1349" s="25">
        <v>49.5</v>
      </c>
    </row>
    <row r="1350" spans="1:6" x14ac:dyDescent="0.25">
      <c r="A1350" s="8" t="s">
        <v>882</v>
      </c>
      <c r="B1350" s="8" t="s">
        <v>132</v>
      </c>
      <c r="C1350" s="8" t="s">
        <v>888</v>
      </c>
      <c r="D1350" s="8" t="s">
        <v>891</v>
      </c>
      <c r="E1350" s="25">
        <v>483.95</v>
      </c>
      <c r="F1350" s="25">
        <v>44</v>
      </c>
    </row>
    <row r="1351" spans="1:6" x14ac:dyDescent="0.25">
      <c r="A1351" s="8" t="s">
        <v>882</v>
      </c>
      <c r="B1351" s="8" t="s">
        <v>132</v>
      </c>
      <c r="C1351" s="8" t="s">
        <v>888</v>
      </c>
      <c r="D1351" s="8" t="s">
        <v>892</v>
      </c>
      <c r="E1351" s="25">
        <v>82.5</v>
      </c>
      <c r="F1351" s="25">
        <v>7.5</v>
      </c>
    </row>
    <row r="1352" spans="1:6" x14ac:dyDescent="0.25">
      <c r="A1352" s="8" t="s">
        <v>882</v>
      </c>
      <c r="B1352" s="8" t="s">
        <v>356</v>
      </c>
      <c r="C1352" s="8" t="s">
        <v>357</v>
      </c>
      <c r="D1352" s="8" t="s">
        <v>893</v>
      </c>
      <c r="E1352" s="25">
        <v>2035</v>
      </c>
      <c r="F1352" s="25">
        <v>185</v>
      </c>
    </row>
    <row r="1353" spans="1:6" x14ac:dyDescent="0.25">
      <c r="A1353" s="8" t="s">
        <v>882</v>
      </c>
      <c r="B1353" s="8" t="s">
        <v>347</v>
      </c>
      <c r="C1353" s="8" t="s">
        <v>894</v>
      </c>
      <c r="D1353" s="8" t="s">
        <v>895</v>
      </c>
      <c r="E1353" s="25">
        <v>1100</v>
      </c>
      <c r="F1353" s="25">
        <v>100</v>
      </c>
    </row>
    <row r="1354" spans="1:6" x14ac:dyDescent="0.25">
      <c r="A1354" s="8" t="s">
        <v>882</v>
      </c>
      <c r="B1354" s="8" t="s">
        <v>347</v>
      </c>
      <c r="C1354" s="8" t="s">
        <v>894</v>
      </c>
      <c r="D1354" s="8" t="s">
        <v>896</v>
      </c>
      <c r="E1354" s="25">
        <v>544.5</v>
      </c>
      <c r="F1354" s="25">
        <v>49.5</v>
      </c>
    </row>
    <row r="1355" spans="1:6" x14ac:dyDescent="0.25">
      <c r="A1355" s="8" t="s">
        <v>882</v>
      </c>
      <c r="B1355" s="8" t="s">
        <v>132</v>
      </c>
      <c r="C1355" s="8" t="s">
        <v>894</v>
      </c>
      <c r="D1355" s="8" t="s">
        <v>897</v>
      </c>
      <c r="E1355" s="25">
        <v>387.2</v>
      </c>
      <c r="F1355" s="25">
        <v>35.200000000000003</v>
      </c>
    </row>
    <row r="1356" spans="1:6" x14ac:dyDescent="0.25">
      <c r="A1356" s="8" t="s">
        <v>882</v>
      </c>
      <c r="B1356" s="8" t="s">
        <v>132</v>
      </c>
      <c r="C1356" s="8" t="s">
        <v>894</v>
      </c>
      <c r="D1356" s="8" t="s">
        <v>898</v>
      </c>
      <c r="E1356" s="25">
        <v>330</v>
      </c>
      <c r="F1356" s="25">
        <v>30</v>
      </c>
    </row>
    <row r="1357" spans="1:6" x14ac:dyDescent="0.25">
      <c r="A1357" s="8" t="s">
        <v>882</v>
      </c>
      <c r="B1357" s="8" t="s">
        <v>128</v>
      </c>
      <c r="C1357" s="8" t="s">
        <v>899</v>
      </c>
      <c r="D1357" s="8" t="s">
        <v>900</v>
      </c>
      <c r="E1357" s="25">
        <v>656.7</v>
      </c>
      <c r="F1357" s="25">
        <v>59.7</v>
      </c>
    </row>
    <row r="1358" spans="1:6" x14ac:dyDescent="0.25">
      <c r="A1358" s="8" t="s">
        <v>882</v>
      </c>
      <c r="B1358" s="8" t="s">
        <v>128</v>
      </c>
      <c r="C1358" s="8" t="s">
        <v>899</v>
      </c>
      <c r="D1358" s="8" t="s">
        <v>901</v>
      </c>
      <c r="E1358" s="25">
        <v>656.7</v>
      </c>
      <c r="F1358" s="25">
        <v>59.7</v>
      </c>
    </row>
    <row r="1359" spans="1:6" x14ac:dyDescent="0.25">
      <c r="A1359" s="8" t="s">
        <v>882</v>
      </c>
      <c r="B1359" s="8" t="s">
        <v>128</v>
      </c>
      <c r="C1359" s="8" t="s">
        <v>899</v>
      </c>
      <c r="D1359" s="8" t="s">
        <v>902</v>
      </c>
      <c r="E1359" s="25">
        <v>656.7</v>
      </c>
      <c r="F1359" s="25">
        <v>59.7</v>
      </c>
    </row>
    <row r="1360" spans="1:6" x14ac:dyDescent="0.25">
      <c r="A1360" s="8" t="s">
        <v>882</v>
      </c>
      <c r="B1360" s="8" t="s">
        <v>128</v>
      </c>
      <c r="C1360" s="8" t="s">
        <v>899</v>
      </c>
      <c r="D1360" s="8" t="s">
        <v>903</v>
      </c>
      <c r="E1360" s="25">
        <v>656.7</v>
      </c>
      <c r="F1360" s="25">
        <v>59.7</v>
      </c>
    </row>
    <row r="1362" spans="1:6" x14ac:dyDescent="0.25">
      <c r="A1362" s="220" t="s">
        <v>904</v>
      </c>
    </row>
    <row r="1363" spans="1:6" x14ac:dyDescent="0.25">
      <c r="A1363" s="8" t="s">
        <v>905</v>
      </c>
      <c r="B1363" s="8" t="s">
        <v>174</v>
      </c>
      <c r="C1363" s="8" t="s">
        <v>906</v>
      </c>
      <c r="D1363" s="8" t="s">
        <v>907</v>
      </c>
      <c r="E1363" s="25">
        <v>-330</v>
      </c>
      <c r="F1363" s="25">
        <v>-30</v>
      </c>
    </row>
    <row r="1364" spans="1:6" x14ac:dyDescent="0.25">
      <c r="A1364" s="8" t="s">
        <v>905</v>
      </c>
      <c r="B1364" s="8" t="s">
        <v>174</v>
      </c>
      <c r="C1364" s="8" t="s">
        <v>906</v>
      </c>
      <c r="D1364" s="8" t="s">
        <v>489</v>
      </c>
      <c r="E1364" s="25">
        <v>330</v>
      </c>
      <c r="F1364" s="25">
        <v>30</v>
      </c>
    </row>
    <row r="1365" spans="1:6" x14ac:dyDescent="0.25">
      <c r="A1365" s="8" t="s">
        <v>905</v>
      </c>
      <c r="B1365" s="8" t="s">
        <v>128</v>
      </c>
      <c r="C1365" s="8" t="s">
        <v>906</v>
      </c>
      <c r="D1365" s="8" t="s">
        <v>908</v>
      </c>
      <c r="E1365" s="25">
        <v>-330</v>
      </c>
      <c r="F1365" s="25">
        <v>-30</v>
      </c>
    </row>
    <row r="1366" spans="1:6" x14ac:dyDescent="0.25">
      <c r="A1366" s="8" t="s">
        <v>909</v>
      </c>
      <c r="B1366" s="8" t="s">
        <v>128</v>
      </c>
      <c r="C1366" s="8" t="s">
        <v>910</v>
      </c>
      <c r="D1366" s="8" t="s">
        <v>911</v>
      </c>
      <c r="E1366" s="25">
        <v>-3069</v>
      </c>
      <c r="F1366" s="25">
        <v>-279</v>
      </c>
    </row>
    <row r="1367" spans="1:6" x14ac:dyDescent="0.25">
      <c r="A1367" s="8" t="s">
        <v>909</v>
      </c>
      <c r="B1367" s="8" t="s">
        <v>128</v>
      </c>
      <c r="C1367" s="8" t="s">
        <v>910</v>
      </c>
      <c r="D1367" s="8" t="s">
        <v>912</v>
      </c>
      <c r="E1367" s="25">
        <v>-330</v>
      </c>
      <c r="F1367" s="25">
        <v>-30</v>
      </c>
    </row>
    <row r="1368" spans="1:6" x14ac:dyDescent="0.25">
      <c r="A1368" s="8" t="s">
        <v>909</v>
      </c>
      <c r="B1368" s="8" t="s">
        <v>128</v>
      </c>
      <c r="C1368" s="8" t="s">
        <v>910</v>
      </c>
      <c r="D1368" s="8" t="s">
        <v>913</v>
      </c>
      <c r="E1368" s="25">
        <v>3069</v>
      </c>
      <c r="F1368" s="25">
        <v>279</v>
      </c>
    </row>
    <row r="1369" spans="1:6" x14ac:dyDescent="0.25">
      <c r="A1369" s="8" t="s">
        <v>909</v>
      </c>
      <c r="B1369" s="8" t="s">
        <v>128</v>
      </c>
      <c r="C1369" s="8" t="s">
        <v>910</v>
      </c>
      <c r="D1369" s="8" t="s">
        <v>914</v>
      </c>
      <c r="E1369" s="25">
        <v>82.5</v>
      </c>
      <c r="F1369" s="25">
        <v>7.5</v>
      </c>
    </row>
    <row r="1370" spans="1:6" x14ac:dyDescent="0.25">
      <c r="A1370" s="8" t="s">
        <v>909</v>
      </c>
      <c r="B1370" s="8" t="s">
        <v>128</v>
      </c>
      <c r="C1370" s="8" t="s">
        <v>910</v>
      </c>
      <c r="D1370" s="8" t="s">
        <v>915</v>
      </c>
      <c r="E1370" s="25">
        <v>-1039.5</v>
      </c>
      <c r="F1370" s="25">
        <v>-94.5</v>
      </c>
    </row>
    <row r="1372" spans="1:6" x14ac:dyDescent="0.25">
      <c r="A1372" s="220" t="s">
        <v>917</v>
      </c>
    </row>
    <row r="1373" spans="1:6" x14ac:dyDescent="0.25">
      <c r="A1373" s="8" t="s">
        <v>127</v>
      </c>
      <c r="B1373" s="8" t="s">
        <v>132</v>
      </c>
      <c r="C1373" s="8" t="s">
        <v>918</v>
      </c>
      <c r="D1373" s="8" t="s">
        <v>919</v>
      </c>
      <c r="E1373" s="25">
        <v>292.5</v>
      </c>
      <c r="F1373" s="25">
        <v>0</v>
      </c>
    </row>
    <row r="1374" spans="1:6" x14ac:dyDescent="0.25">
      <c r="A1374" s="8" t="s">
        <v>127</v>
      </c>
      <c r="B1374" s="8" t="s">
        <v>132</v>
      </c>
      <c r="C1374" s="8" t="s">
        <v>918</v>
      </c>
      <c r="D1374" s="8" t="s">
        <v>920</v>
      </c>
      <c r="E1374" s="25">
        <v>25</v>
      </c>
      <c r="F1374" s="25">
        <v>0</v>
      </c>
    </row>
    <row r="1375" spans="1:6" x14ac:dyDescent="0.25">
      <c r="A1375" s="8" t="s">
        <v>127</v>
      </c>
      <c r="B1375" s="8" t="s">
        <v>132</v>
      </c>
      <c r="C1375" s="8" t="s">
        <v>918</v>
      </c>
      <c r="D1375" s="8" t="s">
        <v>921</v>
      </c>
      <c r="E1375" s="25">
        <v>25</v>
      </c>
      <c r="F1375" s="25">
        <v>0</v>
      </c>
    </row>
    <row r="1376" spans="1:6" x14ac:dyDescent="0.25">
      <c r="A1376" s="8" t="s">
        <v>922</v>
      </c>
      <c r="B1376" s="8" t="s">
        <v>923</v>
      </c>
      <c r="C1376" s="8" t="s">
        <v>70</v>
      </c>
      <c r="D1376" s="8" t="s">
        <v>924</v>
      </c>
      <c r="E1376" s="25">
        <v>1.59</v>
      </c>
      <c r="F1376" s="25">
        <v>0</v>
      </c>
    </row>
    <row r="1377" spans="1:6" x14ac:dyDescent="0.25">
      <c r="A1377" s="8" t="s">
        <v>402</v>
      </c>
      <c r="B1377" s="8" t="s">
        <v>132</v>
      </c>
      <c r="C1377" s="8" t="s">
        <v>925</v>
      </c>
      <c r="D1377" s="8" t="s">
        <v>919</v>
      </c>
      <c r="E1377" s="25">
        <v>292.5</v>
      </c>
      <c r="F1377" s="25">
        <v>0</v>
      </c>
    </row>
    <row r="1378" spans="1:6" x14ac:dyDescent="0.25">
      <c r="A1378" s="8" t="s">
        <v>402</v>
      </c>
      <c r="B1378" s="8" t="s">
        <v>132</v>
      </c>
      <c r="C1378" s="8" t="s">
        <v>925</v>
      </c>
      <c r="D1378" s="8" t="s">
        <v>920</v>
      </c>
      <c r="E1378" s="25">
        <v>25</v>
      </c>
      <c r="F1378" s="25">
        <v>0</v>
      </c>
    </row>
    <row r="1379" spans="1:6" x14ac:dyDescent="0.25">
      <c r="A1379" s="8" t="s">
        <v>402</v>
      </c>
      <c r="B1379" s="8" t="s">
        <v>132</v>
      </c>
      <c r="C1379" s="8" t="s">
        <v>925</v>
      </c>
      <c r="D1379" s="8" t="s">
        <v>921</v>
      </c>
      <c r="E1379" s="25">
        <v>25</v>
      </c>
      <c r="F1379" s="25">
        <v>0</v>
      </c>
    </row>
    <row r="1380" spans="1:6" x14ac:dyDescent="0.25">
      <c r="A1380" s="8" t="s">
        <v>695</v>
      </c>
      <c r="B1380" s="8" t="s">
        <v>923</v>
      </c>
      <c r="C1380" s="8" t="s">
        <v>70</v>
      </c>
      <c r="D1380" s="8" t="s">
        <v>924</v>
      </c>
      <c r="E1380" s="25">
        <v>1.93</v>
      </c>
      <c r="F1380" s="25">
        <v>0</v>
      </c>
    </row>
    <row r="1381" spans="1:6" x14ac:dyDescent="0.25">
      <c r="A1381" s="8" t="s">
        <v>715</v>
      </c>
      <c r="B1381" s="8" t="s">
        <v>132</v>
      </c>
      <c r="C1381" s="8" t="s">
        <v>926</v>
      </c>
      <c r="D1381" s="8" t="s">
        <v>919</v>
      </c>
      <c r="E1381" s="25">
        <v>292.5</v>
      </c>
      <c r="F1381" s="25">
        <v>0</v>
      </c>
    </row>
    <row r="1382" spans="1:6" x14ac:dyDescent="0.25">
      <c r="A1382" s="8" t="s">
        <v>715</v>
      </c>
      <c r="B1382" s="8" t="s">
        <v>132</v>
      </c>
      <c r="C1382" s="8" t="s">
        <v>926</v>
      </c>
      <c r="D1382" s="8" t="s">
        <v>920</v>
      </c>
      <c r="E1382" s="25">
        <v>25</v>
      </c>
      <c r="F1382" s="25">
        <v>0</v>
      </c>
    </row>
    <row r="1383" spans="1:6" x14ac:dyDescent="0.25">
      <c r="A1383" s="8" t="s">
        <v>715</v>
      </c>
      <c r="B1383" s="8" t="s">
        <v>132</v>
      </c>
      <c r="C1383" s="8" t="s">
        <v>926</v>
      </c>
      <c r="D1383" s="8" t="s">
        <v>921</v>
      </c>
      <c r="E1383" s="25">
        <v>25</v>
      </c>
      <c r="F1383" s="25">
        <v>0</v>
      </c>
    </row>
    <row r="1384" spans="1:6" x14ac:dyDescent="0.25">
      <c r="A1384" s="8" t="s">
        <v>882</v>
      </c>
      <c r="B1384" s="8" t="s">
        <v>923</v>
      </c>
      <c r="C1384" s="8" t="s">
        <v>70</v>
      </c>
      <c r="D1384" s="8" t="s">
        <v>924</v>
      </c>
      <c r="E1384" s="25">
        <v>2.71</v>
      </c>
      <c r="F1384" s="25">
        <v>0</v>
      </c>
    </row>
    <row r="1385" spans="1:6" x14ac:dyDescent="0.25">
      <c r="A1385" s="222" t="s">
        <v>882</v>
      </c>
      <c r="B1385" s="222" t="s">
        <v>923</v>
      </c>
      <c r="C1385" s="222" t="s">
        <v>70</v>
      </c>
      <c r="D1385" s="222" t="s">
        <v>927</v>
      </c>
      <c r="E1385" s="223">
        <v>2.19</v>
      </c>
      <c r="F1385" s="223">
        <v>0</v>
      </c>
    </row>
    <row r="1387" spans="1:6" ht="13" x14ac:dyDescent="0.3">
      <c r="A1387" s="221" t="s">
        <v>1634</v>
      </c>
      <c r="B1387" s="11"/>
      <c r="C1387" s="11"/>
      <c r="D1387" s="11"/>
      <c r="E1387" s="11"/>
      <c r="F1387" s="117">
        <v>18478</v>
      </c>
    </row>
    <row r="1388" spans="1:6" x14ac:dyDescent="0.25">
      <c r="A1388" s="220" t="s">
        <v>928</v>
      </c>
    </row>
    <row r="1389" spans="1:6" x14ac:dyDescent="0.25">
      <c r="A1389" s="8" t="s">
        <v>127</v>
      </c>
      <c r="B1389" s="8" t="s">
        <v>929</v>
      </c>
      <c r="C1389" s="8" t="s">
        <v>930</v>
      </c>
      <c r="D1389" s="8" t="s">
        <v>931</v>
      </c>
      <c r="E1389" s="25">
        <v>43.55</v>
      </c>
      <c r="F1389" s="25">
        <v>3.96</v>
      </c>
    </row>
    <row r="1390" spans="1:6" x14ac:dyDescent="0.25">
      <c r="A1390" s="8" t="s">
        <v>127</v>
      </c>
      <c r="B1390" s="8" t="s">
        <v>932</v>
      </c>
      <c r="C1390" s="8" t="s">
        <v>933</v>
      </c>
      <c r="D1390" s="8" t="s">
        <v>934</v>
      </c>
      <c r="E1390" s="25">
        <v>1650</v>
      </c>
      <c r="F1390" s="25">
        <v>150</v>
      </c>
    </row>
    <row r="1391" spans="1:6" x14ac:dyDescent="0.25">
      <c r="A1391" s="8" t="s">
        <v>935</v>
      </c>
      <c r="B1391" s="8" t="s">
        <v>936</v>
      </c>
      <c r="C1391" s="8" t="s">
        <v>937</v>
      </c>
      <c r="D1391" s="8" t="s">
        <v>938</v>
      </c>
      <c r="E1391" s="25">
        <v>674.2</v>
      </c>
      <c r="F1391" s="25">
        <v>61.29</v>
      </c>
    </row>
    <row r="1392" spans="1:6" x14ac:dyDescent="0.25">
      <c r="A1392" s="8" t="s">
        <v>935</v>
      </c>
      <c r="B1392" s="8" t="s">
        <v>939</v>
      </c>
      <c r="C1392" s="8" t="s">
        <v>940</v>
      </c>
      <c r="D1392" s="8" t="s">
        <v>941</v>
      </c>
      <c r="E1392" s="25">
        <v>21151.7</v>
      </c>
      <c r="F1392" s="25">
        <v>1922.88</v>
      </c>
    </row>
    <row r="1393" spans="1:6" x14ac:dyDescent="0.25">
      <c r="A1393" s="8" t="s">
        <v>942</v>
      </c>
      <c r="B1393" s="8" t="s">
        <v>943</v>
      </c>
      <c r="C1393" s="8" t="s">
        <v>944</v>
      </c>
      <c r="D1393" s="8" t="s">
        <v>945</v>
      </c>
      <c r="E1393" s="25">
        <v>3300</v>
      </c>
      <c r="F1393" s="25">
        <v>300</v>
      </c>
    </row>
    <row r="1394" spans="1:6" x14ac:dyDescent="0.25">
      <c r="A1394" s="8" t="s">
        <v>946</v>
      </c>
      <c r="B1394" s="8" t="s">
        <v>947</v>
      </c>
      <c r="C1394" s="8" t="s">
        <v>70</v>
      </c>
      <c r="D1394" s="8" t="s">
        <v>948</v>
      </c>
      <c r="E1394" s="25">
        <v>16.21</v>
      </c>
      <c r="F1394" s="25">
        <v>1.47</v>
      </c>
    </row>
    <row r="1395" spans="1:6" x14ac:dyDescent="0.25">
      <c r="A1395" s="8" t="s">
        <v>949</v>
      </c>
      <c r="B1395" s="8" t="s">
        <v>950</v>
      </c>
      <c r="C1395" s="8" t="s">
        <v>951</v>
      </c>
      <c r="D1395" s="8" t="s">
        <v>952</v>
      </c>
      <c r="E1395" s="25">
        <v>8333.33</v>
      </c>
      <c r="F1395" s="25">
        <v>757.58</v>
      </c>
    </row>
    <row r="1396" spans="1:6" x14ac:dyDescent="0.25">
      <c r="A1396" s="8" t="s">
        <v>344</v>
      </c>
      <c r="B1396" s="8" t="s">
        <v>953</v>
      </c>
      <c r="C1396" s="8" t="s">
        <v>954</v>
      </c>
      <c r="D1396" s="8" t="s">
        <v>955</v>
      </c>
      <c r="E1396" s="25">
        <v>778.47</v>
      </c>
      <c r="F1396" s="25">
        <v>70.77</v>
      </c>
    </row>
    <row r="1397" spans="1:6" x14ac:dyDescent="0.25">
      <c r="A1397" s="8" t="s">
        <v>370</v>
      </c>
      <c r="B1397" s="8" t="s">
        <v>956</v>
      </c>
      <c r="C1397" s="8" t="s">
        <v>957</v>
      </c>
      <c r="D1397" s="8" t="s">
        <v>958</v>
      </c>
      <c r="E1397" s="25">
        <v>40</v>
      </c>
      <c r="F1397" s="25">
        <v>3.64</v>
      </c>
    </row>
    <row r="1398" spans="1:6" x14ac:dyDescent="0.25">
      <c r="A1398" s="8" t="s">
        <v>959</v>
      </c>
      <c r="B1398" s="8" t="s">
        <v>956</v>
      </c>
      <c r="C1398" s="8" t="s">
        <v>957</v>
      </c>
      <c r="D1398" s="8" t="s">
        <v>960</v>
      </c>
      <c r="E1398" s="25">
        <v>38.65</v>
      </c>
      <c r="F1398" s="25">
        <v>3.51</v>
      </c>
    </row>
    <row r="1399" spans="1:6" x14ac:dyDescent="0.25">
      <c r="A1399" s="8" t="s">
        <v>959</v>
      </c>
      <c r="B1399" s="8" t="s">
        <v>956</v>
      </c>
      <c r="C1399" s="8" t="s">
        <v>961</v>
      </c>
      <c r="D1399" s="8" t="s">
        <v>962</v>
      </c>
      <c r="E1399" s="25">
        <v>40</v>
      </c>
      <c r="F1399" s="25">
        <v>3.64</v>
      </c>
    </row>
    <row r="1400" spans="1:6" x14ac:dyDescent="0.25">
      <c r="A1400" s="8" t="s">
        <v>963</v>
      </c>
      <c r="B1400" s="8" t="s">
        <v>956</v>
      </c>
      <c r="C1400" s="8" t="s">
        <v>961</v>
      </c>
      <c r="D1400" s="8" t="s">
        <v>964</v>
      </c>
      <c r="E1400" s="25">
        <v>40</v>
      </c>
      <c r="F1400" s="25">
        <v>3.64</v>
      </c>
    </row>
    <row r="1401" spans="1:6" x14ac:dyDescent="0.25">
      <c r="A1401" s="8" t="s">
        <v>963</v>
      </c>
      <c r="B1401" s="8" t="s">
        <v>947</v>
      </c>
      <c r="C1401" s="8" t="s">
        <v>70</v>
      </c>
      <c r="D1401" s="8" t="s">
        <v>948</v>
      </c>
      <c r="E1401" s="25">
        <v>74.02</v>
      </c>
      <c r="F1401" s="25">
        <v>6.73</v>
      </c>
    </row>
    <row r="1402" spans="1:6" x14ac:dyDescent="0.25">
      <c r="A1402" s="8" t="s">
        <v>963</v>
      </c>
      <c r="B1402" s="8" t="s">
        <v>953</v>
      </c>
      <c r="C1402" s="8" t="s">
        <v>965</v>
      </c>
      <c r="D1402" s="8" t="s">
        <v>966</v>
      </c>
      <c r="E1402" s="25">
        <v>8.06</v>
      </c>
      <c r="F1402" s="25">
        <v>0.73</v>
      </c>
    </row>
    <row r="1403" spans="1:6" x14ac:dyDescent="0.25">
      <c r="A1403" s="8" t="s">
        <v>373</v>
      </c>
      <c r="B1403" s="8" t="s">
        <v>953</v>
      </c>
      <c r="C1403" s="8" t="s">
        <v>967</v>
      </c>
      <c r="D1403" s="8" t="s">
        <v>968</v>
      </c>
      <c r="E1403" s="25">
        <v>70.7</v>
      </c>
      <c r="F1403" s="25">
        <v>6.43</v>
      </c>
    </row>
    <row r="1404" spans="1:6" x14ac:dyDescent="0.25">
      <c r="A1404" s="8" t="s">
        <v>376</v>
      </c>
      <c r="B1404" s="8" t="s">
        <v>936</v>
      </c>
      <c r="C1404" s="8" t="s">
        <v>969</v>
      </c>
      <c r="D1404" s="8" t="s">
        <v>970</v>
      </c>
      <c r="E1404" s="25">
        <v>1493.94</v>
      </c>
      <c r="F1404" s="25">
        <v>135.81</v>
      </c>
    </row>
    <row r="1405" spans="1:6" x14ac:dyDescent="0.25">
      <c r="A1405" s="8" t="s">
        <v>383</v>
      </c>
      <c r="B1405" s="8" t="s">
        <v>956</v>
      </c>
      <c r="C1405" s="8" t="s">
        <v>971</v>
      </c>
      <c r="D1405" s="8" t="s">
        <v>972</v>
      </c>
      <c r="E1405" s="25">
        <v>37.06</v>
      </c>
      <c r="F1405" s="25">
        <v>3.37</v>
      </c>
    </row>
    <row r="1406" spans="1:6" x14ac:dyDescent="0.25">
      <c r="A1406" s="8" t="s">
        <v>386</v>
      </c>
      <c r="B1406" s="8" t="s">
        <v>950</v>
      </c>
      <c r="C1406" s="8" t="s">
        <v>973</v>
      </c>
      <c r="D1406" s="8" t="s">
        <v>974</v>
      </c>
      <c r="E1406" s="25">
        <v>8333.33</v>
      </c>
      <c r="F1406" s="25">
        <v>757.58</v>
      </c>
    </row>
    <row r="1407" spans="1:6" x14ac:dyDescent="0.25">
      <c r="A1407" s="8" t="s">
        <v>386</v>
      </c>
      <c r="B1407" s="8" t="s">
        <v>975</v>
      </c>
      <c r="C1407" s="8" t="s">
        <v>976</v>
      </c>
      <c r="D1407" s="8" t="s">
        <v>977</v>
      </c>
      <c r="E1407" s="25">
        <v>1677.5</v>
      </c>
      <c r="F1407" s="25">
        <v>152.5</v>
      </c>
    </row>
    <row r="1408" spans="1:6" x14ac:dyDescent="0.25">
      <c r="A1408" s="8" t="s">
        <v>393</v>
      </c>
      <c r="B1408" s="8" t="s">
        <v>953</v>
      </c>
      <c r="C1408" s="8" t="s">
        <v>70</v>
      </c>
      <c r="D1408" s="8" t="s">
        <v>978</v>
      </c>
      <c r="E1408" s="25">
        <v>-320</v>
      </c>
      <c r="F1408" s="25">
        <v>-29.09</v>
      </c>
    </row>
    <row r="1409" spans="1:6" x14ac:dyDescent="0.25">
      <c r="A1409" s="8" t="s">
        <v>393</v>
      </c>
      <c r="B1409" s="8" t="s">
        <v>947</v>
      </c>
      <c r="C1409" s="8" t="s">
        <v>70</v>
      </c>
      <c r="D1409" s="8" t="s">
        <v>948</v>
      </c>
      <c r="E1409" s="25">
        <v>32.4</v>
      </c>
      <c r="F1409" s="25">
        <v>2.95</v>
      </c>
    </row>
    <row r="1410" spans="1:6" x14ac:dyDescent="0.25">
      <c r="A1410" s="8" t="s">
        <v>979</v>
      </c>
      <c r="B1410" s="8" t="s">
        <v>936</v>
      </c>
      <c r="C1410" s="8" t="s">
        <v>980</v>
      </c>
      <c r="D1410" s="8" t="s">
        <v>981</v>
      </c>
      <c r="E1410" s="25">
        <v>2524.5</v>
      </c>
      <c r="F1410" s="25">
        <v>229.5</v>
      </c>
    </row>
    <row r="1411" spans="1:6" x14ac:dyDescent="0.25">
      <c r="A1411" s="8" t="s">
        <v>982</v>
      </c>
      <c r="B1411" s="8" t="s">
        <v>947</v>
      </c>
      <c r="C1411" s="8" t="s">
        <v>70</v>
      </c>
      <c r="D1411" s="8" t="s">
        <v>948</v>
      </c>
      <c r="E1411" s="25">
        <v>68.86</v>
      </c>
      <c r="F1411" s="25">
        <v>6.26</v>
      </c>
    </row>
    <row r="1412" spans="1:6" x14ac:dyDescent="0.25">
      <c r="A1412" s="8" t="s">
        <v>922</v>
      </c>
      <c r="B1412" s="8" t="s">
        <v>950</v>
      </c>
      <c r="C1412" s="8" t="s">
        <v>983</v>
      </c>
      <c r="D1412" s="8" t="s">
        <v>984</v>
      </c>
      <c r="E1412" s="25">
        <v>632.5</v>
      </c>
      <c r="F1412" s="25">
        <v>57.5</v>
      </c>
    </row>
    <row r="1413" spans="1:6" x14ac:dyDescent="0.25">
      <c r="A1413" s="8" t="s">
        <v>922</v>
      </c>
      <c r="B1413" s="8" t="s">
        <v>985</v>
      </c>
      <c r="C1413" s="8" t="s">
        <v>986</v>
      </c>
      <c r="D1413" s="8" t="s">
        <v>987</v>
      </c>
      <c r="E1413" s="25">
        <v>165</v>
      </c>
      <c r="F1413" s="25">
        <v>15</v>
      </c>
    </row>
    <row r="1414" spans="1:6" x14ac:dyDescent="0.25">
      <c r="A1414" s="8" t="s">
        <v>922</v>
      </c>
      <c r="B1414" s="8" t="s">
        <v>985</v>
      </c>
      <c r="C1414" s="8" t="s">
        <v>986</v>
      </c>
      <c r="D1414" s="8" t="s">
        <v>988</v>
      </c>
      <c r="E1414" s="25">
        <v>605</v>
      </c>
      <c r="F1414" s="25">
        <v>55</v>
      </c>
    </row>
    <row r="1415" spans="1:6" x14ac:dyDescent="0.25">
      <c r="A1415" s="8" t="s">
        <v>922</v>
      </c>
      <c r="B1415" s="8" t="s">
        <v>953</v>
      </c>
      <c r="C1415" s="8" t="s">
        <v>989</v>
      </c>
      <c r="D1415" s="8" t="s">
        <v>990</v>
      </c>
      <c r="E1415" s="25">
        <v>77.2</v>
      </c>
      <c r="F1415" s="25">
        <v>7.02</v>
      </c>
    </row>
    <row r="1416" spans="1:6" x14ac:dyDescent="0.25">
      <c r="A1416" s="8" t="s">
        <v>402</v>
      </c>
      <c r="B1416" s="8" t="s">
        <v>929</v>
      </c>
      <c r="C1416" s="8" t="s">
        <v>991</v>
      </c>
      <c r="D1416" s="8" t="s">
        <v>931</v>
      </c>
      <c r="E1416" s="25">
        <v>23.14</v>
      </c>
      <c r="F1416" s="25">
        <v>2.1</v>
      </c>
    </row>
    <row r="1417" spans="1:6" x14ac:dyDescent="0.25">
      <c r="A1417" s="8" t="s">
        <v>402</v>
      </c>
      <c r="B1417" s="8" t="s">
        <v>932</v>
      </c>
      <c r="C1417" s="8" t="s">
        <v>992</v>
      </c>
      <c r="D1417" s="8" t="s">
        <v>993</v>
      </c>
      <c r="E1417" s="25">
        <v>2310</v>
      </c>
      <c r="F1417" s="25">
        <v>210</v>
      </c>
    </row>
    <row r="1418" spans="1:6" x14ac:dyDescent="0.25">
      <c r="A1418" s="8" t="s">
        <v>402</v>
      </c>
      <c r="B1418" s="8" t="s">
        <v>936</v>
      </c>
      <c r="C1418" s="8" t="s">
        <v>994</v>
      </c>
      <c r="D1418" s="8" t="s">
        <v>938</v>
      </c>
      <c r="E1418" s="25">
        <v>311.91000000000003</v>
      </c>
      <c r="F1418" s="25">
        <v>28.36</v>
      </c>
    </row>
    <row r="1419" spans="1:6" x14ac:dyDescent="0.25">
      <c r="A1419" s="8" t="s">
        <v>562</v>
      </c>
      <c r="B1419" s="8" t="s">
        <v>939</v>
      </c>
      <c r="C1419" s="8" t="s">
        <v>995</v>
      </c>
      <c r="D1419" s="8" t="s">
        <v>996</v>
      </c>
      <c r="E1419" s="25">
        <v>21425.05</v>
      </c>
      <c r="F1419" s="25">
        <v>1947.73</v>
      </c>
    </row>
    <row r="1420" spans="1:6" x14ac:dyDescent="0.25">
      <c r="A1420" s="8" t="s">
        <v>574</v>
      </c>
      <c r="B1420" s="8" t="s">
        <v>936</v>
      </c>
      <c r="C1420" s="8" t="s">
        <v>997</v>
      </c>
      <c r="D1420" s="8" t="s">
        <v>998</v>
      </c>
      <c r="E1420" s="25">
        <v>2524.5</v>
      </c>
      <c r="F1420" s="25">
        <v>229.5</v>
      </c>
    </row>
    <row r="1421" spans="1:6" x14ac:dyDescent="0.25">
      <c r="A1421" s="8" t="s">
        <v>574</v>
      </c>
      <c r="B1421" s="8" t="s">
        <v>936</v>
      </c>
      <c r="C1421" s="8" t="s">
        <v>997</v>
      </c>
      <c r="D1421" s="8" t="s">
        <v>999</v>
      </c>
      <c r="E1421" s="25">
        <v>-1206.93</v>
      </c>
      <c r="F1421" s="25">
        <v>-109.72</v>
      </c>
    </row>
    <row r="1422" spans="1:6" x14ac:dyDescent="0.25">
      <c r="A1422" s="8" t="s">
        <v>574</v>
      </c>
      <c r="B1422" s="8" t="s">
        <v>936</v>
      </c>
      <c r="C1422" s="8" t="s">
        <v>1000</v>
      </c>
      <c r="D1422" s="8" t="s">
        <v>1001</v>
      </c>
      <c r="E1422" s="25">
        <v>2613.6</v>
      </c>
      <c r="F1422" s="25">
        <v>237.6</v>
      </c>
    </row>
    <row r="1423" spans="1:6" x14ac:dyDescent="0.25">
      <c r="A1423" s="8" t="s">
        <v>574</v>
      </c>
      <c r="B1423" s="8" t="s">
        <v>936</v>
      </c>
      <c r="C1423" s="8" t="s">
        <v>1000</v>
      </c>
      <c r="D1423" s="8" t="s">
        <v>1002</v>
      </c>
      <c r="E1423" s="25">
        <v>2613.6</v>
      </c>
      <c r="F1423" s="25">
        <v>237.6</v>
      </c>
    </row>
    <row r="1424" spans="1:6" x14ac:dyDescent="0.25">
      <c r="A1424" s="8" t="s">
        <v>574</v>
      </c>
      <c r="B1424" s="8" t="s">
        <v>936</v>
      </c>
      <c r="C1424" s="8" t="s">
        <v>1000</v>
      </c>
      <c r="D1424" s="8" t="s">
        <v>1003</v>
      </c>
      <c r="E1424" s="25">
        <v>-374.86</v>
      </c>
      <c r="F1424" s="25">
        <v>-34.08</v>
      </c>
    </row>
    <row r="1425" spans="1:6" x14ac:dyDescent="0.25">
      <c r="A1425" s="8" t="s">
        <v>583</v>
      </c>
      <c r="B1425" s="8" t="s">
        <v>956</v>
      </c>
      <c r="C1425" s="8" t="s">
        <v>961</v>
      </c>
      <c r="D1425" s="8" t="s">
        <v>1004</v>
      </c>
      <c r="E1425" s="25">
        <v>28.8</v>
      </c>
      <c r="F1425" s="25">
        <v>2.62</v>
      </c>
    </row>
    <row r="1426" spans="1:6" x14ac:dyDescent="0.25">
      <c r="A1426" s="8" t="s">
        <v>1005</v>
      </c>
      <c r="B1426" s="8" t="s">
        <v>950</v>
      </c>
      <c r="C1426" s="8" t="s">
        <v>1006</v>
      </c>
      <c r="D1426" s="8" t="s">
        <v>952</v>
      </c>
      <c r="E1426" s="25">
        <v>8333.33</v>
      </c>
      <c r="F1426" s="25">
        <v>757.58</v>
      </c>
    </row>
    <row r="1427" spans="1:6" x14ac:dyDescent="0.25">
      <c r="A1427" s="8" t="s">
        <v>587</v>
      </c>
      <c r="B1427" s="8" t="s">
        <v>956</v>
      </c>
      <c r="C1427" s="8" t="s">
        <v>957</v>
      </c>
      <c r="D1427" s="8" t="s">
        <v>1007</v>
      </c>
      <c r="E1427" s="25">
        <v>41.85</v>
      </c>
      <c r="F1427" s="25">
        <v>3.8</v>
      </c>
    </row>
    <row r="1428" spans="1:6" x14ac:dyDescent="0.25">
      <c r="A1428" s="8" t="s">
        <v>587</v>
      </c>
      <c r="B1428" s="8" t="s">
        <v>975</v>
      </c>
      <c r="C1428" s="8" t="s">
        <v>1008</v>
      </c>
      <c r="D1428" s="8" t="s">
        <v>1009</v>
      </c>
      <c r="E1428" s="25">
        <v>65</v>
      </c>
      <c r="F1428" s="25">
        <v>5.91</v>
      </c>
    </row>
    <row r="1429" spans="1:6" x14ac:dyDescent="0.25">
      <c r="A1429" s="8" t="s">
        <v>587</v>
      </c>
      <c r="B1429" s="8" t="s">
        <v>137</v>
      </c>
      <c r="C1429" s="8" t="s">
        <v>1010</v>
      </c>
      <c r="D1429" s="8" t="s">
        <v>1011</v>
      </c>
      <c r="E1429" s="25">
        <v>-187</v>
      </c>
      <c r="F1429" s="25">
        <v>-17</v>
      </c>
    </row>
    <row r="1430" spans="1:6" x14ac:dyDescent="0.25">
      <c r="A1430" s="8" t="s">
        <v>1012</v>
      </c>
      <c r="B1430" s="8" t="s">
        <v>956</v>
      </c>
      <c r="C1430" s="8" t="s">
        <v>957</v>
      </c>
      <c r="D1430" s="8" t="s">
        <v>958</v>
      </c>
      <c r="E1430" s="25">
        <v>40</v>
      </c>
      <c r="F1430" s="25">
        <v>3.64</v>
      </c>
    </row>
    <row r="1431" spans="1:6" x14ac:dyDescent="0.25">
      <c r="A1431" s="8" t="s">
        <v>1012</v>
      </c>
      <c r="B1431" s="8" t="s">
        <v>1013</v>
      </c>
      <c r="C1431" s="8" t="s">
        <v>1014</v>
      </c>
      <c r="D1431" s="8" t="s">
        <v>1015</v>
      </c>
      <c r="E1431" s="25">
        <v>2434.15</v>
      </c>
      <c r="F1431" s="25">
        <v>221.29</v>
      </c>
    </row>
    <row r="1432" spans="1:6" x14ac:dyDescent="0.25">
      <c r="A1432" s="8" t="s">
        <v>1012</v>
      </c>
      <c r="B1432" s="8" t="s">
        <v>932</v>
      </c>
      <c r="C1432" s="8" t="s">
        <v>1014</v>
      </c>
      <c r="D1432" s="8" t="s">
        <v>1016</v>
      </c>
      <c r="E1432" s="25">
        <v>628.76</v>
      </c>
      <c r="F1432" s="25">
        <v>57.16</v>
      </c>
    </row>
    <row r="1433" spans="1:6" x14ac:dyDescent="0.25">
      <c r="A1433" s="8" t="s">
        <v>1012</v>
      </c>
      <c r="B1433" s="8" t="s">
        <v>929</v>
      </c>
      <c r="C1433" s="8" t="s">
        <v>1014</v>
      </c>
      <c r="D1433" s="8" t="s">
        <v>1017</v>
      </c>
      <c r="E1433" s="25">
        <v>72.03</v>
      </c>
      <c r="F1433" s="25">
        <v>6.55</v>
      </c>
    </row>
    <row r="1434" spans="1:6" x14ac:dyDescent="0.25">
      <c r="A1434" s="8" t="s">
        <v>1012</v>
      </c>
      <c r="B1434" s="8" t="s">
        <v>1018</v>
      </c>
      <c r="C1434" s="8" t="s">
        <v>1014</v>
      </c>
      <c r="D1434" s="8" t="s">
        <v>1019</v>
      </c>
      <c r="E1434" s="25">
        <v>117.72</v>
      </c>
      <c r="F1434" s="25">
        <v>10.7</v>
      </c>
    </row>
    <row r="1435" spans="1:6" x14ac:dyDescent="0.25">
      <c r="A1435" s="8" t="s">
        <v>594</v>
      </c>
      <c r="B1435" s="8" t="s">
        <v>956</v>
      </c>
      <c r="C1435" s="8" t="s">
        <v>957</v>
      </c>
      <c r="D1435" s="8" t="s">
        <v>1020</v>
      </c>
      <c r="E1435" s="25">
        <v>40</v>
      </c>
      <c r="F1435" s="25">
        <v>3.64</v>
      </c>
    </row>
    <row r="1436" spans="1:6" x14ac:dyDescent="0.25">
      <c r="A1436" s="8" t="s">
        <v>594</v>
      </c>
      <c r="B1436" s="8" t="s">
        <v>975</v>
      </c>
      <c r="C1436" s="8" t="s">
        <v>1021</v>
      </c>
      <c r="D1436" s="8" t="s">
        <v>1022</v>
      </c>
      <c r="E1436" s="25">
        <v>6.5</v>
      </c>
      <c r="F1436" s="25">
        <v>0.59</v>
      </c>
    </row>
    <row r="1437" spans="1:6" x14ac:dyDescent="0.25">
      <c r="A1437" s="8" t="s">
        <v>594</v>
      </c>
      <c r="B1437" s="8" t="s">
        <v>956</v>
      </c>
      <c r="C1437" s="8" t="s">
        <v>957</v>
      </c>
      <c r="D1437" s="8" t="s">
        <v>960</v>
      </c>
      <c r="E1437" s="25">
        <v>38.39</v>
      </c>
      <c r="F1437" s="25">
        <v>3.49</v>
      </c>
    </row>
    <row r="1438" spans="1:6" x14ac:dyDescent="0.25">
      <c r="A1438" s="8" t="s">
        <v>594</v>
      </c>
      <c r="B1438" s="8" t="s">
        <v>956</v>
      </c>
      <c r="C1438" s="8" t="s">
        <v>957</v>
      </c>
      <c r="D1438" s="8" t="s">
        <v>1023</v>
      </c>
      <c r="E1438" s="25">
        <v>44.76</v>
      </c>
      <c r="F1438" s="25">
        <v>4.07</v>
      </c>
    </row>
    <row r="1439" spans="1:6" x14ac:dyDescent="0.25">
      <c r="A1439" s="8" t="s">
        <v>594</v>
      </c>
      <c r="B1439" s="8" t="s">
        <v>947</v>
      </c>
      <c r="C1439" s="8" t="s">
        <v>70</v>
      </c>
      <c r="D1439" s="8" t="s">
        <v>948</v>
      </c>
      <c r="E1439" s="25">
        <v>54.52</v>
      </c>
      <c r="F1439" s="25">
        <v>4.96</v>
      </c>
    </row>
    <row r="1440" spans="1:6" x14ac:dyDescent="0.25">
      <c r="A1440" s="8" t="s">
        <v>594</v>
      </c>
      <c r="B1440" s="8" t="s">
        <v>956</v>
      </c>
      <c r="C1440" s="8" t="s">
        <v>957</v>
      </c>
      <c r="D1440" s="8" t="s">
        <v>1024</v>
      </c>
      <c r="E1440" s="25">
        <v>26.7</v>
      </c>
      <c r="F1440" s="25">
        <v>2.4300000000000002</v>
      </c>
    </row>
    <row r="1441" spans="1:6" x14ac:dyDescent="0.25">
      <c r="A1441" s="8" t="s">
        <v>599</v>
      </c>
      <c r="B1441" s="8" t="s">
        <v>956</v>
      </c>
      <c r="C1441" s="8" t="s">
        <v>1025</v>
      </c>
      <c r="D1441" s="8" t="s">
        <v>1026</v>
      </c>
      <c r="E1441" s="25">
        <v>36.04</v>
      </c>
      <c r="F1441" s="25">
        <v>3.28</v>
      </c>
    </row>
    <row r="1442" spans="1:6" x14ac:dyDescent="0.25">
      <c r="A1442" s="8" t="s">
        <v>605</v>
      </c>
      <c r="B1442" s="8" t="s">
        <v>953</v>
      </c>
      <c r="C1442" s="8" t="s">
        <v>1027</v>
      </c>
      <c r="D1442" s="8" t="s">
        <v>1028</v>
      </c>
      <c r="E1442" s="25">
        <v>35</v>
      </c>
      <c r="F1442" s="25">
        <v>3.18</v>
      </c>
    </row>
    <row r="1443" spans="1:6" x14ac:dyDescent="0.25">
      <c r="A1443" s="8" t="s">
        <v>605</v>
      </c>
      <c r="B1443" s="8" t="s">
        <v>953</v>
      </c>
      <c r="C1443" s="8" t="s">
        <v>70</v>
      </c>
      <c r="D1443" s="8" t="s">
        <v>1029</v>
      </c>
      <c r="E1443" s="25">
        <v>-2737.8</v>
      </c>
      <c r="F1443" s="25">
        <v>-248.89</v>
      </c>
    </row>
    <row r="1444" spans="1:6" x14ac:dyDescent="0.25">
      <c r="A1444" s="8" t="s">
        <v>605</v>
      </c>
      <c r="B1444" s="8" t="s">
        <v>936</v>
      </c>
      <c r="C1444" s="8" t="s">
        <v>1030</v>
      </c>
      <c r="D1444" s="8" t="s">
        <v>970</v>
      </c>
      <c r="E1444" s="25">
        <v>1402.86</v>
      </c>
      <c r="F1444" s="25">
        <v>127.53</v>
      </c>
    </row>
    <row r="1445" spans="1:6" x14ac:dyDescent="0.25">
      <c r="A1445" s="8" t="s">
        <v>614</v>
      </c>
      <c r="B1445" s="8" t="s">
        <v>943</v>
      </c>
      <c r="C1445" s="8" t="s">
        <v>1031</v>
      </c>
      <c r="D1445" s="8" t="s">
        <v>1032</v>
      </c>
      <c r="E1445" s="25">
        <v>1644.5</v>
      </c>
      <c r="F1445" s="25">
        <v>149.5</v>
      </c>
    </row>
    <row r="1446" spans="1:6" x14ac:dyDescent="0.25">
      <c r="A1446" s="8" t="s">
        <v>614</v>
      </c>
      <c r="B1446" s="8" t="s">
        <v>956</v>
      </c>
      <c r="C1446" s="8" t="s">
        <v>1031</v>
      </c>
      <c r="D1446" s="8" t="s">
        <v>1033</v>
      </c>
      <c r="E1446" s="25">
        <v>18</v>
      </c>
      <c r="F1446" s="25">
        <v>1.64</v>
      </c>
    </row>
    <row r="1447" spans="1:6" x14ac:dyDescent="0.25">
      <c r="A1447" s="8" t="s">
        <v>614</v>
      </c>
      <c r="B1447" s="8" t="s">
        <v>1018</v>
      </c>
      <c r="C1447" s="8" t="s">
        <v>1031</v>
      </c>
      <c r="D1447" s="8" t="s">
        <v>1034</v>
      </c>
      <c r="E1447" s="25">
        <v>29.99</v>
      </c>
      <c r="F1447" s="25">
        <v>2.73</v>
      </c>
    </row>
    <row r="1448" spans="1:6" x14ac:dyDescent="0.25">
      <c r="A1448" s="8" t="s">
        <v>614</v>
      </c>
      <c r="B1448" s="8" t="s">
        <v>1018</v>
      </c>
      <c r="C1448" s="8" t="s">
        <v>1031</v>
      </c>
      <c r="D1448" s="8" t="s">
        <v>1035</v>
      </c>
      <c r="E1448" s="25">
        <v>14.95</v>
      </c>
      <c r="F1448" s="25">
        <v>1.36</v>
      </c>
    </row>
    <row r="1449" spans="1:6" x14ac:dyDescent="0.25">
      <c r="A1449" s="8" t="s">
        <v>614</v>
      </c>
      <c r="B1449" s="8" t="s">
        <v>1036</v>
      </c>
      <c r="C1449" s="8" t="s">
        <v>1031</v>
      </c>
      <c r="D1449" s="8" t="s">
        <v>1037</v>
      </c>
      <c r="E1449" s="25">
        <v>22.43</v>
      </c>
      <c r="F1449" s="25">
        <v>2.04</v>
      </c>
    </row>
    <row r="1450" spans="1:6" x14ac:dyDescent="0.25">
      <c r="A1450" s="8" t="s">
        <v>614</v>
      </c>
      <c r="B1450" s="8" t="s">
        <v>956</v>
      </c>
      <c r="C1450" s="8" t="s">
        <v>1031</v>
      </c>
      <c r="D1450" s="8" t="s">
        <v>1038</v>
      </c>
      <c r="E1450" s="25">
        <v>79.98</v>
      </c>
      <c r="F1450" s="25">
        <v>7.27</v>
      </c>
    </row>
    <row r="1451" spans="1:6" x14ac:dyDescent="0.25">
      <c r="A1451" s="8" t="s">
        <v>614</v>
      </c>
      <c r="B1451" s="8" t="s">
        <v>953</v>
      </c>
      <c r="C1451" s="8" t="s">
        <v>1031</v>
      </c>
      <c r="D1451" s="8" t="s">
        <v>1039</v>
      </c>
      <c r="E1451" s="25">
        <v>30.24</v>
      </c>
      <c r="F1451" s="25">
        <v>2.75</v>
      </c>
    </row>
    <row r="1452" spans="1:6" x14ac:dyDescent="0.25">
      <c r="A1452" s="8" t="s">
        <v>649</v>
      </c>
      <c r="B1452" s="8" t="s">
        <v>947</v>
      </c>
      <c r="C1452" s="8" t="s">
        <v>70</v>
      </c>
      <c r="D1452" s="8" t="s">
        <v>948</v>
      </c>
      <c r="E1452" s="25">
        <v>26.45</v>
      </c>
      <c r="F1452" s="25">
        <v>2.4</v>
      </c>
    </row>
    <row r="1453" spans="1:6" x14ac:dyDescent="0.25">
      <c r="A1453" s="8" t="s">
        <v>655</v>
      </c>
      <c r="B1453" s="8" t="s">
        <v>953</v>
      </c>
      <c r="C1453" s="8" t="s">
        <v>1040</v>
      </c>
      <c r="D1453" s="8" t="s">
        <v>1041</v>
      </c>
      <c r="E1453" s="25">
        <v>162.9</v>
      </c>
      <c r="F1453" s="25">
        <v>14.81</v>
      </c>
    </row>
    <row r="1454" spans="1:6" x14ac:dyDescent="0.25">
      <c r="A1454" s="8" t="s">
        <v>655</v>
      </c>
      <c r="B1454" s="8" t="s">
        <v>950</v>
      </c>
      <c r="C1454" s="8" t="s">
        <v>1042</v>
      </c>
      <c r="D1454" s="8" t="s">
        <v>974</v>
      </c>
      <c r="E1454" s="25">
        <v>8333.33</v>
      </c>
      <c r="F1454" s="25">
        <v>757.58</v>
      </c>
    </row>
    <row r="1455" spans="1:6" x14ac:dyDescent="0.25">
      <c r="A1455" s="8" t="s">
        <v>664</v>
      </c>
      <c r="B1455" s="8" t="s">
        <v>1043</v>
      </c>
      <c r="C1455" s="8" t="s">
        <v>1044</v>
      </c>
      <c r="D1455" s="8" t="s">
        <v>1045</v>
      </c>
      <c r="E1455" s="25">
        <v>2373.34</v>
      </c>
      <c r="F1455" s="25">
        <v>215.76</v>
      </c>
    </row>
    <row r="1456" spans="1:6" x14ac:dyDescent="0.25">
      <c r="A1456" s="8" t="s">
        <v>672</v>
      </c>
      <c r="B1456" s="8" t="s">
        <v>947</v>
      </c>
      <c r="C1456" s="8" t="s">
        <v>70</v>
      </c>
      <c r="D1456" s="8" t="s">
        <v>948</v>
      </c>
      <c r="E1456" s="25">
        <v>24.51</v>
      </c>
      <c r="F1456" s="25">
        <v>2.23</v>
      </c>
    </row>
    <row r="1457" spans="1:6" x14ac:dyDescent="0.25">
      <c r="A1457" s="8" t="s">
        <v>695</v>
      </c>
      <c r="B1457" s="8" t="s">
        <v>950</v>
      </c>
      <c r="C1457" s="8" t="s">
        <v>1046</v>
      </c>
      <c r="D1457" s="8" t="s">
        <v>1047</v>
      </c>
      <c r="E1457" s="25">
        <v>660</v>
      </c>
      <c r="F1457" s="25">
        <v>60</v>
      </c>
    </row>
    <row r="1458" spans="1:6" x14ac:dyDescent="0.25">
      <c r="A1458" s="8" t="s">
        <v>695</v>
      </c>
      <c r="B1458" s="8" t="s">
        <v>1018</v>
      </c>
      <c r="C1458" s="8" t="s">
        <v>1048</v>
      </c>
      <c r="D1458" s="8" t="s">
        <v>1049</v>
      </c>
      <c r="E1458" s="25">
        <v>177.27</v>
      </c>
      <c r="F1458" s="25">
        <v>16.12</v>
      </c>
    </row>
    <row r="1459" spans="1:6" x14ac:dyDescent="0.25">
      <c r="A1459" s="8" t="s">
        <v>695</v>
      </c>
      <c r="B1459" s="8" t="s">
        <v>953</v>
      </c>
      <c r="C1459" s="8" t="s">
        <v>1050</v>
      </c>
      <c r="D1459" s="8" t="s">
        <v>1051</v>
      </c>
      <c r="E1459" s="25">
        <v>664</v>
      </c>
      <c r="F1459" s="25">
        <v>60.36</v>
      </c>
    </row>
    <row r="1460" spans="1:6" x14ac:dyDescent="0.25">
      <c r="A1460" s="8" t="s">
        <v>715</v>
      </c>
      <c r="B1460" s="8" t="s">
        <v>956</v>
      </c>
      <c r="C1460" s="8" t="s">
        <v>1052</v>
      </c>
      <c r="D1460" s="8" t="s">
        <v>1053</v>
      </c>
      <c r="E1460" s="25">
        <v>40</v>
      </c>
      <c r="F1460" s="25">
        <v>3.64</v>
      </c>
    </row>
    <row r="1461" spans="1:6" x14ac:dyDescent="0.25">
      <c r="A1461" s="8" t="s">
        <v>715</v>
      </c>
      <c r="B1461" s="8" t="s">
        <v>943</v>
      </c>
      <c r="C1461" s="8" t="s">
        <v>1054</v>
      </c>
      <c r="D1461" s="8" t="s">
        <v>1055</v>
      </c>
      <c r="E1461" s="25">
        <v>1193.99</v>
      </c>
      <c r="F1461" s="25">
        <v>108.54</v>
      </c>
    </row>
    <row r="1462" spans="1:6" x14ac:dyDescent="0.25">
      <c r="A1462" s="8" t="s">
        <v>715</v>
      </c>
      <c r="B1462" s="8" t="s">
        <v>932</v>
      </c>
      <c r="C1462" s="8" t="s">
        <v>1056</v>
      </c>
      <c r="D1462" s="8" t="s">
        <v>993</v>
      </c>
      <c r="E1462" s="25">
        <v>2310</v>
      </c>
      <c r="F1462" s="25">
        <v>210</v>
      </c>
    </row>
    <row r="1463" spans="1:6" x14ac:dyDescent="0.25">
      <c r="A1463" s="8" t="s">
        <v>826</v>
      </c>
      <c r="B1463" s="8" t="s">
        <v>956</v>
      </c>
      <c r="C1463" s="8" t="s">
        <v>1057</v>
      </c>
      <c r="D1463" s="8" t="s">
        <v>1058</v>
      </c>
      <c r="E1463" s="25">
        <v>40</v>
      </c>
      <c r="F1463" s="25">
        <v>3.64</v>
      </c>
    </row>
    <row r="1464" spans="1:6" x14ac:dyDescent="0.25">
      <c r="A1464" s="8" t="s">
        <v>826</v>
      </c>
      <c r="B1464" s="8" t="s">
        <v>1013</v>
      </c>
      <c r="C1464" s="8" t="s">
        <v>1059</v>
      </c>
      <c r="D1464" s="8" t="s">
        <v>1060</v>
      </c>
      <c r="E1464" s="25">
        <v>241.03</v>
      </c>
      <c r="F1464" s="25">
        <v>21.91</v>
      </c>
    </row>
    <row r="1465" spans="1:6" x14ac:dyDescent="0.25">
      <c r="A1465" s="8" t="s">
        <v>826</v>
      </c>
      <c r="B1465" s="8" t="s">
        <v>1013</v>
      </c>
      <c r="C1465" s="8" t="s">
        <v>1059</v>
      </c>
      <c r="D1465" s="8" t="s">
        <v>1061</v>
      </c>
      <c r="E1465" s="25">
        <v>899.87</v>
      </c>
      <c r="F1465" s="25">
        <v>81.81</v>
      </c>
    </row>
    <row r="1466" spans="1:6" x14ac:dyDescent="0.25">
      <c r="A1466" s="8" t="s">
        <v>826</v>
      </c>
      <c r="B1466" s="8" t="s">
        <v>1013</v>
      </c>
      <c r="C1466" s="8" t="s">
        <v>1059</v>
      </c>
      <c r="D1466" s="8" t="s">
        <v>1062</v>
      </c>
      <c r="E1466" s="25">
        <v>1735.46</v>
      </c>
      <c r="F1466" s="25">
        <v>157.77000000000001</v>
      </c>
    </row>
    <row r="1467" spans="1:6" x14ac:dyDescent="0.25">
      <c r="A1467" s="8" t="s">
        <v>826</v>
      </c>
      <c r="B1467" s="8" t="s">
        <v>1013</v>
      </c>
      <c r="C1467" s="8" t="s">
        <v>1059</v>
      </c>
      <c r="D1467" s="8" t="s">
        <v>1063</v>
      </c>
      <c r="E1467" s="25">
        <v>1847.93</v>
      </c>
      <c r="F1467" s="25">
        <v>167.99</v>
      </c>
    </row>
    <row r="1468" spans="1:6" x14ac:dyDescent="0.25">
      <c r="A1468" s="8" t="s">
        <v>826</v>
      </c>
      <c r="B1468" s="8" t="s">
        <v>956</v>
      </c>
      <c r="C1468" s="8" t="s">
        <v>1064</v>
      </c>
      <c r="D1468" s="8" t="s">
        <v>1065</v>
      </c>
      <c r="E1468" s="25">
        <v>37.799999999999997</v>
      </c>
      <c r="F1468" s="25">
        <v>3.44</v>
      </c>
    </row>
    <row r="1469" spans="1:6" x14ac:dyDescent="0.25">
      <c r="A1469" s="8" t="s">
        <v>826</v>
      </c>
      <c r="B1469" s="8" t="s">
        <v>956</v>
      </c>
      <c r="C1469" s="8" t="s">
        <v>1066</v>
      </c>
      <c r="D1469" s="8" t="s">
        <v>1067</v>
      </c>
      <c r="E1469" s="25">
        <v>39.950000000000003</v>
      </c>
      <c r="F1469" s="25">
        <v>3.63</v>
      </c>
    </row>
    <row r="1470" spans="1:6" x14ac:dyDescent="0.25">
      <c r="A1470" s="8" t="s">
        <v>826</v>
      </c>
      <c r="B1470" s="8" t="s">
        <v>936</v>
      </c>
      <c r="C1470" s="8" t="s">
        <v>1068</v>
      </c>
      <c r="D1470" s="8" t="s">
        <v>938</v>
      </c>
      <c r="E1470" s="25">
        <v>573.79999999999995</v>
      </c>
      <c r="F1470" s="25">
        <v>52.16</v>
      </c>
    </row>
    <row r="1471" spans="1:6" x14ac:dyDescent="0.25">
      <c r="A1471" s="8" t="s">
        <v>826</v>
      </c>
      <c r="B1471" s="8" t="s">
        <v>956</v>
      </c>
      <c r="C1471" s="8" t="s">
        <v>1066</v>
      </c>
      <c r="D1471" s="8" t="s">
        <v>1069</v>
      </c>
      <c r="E1471" s="25">
        <v>39.799999999999997</v>
      </c>
      <c r="F1471" s="25">
        <v>3.62</v>
      </c>
    </row>
    <row r="1472" spans="1:6" x14ac:dyDescent="0.25">
      <c r="A1472" s="8" t="s">
        <v>826</v>
      </c>
      <c r="B1472" s="8" t="s">
        <v>956</v>
      </c>
      <c r="C1472" s="8" t="s">
        <v>1070</v>
      </c>
      <c r="D1472" s="8" t="s">
        <v>1071</v>
      </c>
      <c r="E1472" s="25">
        <v>36.28</v>
      </c>
      <c r="F1472" s="25">
        <v>3.3</v>
      </c>
    </row>
    <row r="1473" spans="1:6" x14ac:dyDescent="0.25">
      <c r="A1473" s="8" t="s">
        <v>826</v>
      </c>
      <c r="B1473" s="8" t="s">
        <v>956</v>
      </c>
      <c r="C1473" s="8" t="s">
        <v>1072</v>
      </c>
      <c r="D1473" s="8" t="s">
        <v>1073</v>
      </c>
      <c r="E1473" s="25">
        <v>37.24</v>
      </c>
      <c r="F1473" s="25">
        <v>3.39</v>
      </c>
    </row>
    <row r="1474" spans="1:6" x14ac:dyDescent="0.25">
      <c r="A1474" s="8" t="s">
        <v>826</v>
      </c>
      <c r="B1474" s="8" t="s">
        <v>1074</v>
      </c>
      <c r="C1474" s="8" t="s">
        <v>1075</v>
      </c>
      <c r="D1474" s="8" t="s">
        <v>1076</v>
      </c>
      <c r="E1474" s="25">
        <v>26878.98</v>
      </c>
      <c r="F1474" s="25">
        <v>2443.5500000000002</v>
      </c>
    </row>
    <row r="1475" spans="1:6" x14ac:dyDescent="0.25">
      <c r="A1475" s="8" t="s">
        <v>826</v>
      </c>
      <c r="B1475" s="8" t="s">
        <v>929</v>
      </c>
      <c r="C1475" s="8" t="s">
        <v>1077</v>
      </c>
      <c r="D1475" s="8" t="s">
        <v>931</v>
      </c>
      <c r="E1475" s="25">
        <v>51.39</v>
      </c>
      <c r="F1475" s="25">
        <v>4.67</v>
      </c>
    </row>
    <row r="1476" spans="1:6" x14ac:dyDescent="0.25">
      <c r="A1476" s="8" t="s">
        <v>826</v>
      </c>
      <c r="B1476" s="8" t="s">
        <v>956</v>
      </c>
      <c r="C1476" s="8" t="s">
        <v>1014</v>
      </c>
      <c r="D1476" s="8" t="s">
        <v>1078</v>
      </c>
      <c r="E1476" s="25">
        <v>56.39</v>
      </c>
      <c r="F1476" s="25">
        <v>5.13</v>
      </c>
    </row>
    <row r="1477" spans="1:6" x14ac:dyDescent="0.25">
      <c r="A1477" s="8" t="s">
        <v>826</v>
      </c>
      <c r="B1477" s="8" t="s">
        <v>943</v>
      </c>
      <c r="C1477" s="8" t="s">
        <v>1014</v>
      </c>
      <c r="D1477" s="8" t="s">
        <v>1079</v>
      </c>
      <c r="E1477" s="25">
        <v>372.4</v>
      </c>
      <c r="F1477" s="25">
        <v>33.85</v>
      </c>
    </row>
    <row r="1478" spans="1:6" x14ac:dyDescent="0.25">
      <c r="A1478" s="8" t="s">
        <v>826</v>
      </c>
      <c r="B1478" s="8" t="s">
        <v>929</v>
      </c>
      <c r="C1478" s="8" t="s">
        <v>1014</v>
      </c>
      <c r="D1478" s="8" t="s">
        <v>1017</v>
      </c>
      <c r="E1478" s="25">
        <v>72.03</v>
      </c>
      <c r="F1478" s="25">
        <v>6.55</v>
      </c>
    </row>
    <row r="1479" spans="1:6" x14ac:dyDescent="0.25">
      <c r="A1479" s="8" t="s">
        <v>826</v>
      </c>
      <c r="B1479" s="8" t="s">
        <v>1080</v>
      </c>
      <c r="C1479" s="8" t="s">
        <v>1014</v>
      </c>
      <c r="D1479" s="8" t="s">
        <v>1081</v>
      </c>
      <c r="E1479" s="25">
        <v>984.5</v>
      </c>
      <c r="F1479" s="25">
        <v>89.5</v>
      </c>
    </row>
    <row r="1480" spans="1:6" x14ac:dyDescent="0.25">
      <c r="A1480" s="8" t="s">
        <v>826</v>
      </c>
      <c r="B1480" s="8" t="s">
        <v>932</v>
      </c>
      <c r="C1480" s="8" t="s">
        <v>1014</v>
      </c>
      <c r="D1480" s="8" t="s">
        <v>1082</v>
      </c>
      <c r="E1480" s="25">
        <v>2329.09</v>
      </c>
      <c r="F1480" s="25">
        <v>211.74</v>
      </c>
    </row>
    <row r="1481" spans="1:6" x14ac:dyDescent="0.25">
      <c r="A1481" s="8" t="s">
        <v>826</v>
      </c>
      <c r="B1481" s="8" t="s">
        <v>1013</v>
      </c>
      <c r="C1481" s="8" t="s">
        <v>1014</v>
      </c>
      <c r="D1481" s="8" t="s">
        <v>1083</v>
      </c>
      <c r="E1481" s="25">
        <v>313.61</v>
      </c>
      <c r="F1481" s="25">
        <v>28.51</v>
      </c>
    </row>
    <row r="1482" spans="1:6" x14ac:dyDescent="0.25">
      <c r="A1482" s="8" t="s">
        <v>826</v>
      </c>
      <c r="B1482" s="8" t="s">
        <v>1074</v>
      </c>
      <c r="C1482" s="8" t="s">
        <v>1014</v>
      </c>
      <c r="D1482" s="8" t="s">
        <v>1084</v>
      </c>
      <c r="E1482" s="25">
        <v>319.89</v>
      </c>
      <c r="F1482" s="25">
        <v>29.08</v>
      </c>
    </row>
    <row r="1483" spans="1:6" x14ac:dyDescent="0.25">
      <c r="A1483" s="8" t="s">
        <v>833</v>
      </c>
      <c r="B1483" s="8" t="s">
        <v>939</v>
      </c>
      <c r="C1483" s="8" t="s">
        <v>1085</v>
      </c>
      <c r="D1483" s="8" t="s">
        <v>1086</v>
      </c>
      <c r="E1483" s="25">
        <v>16383.37</v>
      </c>
      <c r="F1483" s="25">
        <v>1489.4</v>
      </c>
    </row>
    <row r="1484" spans="1:6" x14ac:dyDescent="0.25">
      <c r="A1484" s="8" t="s">
        <v>1087</v>
      </c>
      <c r="B1484" s="8" t="s">
        <v>947</v>
      </c>
      <c r="C1484" s="8" t="s">
        <v>70</v>
      </c>
      <c r="D1484" s="8" t="s">
        <v>948</v>
      </c>
      <c r="E1484" s="25">
        <v>136.41999999999999</v>
      </c>
      <c r="F1484" s="25">
        <v>12.4</v>
      </c>
    </row>
    <row r="1485" spans="1:6" x14ac:dyDescent="0.25">
      <c r="A1485" s="8" t="s">
        <v>1087</v>
      </c>
      <c r="B1485" s="8" t="s">
        <v>936</v>
      </c>
      <c r="C1485" s="8" t="s">
        <v>1088</v>
      </c>
      <c r="D1485" s="8" t="s">
        <v>1089</v>
      </c>
      <c r="E1485" s="25">
        <v>2524.5</v>
      </c>
      <c r="F1485" s="25">
        <v>229.5</v>
      </c>
    </row>
    <row r="1486" spans="1:6" x14ac:dyDescent="0.25">
      <c r="A1486" s="8" t="s">
        <v>1090</v>
      </c>
      <c r="B1486" s="8" t="s">
        <v>985</v>
      </c>
      <c r="C1486" s="8" t="s">
        <v>1091</v>
      </c>
      <c r="D1486" s="8" t="s">
        <v>1092</v>
      </c>
      <c r="E1486" s="25">
        <v>165</v>
      </c>
      <c r="F1486" s="25">
        <v>15</v>
      </c>
    </row>
    <row r="1487" spans="1:6" x14ac:dyDescent="0.25">
      <c r="A1487" s="8" t="s">
        <v>1090</v>
      </c>
      <c r="B1487" s="8" t="s">
        <v>985</v>
      </c>
      <c r="C1487" s="8" t="s">
        <v>1091</v>
      </c>
      <c r="D1487" s="8" t="s">
        <v>1093</v>
      </c>
      <c r="E1487" s="25">
        <v>605</v>
      </c>
      <c r="F1487" s="25">
        <v>55</v>
      </c>
    </row>
    <row r="1488" spans="1:6" x14ac:dyDescent="0.25">
      <c r="A1488" s="8" t="s">
        <v>1090</v>
      </c>
      <c r="B1488" s="8" t="s">
        <v>1018</v>
      </c>
      <c r="C1488" s="8" t="s">
        <v>70</v>
      </c>
      <c r="D1488" s="8" t="s">
        <v>1094</v>
      </c>
      <c r="E1488" s="25">
        <v>15.95</v>
      </c>
      <c r="F1488" s="25">
        <v>1.45</v>
      </c>
    </row>
    <row r="1489" spans="1:6" x14ac:dyDescent="0.25">
      <c r="A1489" s="8" t="s">
        <v>1095</v>
      </c>
      <c r="B1489" s="8" t="s">
        <v>950</v>
      </c>
      <c r="C1489" s="8" t="s">
        <v>1096</v>
      </c>
      <c r="D1489" s="8" t="s">
        <v>952</v>
      </c>
      <c r="E1489" s="25">
        <v>8333.33</v>
      </c>
      <c r="F1489" s="25">
        <v>757.58</v>
      </c>
    </row>
    <row r="1490" spans="1:6" x14ac:dyDescent="0.25">
      <c r="A1490" s="8" t="s">
        <v>1095</v>
      </c>
      <c r="B1490" s="8" t="s">
        <v>956</v>
      </c>
      <c r="C1490" s="8" t="s">
        <v>1025</v>
      </c>
      <c r="D1490" s="8" t="s">
        <v>1004</v>
      </c>
      <c r="E1490" s="25">
        <v>40</v>
      </c>
      <c r="F1490" s="25">
        <v>3.64</v>
      </c>
    </row>
    <row r="1491" spans="1:6" x14ac:dyDescent="0.25">
      <c r="A1491" s="8" t="s">
        <v>1097</v>
      </c>
      <c r="B1491" s="8" t="s">
        <v>956</v>
      </c>
      <c r="C1491" s="8" t="s">
        <v>957</v>
      </c>
      <c r="D1491" s="8" t="s">
        <v>1020</v>
      </c>
      <c r="E1491" s="25">
        <v>39</v>
      </c>
      <c r="F1491" s="25">
        <v>3.55</v>
      </c>
    </row>
    <row r="1492" spans="1:6" x14ac:dyDescent="0.25">
      <c r="A1492" s="8" t="s">
        <v>1097</v>
      </c>
      <c r="B1492" s="8" t="s">
        <v>956</v>
      </c>
      <c r="C1492" s="8" t="s">
        <v>957</v>
      </c>
      <c r="D1492" s="8" t="s">
        <v>1023</v>
      </c>
      <c r="E1492" s="25">
        <v>38.92</v>
      </c>
      <c r="F1492" s="25">
        <v>3.54</v>
      </c>
    </row>
    <row r="1493" spans="1:6" x14ac:dyDescent="0.25">
      <c r="A1493" s="8" t="s">
        <v>1097</v>
      </c>
      <c r="B1493" s="8" t="s">
        <v>956</v>
      </c>
      <c r="C1493" s="8" t="s">
        <v>957</v>
      </c>
      <c r="D1493" s="8" t="s">
        <v>960</v>
      </c>
      <c r="E1493" s="25">
        <v>39.950000000000003</v>
      </c>
      <c r="F1493" s="25">
        <v>3.63</v>
      </c>
    </row>
    <row r="1494" spans="1:6" x14ac:dyDescent="0.25">
      <c r="A1494" s="8" t="s">
        <v>1097</v>
      </c>
      <c r="B1494" s="8" t="s">
        <v>956</v>
      </c>
      <c r="C1494" s="8" t="s">
        <v>957</v>
      </c>
      <c r="D1494" s="8" t="s">
        <v>1007</v>
      </c>
      <c r="E1494" s="25">
        <v>40</v>
      </c>
      <c r="F1494" s="25">
        <v>3.64</v>
      </c>
    </row>
    <row r="1495" spans="1:6" x14ac:dyDescent="0.25">
      <c r="A1495" s="8" t="s">
        <v>1097</v>
      </c>
      <c r="B1495" s="8" t="s">
        <v>936</v>
      </c>
      <c r="C1495" s="8" t="s">
        <v>1098</v>
      </c>
      <c r="D1495" s="8" t="s">
        <v>970</v>
      </c>
      <c r="E1495" s="25">
        <v>2431.5700000000002</v>
      </c>
      <c r="F1495" s="25">
        <v>221.05</v>
      </c>
    </row>
    <row r="1496" spans="1:6" x14ac:dyDescent="0.25">
      <c r="A1496" s="8" t="s">
        <v>1099</v>
      </c>
      <c r="B1496" s="8" t="s">
        <v>953</v>
      </c>
      <c r="C1496" s="8" t="s">
        <v>1100</v>
      </c>
      <c r="D1496" s="8" t="s">
        <v>1101</v>
      </c>
      <c r="E1496" s="25">
        <v>32.4</v>
      </c>
      <c r="F1496" s="25">
        <v>2.95</v>
      </c>
    </row>
    <row r="1497" spans="1:6" x14ac:dyDescent="0.25">
      <c r="A1497" s="8" t="s">
        <v>1099</v>
      </c>
      <c r="B1497" s="8" t="s">
        <v>936</v>
      </c>
      <c r="C1497" s="8" t="s">
        <v>1102</v>
      </c>
      <c r="D1497" s="8" t="s">
        <v>1103</v>
      </c>
      <c r="E1497" s="25">
        <v>2613.6</v>
      </c>
      <c r="F1497" s="25">
        <v>237.6</v>
      </c>
    </row>
    <row r="1498" spans="1:6" x14ac:dyDescent="0.25">
      <c r="A1498" s="8" t="s">
        <v>1099</v>
      </c>
      <c r="B1498" s="8" t="s">
        <v>953</v>
      </c>
      <c r="C1498" s="8" t="s">
        <v>1104</v>
      </c>
      <c r="D1498" s="8" t="s">
        <v>1105</v>
      </c>
      <c r="E1498" s="25">
        <v>249.08</v>
      </c>
      <c r="F1498" s="25">
        <v>22.64</v>
      </c>
    </row>
    <row r="1499" spans="1:6" x14ac:dyDescent="0.25">
      <c r="A1499" s="8" t="s">
        <v>1099</v>
      </c>
      <c r="B1499" s="8" t="s">
        <v>953</v>
      </c>
      <c r="C1499" s="8" t="s">
        <v>1104</v>
      </c>
      <c r="D1499" s="8" t="s">
        <v>1106</v>
      </c>
      <c r="E1499" s="25">
        <v>80</v>
      </c>
      <c r="F1499" s="25">
        <v>7.27</v>
      </c>
    </row>
    <row r="1500" spans="1:6" x14ac:dyDescent="0.25">
      <c r="A1500" s="8" t="s">
        <v>1099</v>
      </c>
      <c r="B1500" s="8" t="s">
        <v>953</v>
      </c>
      <c r="C1500" s="8" t="s">
        <v>1104</v>
      </c>
      <c r="D1500" s="8" t="s">
        <v>1107</v>
      </c>
      <c r="E1500" s="25">
        <v>306.92</v>
      </c>
      <c r="F1500" s="25">
        <v>27.9</v>
      </c>
    </row>
    <row r="1501" spans="1:6" x14ac:dyDescent="0.25">
      <c r="A1501" s="8" t="s">
        <v>1099</v>
      </c>
      <c r="B1501" s="8" t="s">
        <v>947</v>
      </c>
      <c r="C1501" s="8" t="s">
        <v>70</v>
      </c>
      <c r="D1501" s="8" t="s">
        <v>948</v>
      </c>
      <c r="E1501" s="25">
        <v>12.74</v>
      </c>
      <c r="F1501" s="25">
        <v>1.1599999999999999</v>
      </c>
    </row>
    <row r="1502" spans="1:6" x14ac:dyDescent="0.25">
      <c r="A1502" s="8" t="s">
        <v>1099</v>
      </c>
      <c r="B1502" s="8" t="s">
        <v>1074</v>
      </c>
      <c r="C1502" s="8" t="s">
        <v>1108</v>
      </c>
      <c r="D1502" s="8" t="s">
        <v>1109</v>
      </c>
      <c r="E1502" s="25">
        <v>50.94</v>
      </c>
      <c r="F1502" s="25">
        <v>4.63</v>
      </c>
    </row>
    <row r="1503" spans="1:6" x14ac:dyDescent="0.25">
      <c r="A1503" s="8" t="s">
        <v>1099</v>
      </c>
      <c r="B1503" s="8" t="s">
        <v>1013</v>
      </c>
      <c r="C1503" s="8" t="s">
        <v>1108</v>
      </c>
      <c r="D1503" s="8" t="s">
        <v>1110</v>
      </c>
      <c r="E1503" s="25">
        <v>622.76</v>
      </c>
      <c r="F1503" s="25">
        <v>56.61</v>
      </c>
    </row>
    <row r="1504" spans="1:6" x14ac:dyDescent="0.25">
      <c r="A1504" s="8" t="s">
        <v>1099</v>
      </c>
      <c r="B1504" s="8" t="s">
        <v>943</v>
      </c>
      <c r="C1504" s="8" t="s">
        <v>1108</v>
      </c>
      <c r="D1504" s="8" t="s">
        <v>1111</v>
      </c>
      <c r="E1504" s="25">
        <v>185.68</v>
      </c>
      <c r="F1504" s="25">
        <v>16.88</v>
      </c>
    </row>
    <row r="1505" spans="1:6" x14ac:dyDescent="0.25">
      <c r="A1505" s="8" t="s">
        <v>1099</v>
      </c>
      <c r="B1505" s="8" t="s">
        <v>953</v>
      </c>
      <c r="C1505" s="8" t="s">
        <v>1108</v>
      </c>
      <c r="D1505" s="8" t="s">
        <v>1112</v>
      </c>
      <c r="E1505" s="25">
        <v>143.22999999999999</v>
      </c>
      <c r="F1505" s="25">
        <v>13.02</v>
      </c>
    </row>
    <row r="1506" spans="1:6" x14ac:dyDescent="0.25">
      <c r="A1506" s="8" t="s">
        <v>1099</v>
      </c>
      <c r="B1506" s="8" t="s">
        <v>953</v>
      </c>
      <c r="C1506" s="8" t="s">
        <v>1108</v>
      </c>
      <c r="D1506" s="8" t="s">
        <v>1113</v>
      </c>
      <c r="E1506" s="25">
        <v>329.51</v>
      </c>
      <c r="F1506" s="25">
        <v>29.96</v>
      </c>
    </row>
    <row r="1507" spans="1:6" x14ac:dyDescent="0.25">
      <c r="A1507" s="8" t="s">
        <v>841</v>
      </c>
      <c r="B1507" s="8" t="s">
        <v>956</v>
      </c>
      <c r="C1507" s="8" t="s">
        <v>957</v>
      </c>
      <c r="D1507" s="8" t="s">
        <v>1114</v>
      </c>
      <c r="E1507" s="25">
        <v>40</v>
      </c>
      <c r="F1507" s="25">
        <v>3.64</v>
      </c>
    </row>
    <row r="1508" spans="1:6" x14ac:dyDescent="0.25">
      <c r="A1508" s="8" t="s">
        <v>841</v>
      </c>
      <c r="B1508" s="8" t="s">
        <v>956</v>
      </c>
      <c r="C1508" s="8" t="s">
        <v>967</v>
      </c>
      <c r="D1508" s="8" t="s">
        <v>1115</v>
      </c>
      <c r="E1508" s="25">
        <v>24.3</v>
      </c>
      <c r="F1508" s="25">
        <v>2.21</v>
      </c>
    </row>
    <row r="1509" spans="1:6" x14ac:dyDescent="0.25">
      <c r="A1509" s="8" t="s">
        <v>841</v>
      </c>
      <c r="B1509" s="8" t="s">
        <v>953</v>
      </c>
      <c r="C1509" s="8" t="s">
        <v>967</v>
      </c>
      <c r="D1509" s="8" t="s">
        <v>1116</v>
      </c>
      <c r="E1509" s="25">
        <v>68.09</v>
      </c>
      <c r="F1509" s="25">
        <v>6.19</v>
      </c>
    </row>
    <row r="1510" spans="1:6" x14ac:dyDescent="0.25">
      <c r="A1510" s="8" t="s">
        <v>849</v>
      </c>
      <c r="B1510" s="8" t="s">
        <v>975</v>
      </c>
      <c r="C1510" s="8" t="s">
        <v>1117</v>
      </c>
      <c r="D1510" s="8" t="s">
        <v>1118</v>
      </c>
      <c r="E1510" s="25">
        <v>71.5</v>
      </c>
      <c r="F1510" s="25">
        <v>6.5</v>
      </c>
    </row>
    <row r="1511" spans="1:6" x14ac:dyDescent="0.25">
      <c r="A1511" s="8" t="s">
        <v>854</v>
      </c>
      <c r="B1511" s="8" t="s">
        <v>137</v>
      </c>
      <c r="C1511" s="8" t="s">
        <v>1119</v>
      </c>
      <c r="D1511" s="8" t="s">
        <v>1120</v>
      </c>
      <c r="E1511" s="25">
        <v>-187</v>
      </c>
      <c r="F1511" s="25">
        <v>-17</v>
      </c>
    </row>
    <row r="1512" spans="1:6" x14ac:dyDescent="0.25">
      <c r="A1512" s="8" t="s">
        <v>856</v>
      </c>
      <c r="B1512" s="8" t="s">
        <v>947</v>
      </c>
      <c r="C1512" s="8" t="s">
        <v>70</v>
      </c>
      <c r="D1512" s="8" t="s">
        <v>948</v>
      </c>
      <c r="E1512" s="25">
        <v>27.12</v>
      </c>
      <c r="F1512" s="25">
        <v>2.4700000000000002</v>
      </c>
    </row>
    <row r="1513" spans="1:6" x14ac:dyDescent="0.25">
      <c r="A1513" s="8" t="s">
        <v>1121</v>
      </c>
      <c r="B1513" s="8" t="s">
        <v>950</v>
      </c>
      <c r="C1513" s="8" t="s">
        <v>1122</v>
      </c>
      <c r="D1513" s="8" t="s">
        <v>974</v>
      </c>
      <c r="E1513" s="25">
        <v>8333.33</v>
      </c>
      <c r="F1513" s="25">
        <v>757.58</v>
      </c>
    </row>
    <row r="1514" spans="1:6" x14ac:dyDescent="0.25">
      <c r="A1514" s="8" t="s">
        <v>1123</v>
      </c>
      <c r="B1514" s="8" t="s">
        <v>956</v>
      </c>
      <c r="C1514" s="8" t="s">
        <v>957</v>
      </c>
      <c r="D1514" s="8" t="s">
        <v>1020</v>
      </c>
      <c r="E1514" s="25">
        <v>40</v>
      </c>
      <c r="F1514" s="25">
        <v>3.64</v>
      </c>
    </row>
    <row r="1515" spans="1:6" x14ac:dyDescent="0.25">
      <c r="A1515" s="8" t="s">
        <v>1123</v>
      </c>
      <c r="B1515" s="8" t="s">
        <v>956</v>
      </c>
      <c r="C1515" s="8" t="s">
        <v>957</v>
      </c>
      <c r="D1515" s="8" t="s">
        <v>1124</v>
      </c>
      <c r="E1515" s="25">
        <v>40</v>
      </c>
      <c r="F1515" s="25">
        <v>3.64</v>
      </c>
    </row>
    <row r="1516" spans="1:6" x14ac:dyDescent="0.25">
      <c r="A1516" s="8" t="s">
        <v>862</v>
      </c>
      <c r="B1516" s="8" t="s">
        <v>953</v>
      </c>
      <c r="C1516" s="8" t="s">
        <v>1125</v>
      </c>
      <c r="D1516" s="8" t="s">
        <v>1126</v>
      </c>
      <c r="E1516" s="25">
        <v>105.7</v>
      </c>
      <c r="F1516" s="25">
        <v>9.61</v>
      </c>
    </row>
    <row r="1517" spans="1:6" x14ac:dyDescent="0.25">
      <c r="A1517" s="8" t="s">
        <v>862</v>
      </c>
      <c r="B1517" s="8" t="s">
        <v>1074</v>
      </c>
      <c r="C1517" s="8" t="s">
        <v>70</v>
      </c>
      <c r="D1517" s="8" t="s">
        <v>1127</v>
      </c>
      <c r="E1517" s="25">
        <v>310.75</v>
      </c>
      <c r="F1517" s="25">
        <v>28.25</v>
      </c>
    </row>
    <row r="1518" spans="1:6" x14ac:dyDescent="0.25">
      <c r="A1518" s="8" t="s">
        <v>862</v>
      </c>
      <c r="B1518" s="8" t="s">
        <v>956</v>
      </c>
      <c r="C1518" s="8" t="s">
        <v>957</v>
      </c>
      <c r="D1518" s="8" t="s">
        <v>1128</v>
      </c>
      <c r="E1518" s="25">
        <v>38.950000000000003</v>
      </c>
      <c r="F1518" s="25">
        <v>3.54</v>
      </c>
    </row>
    <row r="1519" spans="1:6" x14ac:dyDescent="0.25">
      <c r="A1519" s="8" t="s">
        <v>1129</v>
      </c>
      <c r="B1519" s="8" t="s">
        <v>956</v>
      </c>
      <c r="C1519" s="8" t="s">
        <v>957</v>
      </c>
      <c r="D1519" s="8" t="s">
        <v>1007</v>
      </c>
      <c r="E1519" s="25">
        <v>40</v>
      </c>
      <c r="F1519" s="25">
        <v>3.64</v>
      </c>
    </row>
    <row r="1520" spans="1:6" x14ac:dyDescent="0.25">
      <c r="A1520" s="8" t="s">
        <v>1129</v>
      </c>
      <c r="B1520" s="8" t="s">
        <v>956</v>
      </c>
      <c r="C1520" s="8" t="s">
        <v>957</v>
      </c>
      <c r="D1520" s="8" t="s">
        <v>1130</v>
      </c>
      <c r="E1520" s="25">
        <v>15.9</v>
      </c>
      <c r="F1520" s="25">
        <v>1.45</v>
      </c>
    </row>
    <row r="1521" spans="1:6" x14ac:dyDescent="0.25">
      <c r="A1521" s="8" t="s">
        <v>1129</v>
      </c>
      <c r="B1521" s="8" t="s">
        <v>956</v>
      </c>
      <c r="C1521" s="8" t="s">
        <v>957</v>
      </c>
      <c r="D1521" s="8" t="s">
        <v>1023</v>
      </c>
      <c r="E1521" s="25">
        <v>42.28</v>
      </c>
      <c r="F1521" s="25">
        <v>3.84</v>
      </c>
    </row>
    <row r="1522" spans="1:6" x14ac:dyDescent="0.25">
      <c r="A1522" s="8" t="s">
        <v>1129</v>
      </c>
      <c r="B1522" s="8" t="s">
        <v>956</v>
      </c>
      <c r="C1522" s="8" t="s">
        <v>957</v>
      </c>
      <c r="D1522" s="8" t="s">
        <v>1131</v>
      </c>
      <c r="E1522" s="25">
        <v>36.64</v>
      </c>
      <c r="F1522" s="25">
        <v>3.33</v>
      </c>
    </row>
    <row r="1523" spans="1:6" x14ac:dyDescent="0.25">
      <c r="A1523" s="8" t="s">
        <v>1129</v>
      </c>
      <c r="B1523" s="8" t="s">
        <v>932</v>
      </c>
      <c r="C1523" s="8" t="s">
        <v>1014</v>
      </c>
      <c r="D1523" s="8" t="s">
        <v>1132</v>
      </c>
      <c r="E1523" s="25">
        <v>19.37</v>
      </c>
      <c r="F1523" s="25">
        <v>1.76</v>
      </c>
    </row>
    <row r="1524" spans="1:6" x14ac:dyDescent="0.25">
      <c r="A1524" s="8" t="s">
        <v>1129</v>
      </c>
      <c r="B1524" s="8" t="s">
        <v>1013</v>
      </c>
      <c r="C1524" s="8" t="s">
        <v>1014</v>
      </c>
      <c r="D1524" s="8" t="s">
        <v>1133</v>
      </c>
      <c r="E1524" s="25">
        <v>225.92</v>
      </c>
      <c r="F1524" s="25">
        <v>20.54</v>
      </c>
    </row>
    <row r="1525" spans="1:6" x14ac:dyDescent="0.25">
      <c r="A1525" s="8" t="s">
        <v>1129</v>
      </c>
      <c r="B1525" s="8" t="s">
        <v>953</v>
      </c>
      <c r="C1525" s="8" t="s">
        <v>1014</v>
      </c>
      <c r="D1525" s="8" t="s">
        <v>1134</v>
      </c>
      <c r="E1525" s="25">
        <v>88.05</v>
      </c>
      <c r="F1525" s="25">
        <v>8</v>
      </c>
    </row>
    <row r="1526" spans="1:6" x14ac:dyDescent="0.25">
      <c r="A1526" s="8" t="s">
        <v>1129</v>
      </c>
      <c r="B1526" s="8" t="s">
        <v>1080</v>
      </c>
      <c r="C1526" s="8" t="s">
        <v>1014</v>
      </c>
      <c r="D1526" s="8" t="s">
        <v>1135</v>
      </c>
      <c r="E1526" s="25">
        <v>1589.5</v>
      </c>
      <c r="F1526" s="25">
        <v>144.5</v>
      </c>
    </row>
    <row r="1527" spans="1:6" x14ac:dyDescent="0.25">
      <c r="A1527" s="8" t="s">
        <v>876</v>
      </c>
      <c r="B1527" s="8" t="s">
        <v>985</v>
      </c>
      <c r="C1527" s="8" t="s">
        <v>1136</v>
      </c>
      <c r="D1527" s="8" t="s">
        <v>987</v>
      </c>
      <c r="E1527" s="25">
        <v>165</v>
      </c>
      <c r="F1527" s="25">
        <v>15</v>
      </c>
    </row>
    <row r="1528" spans="1:6" x14ac:dyDescent="0.25">
      <c r="A1528" s="8" t="s">
        <v>876</v>
      </c>
      <c r="B1528" s="8" t="s">
        <v>985</v>
      </c>
      <c r="C1528" s="8" t="s">
        <v>1136</v>
      </c>
      <c r="D1528" s="8" t="s">
        <v>988</v>
      </c>
      <c r="E1528" s="25">
        <v>605</v>
      </c>
      <c r="F1528" s="25">
        <v>55</v>
      </c>
    </row>
    <row r="1529" spans="1:6" x14ac:dyDescent="0.25">
      <c r="A1529" s="8" t="s">
        <v>876</v>
      </c>
      <c r="B1529" s="8" t="s">
        <v>956</v>
      </c>
      <c r="C1529" s="8" t="s">
        <v>957</v>
      </c>
      <c r="D1529" s="8" t="s">
        <v>958</v>
      </c>
      <c r="E1529" s="25">
        <v>27.83</v>
      </c>
      <c r="F1529" s="25">
        <v>2.5299999999999998</v>
      </c>
    </row>
    <row r="1530" spans="1:6" x14ac:dyDescent="0.25">
      <c r="A1530" s="8" t="s">
        <v>876</v>
      </c>
      <c r="B1530" s="8" t="s">
        <v>1018</v>
      </c>
      <c r="C1530" s="8" t="s">
        <v>70</v>
      </c>
      <c r="D1530" s="8" t="s">
        <v>1137</v>
      </c>
      <c r="E1530" s="25">
        <v>362.34</v>
      </c>
      <c r="F1530" s="25">
        <v>32.94</v>
      </c>
    </row>
    <row r="1531" spans="1:6" x14ac:dyDescent="0.25">
      <c r="A1531" s="8" t="s">
        <v>882</v>
      </c>
      <c r="B1531" s="8" t="s">
        <v>932</v>
      </c>
      <c r="C1531" s="8" t="s">
        <v>1138</v>
      </c>
      <c r="D1531" s="8" t="s">
        <v>1139</v>
      </c>
      <c r="E1531" s="25">
        <v>1886.5</v>
      </c>
      <c r="F1531" s="25">
        <v>171.5</v>
      </c>
    </row>
    <row r="1532" spans="1:6" x14ac:dyDescent="0.25">
      <c r="A1532" s="8" t="s">
        <v>882</v>
      </c>
      <c r="B1532" s="8" t="s">
        <v>1018</v>
      </c>
      <c r="C1532" s="8" t="s">
        <v>70</v>
      </c>
      <c r="D1532" s="8" t="s">
        <v>1137</v>
      </c>
      <c r="E1532" s="25">
        <v>154.44</v>
      </c>
      <c r="F1532" s="25">
        <v>14.04</v>
      </c>
    </row>
    <row r="1533" spans="1:6" x14ac:dyDescent="0.25">
      <c r="A1533" s="8" t="s">
        <v>882</v>
      </c>
      <c r="B1533" s="8" t="s">
        <v>932</v>
      </c>
      <c r="C1533" s="8" t="s">
        <v>1140</v>
      </c>
      <c r="D1533" s="8" t="s">
        <v>1139</v>
      </c>
      <c r="E1533" s="25">
        <v>808.5</v>
      </c>
      <c r="F1533" s="25">
        <v>73.5</v>
      </c>
    </row>
    <row r="1534" spans="1:6" x14ac:dyDescent="0.25">
      <c r="A1534" s="8" t="s">
        <v>882</v>
      </c>
      <c r="B1534" s="8" t="s">
        <v>1141</v>
      </c>
      <c r="C1534" s="8" t="s">
        <v>1142</v>
      </c>
      <c r="D1534" s="8" t="s">
        <v>1143</v>
      </c>
      <c r="E1534" s="25">
        <v>5797</v>
      </c>
      <c r="F1534" s="25">
        <v>527</v>
      </c>
    </row>
    <row r="1536" spans="1:6" x14ac:dyDescent="0.25">
      <c r="A1536" s="220" t="s">
        <v>1144</v>
      </c>
    </row>
    <row r="1537" spans="1:6" x14ac:dyDescent="0.25">
      <c r="A1537" s="8" t="s">
        <v>1145</v>
      </c>
      <c r="B1537" s="8" t="s">
        <v>953</v>
      </c>
      <c r="C1537" s="8" t="s">
        <v>70</v>
      </c>
      <c r="D1537" s="8" t="s">
        <v>1146</v>
      </c>
      <c r="E1537" s="25">
        <v>1944.9</v>
      </c>
      <c r="F1537" s="25">
        <v>176.81</v>
      </c>
    </row>
    <row r="1538" spans="1:6" x14ac:dyDescent="0.25">
      <c r="A1538" s="8" t="s">
        <v>1145</v>
      </c>
      <c r="B1538" s="8" t="s">
        <v>929</v>
      </c>
      <c r="C1538" s="8" t="s">
        <v>70</v>
      </c>
      <c r="D1538" s="8" t="s">
        <v>1147</v>
      </c>
      <c r="E1538" s="25">
        <v>144.06</v>
      </c>
      <c r="F1538" s="25">
        <v>13.1</v>
      </c>
    </row>
    <row r="1539" spans="1:6" x14ac:dyDescent="0.25">
      <c r="A1539" s="8" t="s">
        <v>1145</v>
      </c>
      <c r="B1539" s="8" t="s">
        <v>1013</v>
      </c>
      <c r="C1539" s="8" t="s">
        <v>70</v>
      </c>
      <c r="D1539" s="8" t="s">
        <v>1148</v>
      </c>
      <c r="E1539" s="25">
        <v>849.12</v>
      </c>
      <c r="F1539" s="25">
        <v>77.19</v>
      </c>
    </row>
    <row r="1540" spans="1:6" x14ac:dyDescent="0.25">
      <c r="A1540" s="8" t="s">
        <v>1145</v>
      </c>
      <c r="B1540" s="8" t="s">
        <v>953</v>
      </c>
      <c r="C1540" s="8" t="s">
        <v>70</v>
      </c>
      <c r="D1540" s="8" t="s">
        <v>1149</v>
      </c>
      <c r="E1540" s="25">
        <v>22.16</v>
      </c>
      <c r="F1540" s="25">
        <v>2.0099999999999998</v>
      </c>
    </row>
    <row r="1541" spans="1:6" x14ac:dyDescent="0.25">
      <c r="A1541" s="8" t="s">
        <v>1145</v>
      </c>
      <c r="B1541" s="8" t="s">
        <v>1018</v>
      </c>
      <c r="C1541" s="8" t="s">
        <v>70</v>
      </c>
      <c r="D1541" s="8" t="s">
        <v>1150</v>
      </c>
      <c r="E1541" s="25">
        <v>100.32</v>
      </c>
      <c r="F1541" s="25">
        <v>9.1199999999999992</v>
      </c>
    </row>
    <row r="1542" spans="1:6" x14ac:dyDescent="0.25">
      <c r="A1542" s="8" t="s">
        <v>1145</v>
      </c>
      <c r="B1542" s="8" t="s">
        <v>1013</v>
      </c>
      <c r="C1542" s="8" t="s">
        <v>70</v>
      </c>
      <c r="D1542" s="8" t="s">
        <v>1151</v>
      </c>
      <c r="E1542" s="25">
        <v>1837.46</v>
      </c>
      <c r="F1542" s="25">
        <v>167.04</v>
      </c>
    </row>
    <row r="1543" spans="1:6" x14ac:dyDescent="0.25">
      <c r="A1543" s="8" t="s">
        <v>1145</v>
      </c>
      <c r="B1543" s="8" t="s">
        <v>1074</v>
      </c>
      <c r="C1543" s="8" t="s">
        <v>70</v>
      </c>
      <c r="D1543" s="8" t="s">
        <v>1152</v>
      </c>
      <c r="E1543" s="25">
        <v>319.08999999999997</v>
      </c>
      <c r="F1543" s="25">
        <v>29.01</v>
      </c>
    </row>
    <row r="1544" spans="1:6" x14ac:dyDescent="0.25">
      <c r="A1544" s="8" t="s">
        <v>1145</v>
      </c>
      <c r="B1544" s="8" t="s">
        <v>932</v>
      </c>
      <c r="C1544" s="8" t="s">
        <v>70</v>
      </c>
      <c r="D1544" s="8" t="s">
        <v>1153</v>
      </c>
      <c r="E1544" s="25">
        <v>352.89</v>
      </c>
      <c r="F1544" s="25">
        <v>32.08</v>
      </c>
    </row>
    <row r="1545" spans="1:6" x14ac:dyDescent="0.25">
      <c r="A1545" s="8" t="s">
        <v>1145</v>
      </c>
      <c r="B1545" s="8" t="s">
        <v>932</v>
      </c>
      <c r="C1545" s="8" t="s">
        <v>70</v>
      </c>
      <c r="D1545" s="8" t="s">
        <v>1154</v>
      </c>
      <c r="E1545" s="25">
        <v>44.88</v>
      </c>
      <c r="F1545" s="25">
        <v>4.08</v>
      </c>
    </row>
    <row r="1546" spans="1:6" x14ac:dyDescent="0.25">
      <c r="A1546" s="8" t="s">
        <v>1145</v>
      </c>
      <c r="B1546" s="8" t="s">
        <v>956</v>
      </c>
      <c r="C1546" s="8" t="s">
        <v>70</v>
      </c>
      <c r="D1546" s="8" t="s">
        <v>1155</v>
      </c>
      <c r="E1546" s="25">
        <v>-1944.9</v>
      </c>
      <c r="F1546" s="25">
        <v>-176.81</v>
      </c>
    </row>
    <row r="1547" spans="1:6" x14ac:dyDescent="0.25">
      <c r="A1547" s="8" t="s">
        <v>1145</v>
      </c>
      <c r="B1547" s="8" t="s">
        <v>929</v>
      </c>
      <c r="C1547" s="8" t="s">
        <v>70</v>
      </c>
      <c r="D1547" s="8" t="s">
        <v>1156</v>
      </c>
      <c r="E1547" s="25">
        <v>-144.06</v>
      </c>
      <c r="F1547" s="25">
        <v>-13.1</v>
      </c>
    </row>
    <row r="1548" spans="1:6" x14ac:dyDescent="0.25">
      <c r="A1548" s="8" t="s">
        <v>1145</v>
      </c>
      <c r="B1548" s="8" t="s">
        <v>1013</v>
      </c>
      <c r="C1548" s="8" t="s">
        <v>70</v>
      </c>
      <c r="D1548" s="8" t="s">
        <v>1157</v>
      </c>
      <c r="E1548" s="25">
        <v>-1168.21</v>
      </c>
      <c r="F1548" s="25">
        <v>-106.2</v>
      </c>
    </row>
    <row r="1549" spans="1:6" x14ac:dyDescent="0.25">
      <c r="A1549" s="8" t="s">
        <v>1145</v>
      </c>
      <c r="B1549" s="8" t="s">
        <v>953</v>
      </c>
      <c r="C1549" s="8" t="s">
        <v>70</v>
      </c>
      <c r="D1549" s="8" t="s">
        <v>1158</v>
      </c>
      <c r="E1549" s="25">
        <v>-22.16</v>
      </c>
      <c r="F1549" s="25">
        <v>-2.0099999999999998</v>
      </c>
    </row>
    <row r="1550" spans="1:6" x14ac:dyDescent="0.25">
      <c r="A1550" s="8" t="s">
        <v>1145</v>
      </c>
      <c r="B1550" s="8" t="s">
        <v>1018</v>
      </c>
      <c r="C1550" s="8" t="s">
        <v>70</v>
      </c>
      <c r="D1550" s="8" t="s">
        <v>1159</v>
      </c>
      <c r="E1550" s="25">
        <v>-100.32</v>
      </c>
      <c r="F1550" s="25">
        <v>-9.1199999999999992</v>
      </c>
    </row>
    <row r="1551" spans="1:6" x14ac:dyDescent="0.25">
      <c r="A1551" s="8" t="s">
        <v>1145</v>
      </c>
      <c r="B1551" s="8" t="s">
        <v>1013</v>
      </c>
      <c r="C1551" s="8" t="s">
        <v>70</v>
      </c>
      <c r="D1551" s="8" t="s">
        <v>1160</v>
      </c>
      <c r="E1551" s="25">
        <v>-2235.23</v>
      </c>
      <c r="F1551" s="25">
        <v>-203.2</v>
      </c>
    </row>
    <row r="1553" spans="1:6" x14ac:dyDescent="0.25">
      <c r="A1553" s="220" t="s">
        <v>1162</v>
      </c>
    </row>
    <row r="1554" spans="1:6" x14ac:dyDescent="0.25">
      <c r="A1554" s="8" t="s">
        <v>1163</v>
      </c>
      <c r="B1554" s="8" t="s">
        <v>1164</v>
      </c>
      <c r="C1554" s="8" t="s">
        <v>70</v>
      </c>
      <c r="D1554" s="8" t="s">
        <v>1165</v>
      </c>
      <c r="E1554" s="25">
        <v>64</v>
      </c>
      <c r="F1554" s="25">
        <v>0</v>
      </c>
    </row>
    <row r="1555" spans="1:6" x14ac:dyDescent="0.25">
      <c r="A1555" s="8" t="s">
        <v>922</v>
      </c>
      <c r="B1555" s="8" t="s">
        <v>1164</v>
      </c>
      <c r="C1555" s="8" t="s">
        <v>70</v>
      </c>
      <c r="D1555" s="8" t="s">
        <v>1166</v>
      </c>
      <c r="E1555" s="25">
        <v>10</v>
      </c>
      <c r="F1555" s="25">
        <v>0</v>
      </c>
    </row>
    <row r="1556" spans="1:6" x14ac:dyDescent="0.25">
      <c r="A1556" s="8" t="s">
        <v>552</v>
      </c>
      <c r="B1556" s="8" t="s">
        <v>1164</v>
      </c>
      <c r="C1556" s="8" t="s">
        <v>70</v>
      </c>
      <c r="D1556" s="8" t="s">
        <v>1167</v>
      </c>
      <c r="E1556" s="25">
        <v>39</v>
      </c>
      <c r="F1556" s="25">
        <v>0</v>
      </c>
    </row>
    <row r="1557" spans="1:6" x14ac:dyDescent="0.25">
      <c r="A1557" s="8" t="s">
        <v>574</v>
      </c>
      <c r="B1557" s="8" t="s">
        <v>1168</v>
      </c>
      <c r="C1557" s="8" t="s">
        <v>1169</v>
      </c>
      <c r="D1557" s="8" t="s">
        <v>1170</v>
      </c>
      <c r="E1557" s="25">
        <v>83</v>
      </c>
      <c r="F1557" s="25">
        <v>0</v>
      </c>
    </row>
    <row r="1558" spans="1:6" x14ac:dyDescent="0.25">
      <c r="A1558" s="8" t="s">
        <v>1012</v>
      </c>
      <c r="B1558" s="8" t="s">
        <v>1164</v>
      </c>
      <c r="C1558" s="8" t="s">
        <v>1014</v>
      </c>
      <c r="D1558" s="8" t="s">
        <v>1171</v>
      </c>
      <c r="E1558" s="25">
        <v>64.7</v>
      </c>
      <c r="F1558" s="25">
        <v>0</v>
      </c>
    </row>
    <row r="1559" spans="1:6" x14ac:dyDescent="0.25">
      <c r="A1559" s="8" t="s">
        <v>664</v>
      </c>
      <c r="B1559" s="8" t="s">
        <v>1164</v>
      </c>
      <c r="C1559" s="8" t="s">
        <v>70</v>
      </c>
      <c r="D1559" s="8" t="s">
        <v>1172</v>
      </c>
      <c r="E1559" s="25">
        <v>115</v>
      </c>
      <c r="F1559" s="25">
        <v>0</v>
      </c>
    </row>
    <row r="1560" spans="1:6" x14ac:dyDescent="0.25">
      <c r="A1560" s="8" t="s">
        <v>664</v>
      </c>
      <c r="B1560" s="8" t="s">
        <v>1164</v>
      </c>
      <c r="C1560" s="8" t="s">
        <v>70</v>
      </c>
      <c r="D1560" s="8" t="s">
        <v>1165</v>
      </c>
      <c r="E1560" s="25">
        <v>49.75</v>
      </c>
      <c r="F1560" s="25">
        <v>0</v>
      </c>
    </row>
    <row r="1561" spans="1:6" x14ac:dyDescent="0.25">
      <c r="A1561" s="8" t="s">
        <v>695</v>
      </c>
      <c r="B1561" s="8" t="s">
        <v>1164</v>
      </c>
      <c r="C1561" s="8" t="s">
        <v>70</v>
      </c>
      <c r="D1561" s="8" t="s">
        <v>1173</v>
      </c>
      <c r="E1561" s="25">
        <v>10</v>
      </c>
      <c r="F1561" s="25">
        <v>0</v>
      </c>
    </row>
    <row r="1562" spans="1:6" x14ac:dyDescent="0.25">
      <c r="A1562" s="8" t="s">
        <v>826</v>
      </c>
      <c r="B1562" s="8" t="s">
        <v>1164</v>
      </c>
      <c r="C1562" s="8" t="s">
        <v>1014</v>
      </c>
      <c r="D1562" s="8" t="s">
        <v>1171</v>
      </c>
      <c r="E1562" s="25">
        <v>28.81</v>
      </c>
      <c r="F1562" s="25">
        <v>0</v>
      </c>
    </row>
    <row r="1563" spans="1:6" x14ac:dyDescent="0.25">
      <c r="A1563" s="8" t="s">
        <v>1097</v>
      </c>
      <c r="B1563" s="8" t="s">
        <v>956</v>
      </c>
      <c r="C1563" s="8" t="s">
        <v>957</v>
      </c>
      <c r="D1563" s="8" t="s">
        <v>1131</v>
      </c>
      <c r="E1563" s="25">
        <v>39.75</v>
      </c>
      <c r="F1563" s="25">
        <v>0</v>
      </c>
    </row>
    <row r="1564" spans="1:6" x14ac:dyDescent="0.25">
      <c r="A1564" s="8" t="s">
        <v>1099</v>
      </c>
      <c r="B1564" s="8" t="s">
        <v>1164</v>
      </c>
      <c r="C1564" s="8" t="s">
        <v>1108</v>
      </c>
      <c r="D1564" s="8" t="s">
        <v>1174</v>
      </c>
      <c r="E1564" s="25">
        <v>1.53</v>
      </c>
      <c r="F1564" s="25">
        <v>0</v>
      </c>
    </row>
    <row r="1565" spans="1:6" x14ac:dyDescent="0.25">
      <c r="A1565" s="8" t="s">
        <v>1129</v>
      </c>
      <c r="B1565" s="8" t="s">
        <v>1164</v>
      </c>
      <c r="C1565" s="8" t="s">
        <v>70</v>
      </c>
      <c r="D1565" s="8" t="s">
        <v>1165</v>
      </c>
      <c r="E1565" s="25">
        <v>9.32</v>
      </c>
      <c r="F1565" s="25">
        <v>0</v>
      </c>
    </row>
    <row r="1566" spans="1:6" x14ac:dyDescent="0.25">
      <c r="A1566" s="8" t="s">
        <v>1129</v>
      </c>
      <c r="B1566" s="8" t="s">
        <v>1164</v>
      </c>
      <c r="C1566" s="8" t="s">
        <v>1014</v>
      </c>
      <c r="D1566" s="8" t="s">
        <v>1175</v>
      </c>
      <c r="E1566" s="25">
        <v>1.48</v>
      </c>
      <c r="F1566" s="25">
        <v>0</v>
      </c>
    </row>
    <row r="1567" spans="1:6" x14ac:dyDescent="0.25">
      <c r="A1567" s="8" t="s">
        <v>1129</v>
      </c>
      <c r="B1567" s="8" t="s">
        <v>1176</v>
      </c>
      <c r="C1567" s="8" t="s">
        <v>1014</v>
      </c>
      <c r="D1567" s="8" t="s">
        <v>1177</v>
      </c>
      <c r="E1567" s="25">
        <v>104.4</v>
      </c>
      <c r="F1567" s="25">
        <v>0</v>
      </c>
    </row>
    <row r="1568" spans="1:6" x14ac:dyDescent="0.25">
      <c r="A1568" s="8" t="s">
        <v>882</v>
      </c>
      <c r="B1568" s="8" t="s">
        <v>1164</v>
      </c>
      <c r="C1568" s="8" t="s">
        <v>70</v>
      </c>
      <c r="D1568" s="8" t="s">
        <v>1173</v>
      </c>
      <c r="E1568" s="25">
        <v>50.5</v>
      </c>
      <c r="F1568" s="25">
        <v>0</v>
      </c>
    </row>
    <row r="1569" spans="1:6" x14ac:dyDescent="0.25">
      <c r="A1569" s="8" t="s">
        <v>882</v>
      </c>
      <c r="B1569" s="8" t="s">
        <v>1178</v>
      </c>
      <c r="C1569" s="8" t="s">
        <v>1179</v>
      </c>
      <c r="D1569" s="8" t="s">
        <v>1180</v>
      </c>
      <c r="E1569" s="25">
        <v>258.89999999999998</v>
      </c>
      <c r="F1569" s="25">
        <v>0</v>
      </c>
    </row>
    <row r="1570" spans="1:6" x14ac:dyDescent="0.25">
      <c r="A1570" s="8" t="s">
        <v>882</v>
      </c>
      <c r="B1570" s="8" t="s">
        <v>1178</v>
      </c>
      <c r="C1570" s="8" t="s">
        <v>1181</v>
      </c>
      <c r="D1570" s="8" t="s">
        <v>1180</v>
      </c>
      <c r="E1570" s="25">
        <v>1848.35</v>
      </c>
      <c r="F1570" s="25">
        <v>0</v>
      </c>
    </row>
    <row r="1571" spans="1:6" x14ac:dyDescent="0.25">
      <c r="A1571" s="8" t="s">
        <v>882</v>
      </c>
      <c r="B1571" s="8" t="s">
        <v>1164</v>
      </c>
      <c r="C1571" s="8" t="s">
        <v>1182</v>
      </c>
      <c r="D1571" s="8" t="s">
        <v>1183</v>
      </c>
      <c r="E1571" s="25">
        <v>-0.96</v>
      </c>
      <c r="F1571" s="25">
        <v>0</v>
      </c>
    </row>
    <row r="1572" spans="1:6" x14ac:dyDescent="0.25">
      <c r="A1572" s="8" t="s">
        <v>882</v>
      </c>
      <c r="B1572" s="8" t="s">
        <v>1164</v>
      </c>
      <c r="C1572" s="8" t="s">
        <v>70</v>
      </c>
      <c r="D1572" s="8" t="s">
        <v>1173</v>
      </c>
      <c r="E1572" s="25">
        <v>10</v>
      </c>
      <c r="F1572" s="25">
        <v>0</v>
      </c>
    </row>
    <row r="1574" spans="1:6" x14ac:dyDescent="0.25">
      <c r="A1574" s="220" t="s">
        <v>1185</v>
      </c>
    </row>
    <row r="1575" spans="1:6" x14ac:dyDescent="0.25">
      <c r="A1575" s="8" t="s">
        <v>1145</v>
      </c>
      <c r="B1575" s="8" t="s">
        <v>1074</v>
      </c>
      <c r="C1575" s="8" t="s">
        <v>70</v>
      </c>
      <c r="D1575" s="8" t="s">
        <v>1186</v>
      </c>
      <c r="E1575" s="25">
        <v>4195.66</v>
      </c>
      <c r="F1575" s="25">
        <v>0</v>
      </c>
    </row>
    <row r="1576" spans="1:6" x14ac:dyDescent="0.25">
      <c r="A1576" s="8" t="s">
        <v>1145</v>
      </c>
      <c r="B1576" s="8" t="s">
        <v>1164</v>
      </c>
      <c r="C1576" s="8" t="s">
        <v>70</v>
      </c>
      <c r="D1576" s="8" t="s">
        <v>1187</v>
      </c>
      <c r="E1576" s="25">
        <v>189.46</v>
      </c>
      <c r="F1576" s="25">
        <v>0</v>
      </c>
    </row>
    <row r="1577" spans="1:6" x14ac:dyDescent="0.25">
      <c r="A1577" s="8" t="s">
        <v>1145</v>
      </c>
      <c r="B1577" s="8" t="s">
        <v>1074</v>
      </c>
      <c r="C1577" s="8" t="s">
        <v>70</v>
      </c>
      <c r="D1577" s="8" t="s">
        <v>1188</v>
      </c>
      <c r="E1577" s="25">
        <v>-4195.66</v>
      </c>
      <c r="F1577" s="25">
        <v>0</v>
      </c>
    </row>
    <row r="1578" spans="1:6" x14ac:dyDescent="0.25">
      <c r="A1578" s="222" t="s">
        <v>1145</v>
      </c>
      <c r="B1578" s="222" t="s">
        <v>1164</v>
      </c>
      <c r="C1578" s="222" t="s">
        <v>70</v>
      </c>
      <c r="D1578" s="222" t="s">
        <v>1189</v>
      </c>
      <c r="E1578" s="223">
        <v>-189.46</v>
      </c>
      <c r="F1578" s="223">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0EFBB-46D4-45C3-A2C4-3FF72CB194BF}">
  <sheetPr codeName="Sheet18">
    <tabColor rgb="FFFFFF00"/>
  </sheetPr>
  <dimension ref="A1:N90"/>
  <sheetViews>
    <sheetView workbookViewId="0">
      <pane xSplit="2" ySplit="5" topLeftCell="E6" activePane="bottomRight" state="frozen"/>
      <selection pane="topRight" activeCell="B32" sqref="B32"/>
      <selection pane="bottomLeft" activeCell="B32" sqref="B32"/>
      <selection pane="bottomRight"/>
    </sheetView>
  </sheetViews>
  <sheetFormatPr defaultColWidth="9.1796875" defaultRowHeight="12.5" x14ac:dyDescent="0.25"/>
  <cols>
    <col min="1" max="1" width="23.81640625" style="1" customWidth="1"/>
    <col min="2" max="4" width="14.26953125" style="1" customWidth="1"/>
    <col min="5" max="5" width="9.1796875" style="1"/>
    <col min="6" max="6" width="14.26953125" style="1" customWidth="1"/>
    <col min="7" max="7" width="11.26953125" bestFit="1" customWidth="1"/>
    <col min="8" max="14" width="10" customWidth="1"/>
    <col min="15" max="16384" width="9.1796875" style="23"/>
  </cols>
  <sheetData>
    <row r="1" spans="1:6" ht="26.25" customHeight="1" x14ac:dyDescent="0.25">
      <c r="A1" s="6" t="s">
        <v>1635</v>
      </c>
      <c r="B1" s="268" t="s">
        <v>1636</v>
      </c>
      <c r="C1" s="268"/>
      <c r="D1" s="268"/>
      <c r="F1" s="6"/>
    </row>
    <row r="2" spans="1:6" ht="18" customHeight="1" x14ac:dyDescent="0.25">
      <c r="A2" s="4" t="s">
        <v>122</v>
      </c>
      <c r="B2" s="4"/>
      <c r="C2" s="4"/>
      <c r="D2" s="4"/>
      <c r="F2" s="4"/>
    </row>
    <row r="3" spans="1:6" ht="18" customHeight="1" x14ac:dyDescent="0.25">
      <c r="A3" s="4" t="s">
        <v>1637</v>
      </c>
      <c r="B3" s="4"/>
      <c r="C3" s="4"/>
      <c r="D3" s="4"/>
      <c r="F3" s="4"/>
    </row>
    <row r="5" spans="1:6" ht="13" x14ac:dyDescent="0.25">
      <c r="A5" s="4"/>
      <c r="B5" s="4" t="s">
        <v>1638</v>
      </c>
      <c r="C5" s="4" t="s">
        <v>1639</v>
      </c>
      <c r="D5" s="4" t="s">
        <v>1640</v>
      </c>
      <c r="E5" s="233"/>
      <c r="F5" s="4"/>
    </row>
    <row r="7" spans="1:6" ht="12.75" customHeight="1" x14ac:dyDescent="0.25">
      <c r="A7" s="2" t="s">
        <v>1641</v>
      </c>
    </row>
    <row r="9" spans="1:6" x14ac:dyDescent="0.25">
      <c r="A9" s="2" t="s">
        <v>1642</v>
      </c>
    </row>
    <row r="10" spans="1:6" x14ac:dyDescent="0.25">
      <c r="A10" s="3" t="s">
        <v>1643</v>
      </c>
      <c r="B10" s="3">
        <v>499889.12</v>
      </c>
      <c r="C10" s="3">
        <v>0</v>
      </c>
      <c r="D10" s="3">
        <v>0</v>
      </c>
      <c r="E10" s="233"/>
      <c r="F10" s="3"/>
    </row>
    <row r="11" spans="1:6" x14ac:dyDescent="0.25">
      <c r="A11" s="3" t="s">
        <v>1644</v>
      </c>
      <c r="B11" s="3">
        <v>4163.1499999999996</v>
      </c>
      <c r="C11" s="3">
        <v>0</v>
      </c>
      <c r="D11" s="3">
        <v>0</v>
      </c>
      <c r="E11" s="233"/>
      <c r="F11" s="3"/>
    </row>
    <row r="12" spans="1:6" x14ac:dyDescent="0.25">
      <c r="A12" s="3" t="s">
        <v>1645</v>
      </c>
      <c r="B12" s="3">
        <v>51811.82</v>
      </c>
      <c r="C12" s="3">
        <v>86387.74</v>
      </c>
      <c r="D12" s="3">
        <v>70509.399999999994</v>
      </c>
      <c r="E12" s="233"/>
      <c r="F12" s="2"/>
    </row>
    <row r="13" spans="1:6" x14ac:dyDescent="0.25">
      <c r="A13" s="3" t="s">
        <v>1646</v>
      </c>
      <c r="B13" s="3">
        <v>150910.21</v>
      </c>
      <c r="C13" s="3">
        <v>178153.8</v>
      </c>
      <c r="D13" s="3">
        <v>175427.46</v>
      </c>
      <c r="E13" s="233"/>
    </row>
    <row r="14" spans="1:6" x14ac:dyDescent="0.25">
      <c r="A14" s="14" t="s">
        <v>1647</v>
      </c>
      <c r="B14" s="15">
        <f>SUM(B10:B13)</f>
        <v>706774.29999999993</v>
      </c>
      <c r="C14" s="15">
        <f>SUM(C10:C13)</f>
        <v>264541.53999999998</v>
      </c>
      <c r="D14" s="15">
        <f>SUM(D10:D13)</f>
        <v>245936.86</v>
      </c>
      <c r="E14" s="233"/>
    </row>
    <row r="15" spans="1:6" x14ac:dyDescent="0.25">
      <c r="E15" s="233"/>
      <c r="F15" s="3"/>
    </row>
    <row r="16" spans="1:6" ht="12.75" customHeight="1" x14ac:dyDescent="0.25">
      <c r="A16" s="2" t="s">
        <v>1648</v>
      </c>
      <c r="F16" s="3"/>
    </row>
    <row r="17" spans="1:7" x14ac:dyDescent="0.25">
      <c r="A17" s="3" t="s">
        <v>1649</v>
      </c>
      <c r="B17" s="3">
        <v>47428.87</v>
      </c>
      <c r="C17" s="3">
        <v>43240.54</v>
      </c>
      <c r="D17" s="3">
        <v>49158.84</v>
      </c>
      <c r="F17" s="2"/>
    </row>
    <row r="18" spans="1:7" x14ac:dyDescent="0.25">
      <c r="A18" s="3" t="s">
        <v>1650</v>
      </c>
      <c r="B18" s="3">
        <v>3170.46</v>
      </c>
      <c r="C18" s="3">
        <v>3170.46</v>
      </c>
      <c r="D18" s="3">
        <v>3170.46</v>
      </c>
      <c r="E18" s="233"/>
    </row>
    <row r="19" spans="1:7" x14ac:dyDescent="0.25">
      <c r="A19" s="3" t="s">
        <v>1651</v>
      </c>
      <c r="B19" s="3">
        <v>4409.08</v>
      </c>
      <c r="C19" s="3">
        <v>1538.08</v>
      </c>
      <c r="D19" s="3">
        <v>817.38</v>
      </c>
      <c r="E19" s="233"/>
    </row>
    <row r="20" spans="1:7" x14ac:dyDescent="0.25">
      <c r="A20" s="3" t="s">
        <v>1652</v>
      </c>
      <c r="B20" s="3">
        <v>4013.52</v>
      </c>
      <c r="C20" s="3">
        <v>7023.63</v>
      </c>
      <c r="D20" s="3">
        <v>10033.74</v>
      </c>
      <c r="E20" s="233"/>
      <c r="F20" s="3"/>
    </row>
    <row r="21" spans="1:7" x14ac:dyDescent="0.25">
      <c r="A21" s="3" t="s">
        <v>1653</v>
      </c>
      <c r="B21" s="3">
        <v>0</v>
      </c>
      <c r="C21" s="3">
        <v>0</v>
      </c>
      <c r="D21" s="3">
        <v>3200</v>
      </c>
      <c r="E21" s="233"/>
      <c r="F21" s="3"/>
    </row>
    <row r="22" spans="1:7" x14ac:dyDescent="0.25">
      <c r="A22" s="14" t="s">
        <v>1654</v>
      </c>
      <c r="B22" s="15">
        <f>SUM(B17:B21)</f>
        <v>59021.93</v>
      </c>
      <c r="C22" s="15">
        <f>SUM(C17:C21)</f>
        <v>54972.71</v>
      </c>
      <c r="D22" s="15">
        <f>SUM(D17:D21)</f>
        <v>66380.419999999984</v>
      </c>
      <c r="F22" s="3"/>
    </row>
    <row r="23" spans="1:7" x14ac:dyDescent="0.25">
      <c r="F23" s="2"/>
    </row>
    <row r="24" spans="1:7" x14ac:dyDescent="0.25">
      <c r="A24" s="2" t="s">
        <v>1655</v>
      </c>
      <c r="E24" s="233"/>
    </row>
    <row r="25" spans="1:7" x14ac:dyDescent="0.25">
      <c r="A25" s="3" t="s">
        <v>1656</v>
      </c>
      <c r="B25" s="3">
        <v>40461.160000000003</v>
      </c>
      <c r="C25" s="3">
        <v>40461.160000000003</v>
      </c>
      <c r="D25" s="3">
        <v>40461.160000000003</v>
      </c>
      <c r="E25" s="233"/>
      <c r="F25" s="2"/>
    </row>
    <row r="26" spans="1:7" x14ac:dyDescent="0.25">
      <c r="A26" s="3" t="s">
        <v>1657</v>
      </c>
      <c r="B26" s="3">
        <v>-34064.300000000003</v>
      </c>
      <c r="C26" s="3">
        <v>-34064.300000000003</v>
      </c>
      <c r="D26" s="3">
        <v>-34064.300000000003</v>
      </c>
    </row>
    <row r="27" spans="1:7" x14ac:dyDescent="0.25">
      <c r="A27" s="3" t="s">
        <v>1658</v>
      </c>
      <c r="B27" s="3">
        <v>-47423</v>
      </c>
      <c r="C27" s="3">
        <v>-44798</v>
      </c>
      <c r="D27" s="3">
        <v>-42173</v>
      </c>
    </row>
    <row r="28" spans="1:7" ht="12.75" customHeight="1" x14ac:dyDescent="0.25">
      <c r="A28" s="3" t="s">
        <v>1659</v>
      </c>
      <c r="B28" s="3">
        <v>15341</v>
      </c>
      <c r="C28" s="3">
        <v>15341</v>
      </c>
      <c r="D28" s="3">
        <v>15341</v>
      </c>
      <c r="E28" s="233"/>
    </row>
    <row r="29" spans="1:7" x14ac:dyDescent="0.25">
      <c r="A29" s="3" t="s">
        <v>1660</v>
      </c>
      <c r="B29" s="3">
        <v>20000</v>
      </c>
      <c r="C29" s="3">
        <v>20000</v>
      </c>
      <c r="D29" s="3">
        <v>20000</v>
      </c>
      <c r="E29" s="233"/>
    </row>
    <row r="30" spans="1:7" x14ac:dyDescent="0.25">
      <c r="A30" s="3" t="s">
        <v>1661</v>
      </c>
      <c r="B30" s="3">
        <v>20000</v>
      </c>
      <c r="C30" s="3">
        <v>20000</v>
      </c>
      <c r="D30" s="3">
        <v>20000</v>
      </c>
      <c r="E30" s="233"/>
      <c r="F30" s="3"/>
    </row>
    <row r="31" spans="1:7" x14ac:dyDescent="0.25">
      <c r="A31" s="14" t="s">
        <v>1662</v>
      </c>
      <c r="B31" s="15">
        <f>SUM(B25:B30)</f>
        <v>14314.86</v>
      </c>
      <c r="C31" s="15">
        <f>SUM(C25:C30)</f>
        <v>16939.86</v>
      </c>
      <c r="D31" s="15">
        <f>SUM(D25:D30)</f>
        <v>19564.86</v>
      </c>
      <c r="E31" s="233"/>
      <c r="F31" s="3"/>
    </row>
    <row r="32" spans="1:7" x14ac:dyDescent="0.25">
      <c r="E32" s="233"/>
      <c r="F32" s="3"/>
      <c r="G32" s="137"/>
    </row>
    <row r="33" spans="1:7" x14ac:dyDescent="0.25">
      <c r="A33" s="2" t="s">
        <v>1663</v>
      </c>
      <c r="E33" s="233"/>
      <c r="F33" s="2"/>
      <c r="G33" s="137"/>
    </row>
    <row r="34" spans="1:7" x14ac:dyDescent="0.25">
      <c r="A34" s="3" t="s">
        <v>1664</v>
      </c>
      <c r="B34" s="3">
        <v>7886.5</v>
      </c>
      <c r="C34" s="3">
        <v>7886.5</v>
      </c>
      <c r="D34" s="3">
        <v>4300.5</v>
      </c>
      <c r="E34" s="233"/>
      <c r="G34" s="137"/>
    </row>
    <row r="35" spans="1:7" x14ac:dyDescent="0.25">
      <c r="A35" s="3" t="s">
        <v>1665</v>
      </c>
      <c r="B35" s="3">
        <v>3741000</v>
      </c>
      <c r="C35" s="3">
        <v>3741000</v>
      </c>
      <c r="D35" s="3">
        <v>3741000</v>
      </c>
    </row>
    <row r="36" spans="1:7" x14ac:dyDescent="0.25">
      <c r="A36" s="14" t="s">
        <v>1666</v>
      </c>
      <c r="B36" s="15">
        <f>SUM(B34:B35)</f>
        <v>3748886.5</v>
      </c>
      <c r="C36" s="15">
        <f>SUM(C34:C35)</f>
        <v>3748886.5</v>
      </c>
      <c r="D36" s="15">
        <f>SUM(D34:D35)</f>
        <v>3745300.5</v>
      </c>
      <c r="E36" s="233"/>
      <c r="F36" s="3"/>
    </row>
    <row r="37" spans="1:7" s="3" customFormat="1" x14ac:dyDescent="0.25">
      <c r="A37" s="1"/>
      <c r="B37" s="1"/>
      <c r="C37" s="1"/>
      <c r="D37" s="1"/>
      <c r="E37" s="1"/>
    </row>
    <row r="38" spans="1:7" s="3" customFormat="1" ht="13" thickBot="1" x14ac:dyDescent="0.3">
      <c r="A38" s="149" t="s">
        <v>1667</v>
      </c>
      <c r="B38" s="150">
        <f>(0+(0)+(B14)+(B22)+(B31)+(B36))-(0)</f>
        <v>4528997.59</v>
      </c>
      <c r="C38" s="150">
        <f>(0+(0)+(C14)+(C22)+(C31)+(C36))-(0)</f>
        <v>4085340.61</v>
      </c>
      <c r="D38" s="150">
        <f>(0+(0)+(D14)+(D22)+(D31)+(D36))-(0)</f>
        <v>4077182.64</v>
      </c>
      <c r="E38" s="1"/>
    </row>
    <row r="39" spans="1:7" s="3" customFormat="1" ht="13" thickTop="1" x14ac:dyDescent="0.25">
      <c r="A39" s="1"/>
      <c r="B39" s="1"/>
      <c r="C39" s="1"/>
      <c r="D39" s="1"/>
      <c r="E39" s="1"/>
    </row>
    <row r="40" spans="1:7" s="3" customFormat="1" x14ac:dyDescent="0.25">
      <c r="A40" s="2" t="s">
        <v>1668</v>
      </c>
      <c r="B40" s="1"/>
      <c r="C40" s="1"/>
      <c r="D40" s="1"/>
      <c r="E40" s="1"/>
    </row>
    <row r="41" spans="1:7" s="3" customFormat="1" x14ac:dyDescent="0.25">
      <c r="A41" s="1"/>
      <c r="B41" s="1"/>
      <c r="C41" s="1"/>
      <c r="D41" s="1"/>
      <c r="E41" s="233"/>
    </row>
    <row r="42" spans="1:7" s="3" customFormat="1" x14ac:dyDescent="0.25">
      <c r="A42" s="2" t="s">
        <v>1669</v>
      </c>
      <c r="B42" s="1"/>
      <c r="C42" s="1"/>
      <c r="D42" s="1"/>
      <c r="E42" s="233"/>
    </row>
    <row r="43" spans="1:7" x14ac:dyDescent="0.25">
      <c r="A43" s="3" t="s">
        <v>1670</v>
      </c>
      <c r="B43" s="3">
        <v>11397.08</v>
      </c>
      <c r="C43" s="3">
        <v>6705.82</v>
      </c>
      <c r="D43" s="3">
        <v>1343.03</v>
      </c>
      <c r="E43" s="233"/>
    </row>
    <row r="44" spans="1:7" x14ac:dyDescent="0.25">
      <c r="A44" s="3" t="s">
        <v>1671</v>
      </c>
      <c r="B44" s="3">
        <v>109569.25</v>
      </c>
      <c r="C44" s="3">
        <v>64462.25</v>
      </c>
      <c r="D44" s="3">
        <v>100765.25</v>
      </c>
    </row>
    <row r="45" spans="1:7" x14ac:dyDescent="0.25">
      <c r="A45" s="3" t="s">
        <v>1672</v>
      </c>
      <c r="B45" s="3">
        <v>97169.75</v>
      </c>
      <c r="C45" s="3">
        <v>106879</v>
      </c>
      <c r="D45" s="3">
        <v>97850</v>
      </c>
      <c r="F45" s="3"/>
    </row>
    <row r="46" spans="1:7" x14ac:dyDescent="0.25">
      <c r="A46" s="3" t="s">
        <v>1673</v>
      </c>
      <c r="B46" s="3">
        <v>21864.18</v>
      </c>
      <c r="C46" s="3">
        <v>32447.77</v>
      </c>
      <c r="D46" s="3">
        <v>24489.53</v>
      </c>
      <c r="E46" s="233"/>
      <c r="F46" s="3"/>
    </row>
    <row r="47" spans="1:7" x14ac:dyDescent="0.25">
      <c r="A47" s="3" t="s">
        <v>1674</v>
      </c>
      <c r="B47" s="3">
        <v>-2789.74</v>
      </c>
      <c r="C47" s="3">
        <v>-2789.74</v>
      </c>
      <c r="D47" s="3">
        <v>-2789.74</v>
      </c>
      <c r="E47" s="233"/>
      <c r="F47" s="2"/>
    </row>
    <row r="48" spans="1:7" x14ac:dyDescent="0.25">
      <c r="A48" s="3" t="s">
        <v>1675</v>
      </c>
      <c r="B48" s="3">
        <v>20456</v>
      </c>
      <c r="C48" s="3">
        <v>21178</v>
      </c>
      <c r="D48" s="3">
        <v>22140</v>
      </c>
      <c r="E48" s="233"/>
    </row>
    <row r="49" spans="1:5" x14ac:dyDescent="0.25">
      <c r="A49" s="3" t="s">
        <v>1676</v>
      </c>
      <c r="B49" s="3">
        <v>9851.31</v>
      </c>
      <c r="C49" s="3">
        <v>8423.6299999999992</v>
      </c>
      <c r="D49" s="3">
        <v>9107.7199999999993</v>
      </c>
      <c r="E49" s="233"/>
    </row>
    <row r="50" spans="1:5" x14ac:dyDescent="0.25">
      <c r="A50" s="14" t="s">
        <v>1677</v>
      </c>
      <c r="B50" s="15">
        <f>SUM(B43:B49)</f>
        <v>267517.83</v>
      </c>
      <c r="C50" s="15">
        <f>SUM(C43:C49)</f>
        <v>237306.73</v>
      </c>
      <c r="D50" s="15">
        <f>SUM(D43:D49)</f>
        <v>252905.79</v>
      </c>
      <c r="E50" s="233"/>
    </row>
    <row r="51" spans="1:5" x14ac:dyDescent="0.25">
      <c r="E51" s="233"/>
    </row>
    <row r="52" spans="1:5" x14ac:dyDescent="0.25">
      <c r="A52" s="2" t="s">
        <v>1678</v>
      </c>
    </row>
    <row r="53" spans="1:5" x14ac:dyDescent="0.25">
      <c r="A53" s="3" t="s">
        <v>1679</v>
      </c>
      <c r="B53" s="3">
        <v>344161.01</v>
      </c>
      <c r="C53" s="3">
        <v>394620.28</v>
      </c>
      <c r="D53" s="3">
        <v>355930.38</v>
      </c>
    </row>
    <row r="54" spans="1:5" x14ac:dyDescent="0.25">
      <c r="A54" s="3" t="s">
        <v>1680</v>
      </c>
      <c r="B54" s="3">
        <v>74289.73</v>
      </c>
      <c r="C54" s="3">
        <v>103434.75</v>
      </c>
      <c r="D54" s="3">
        <v>120671.8</v>
      </c>
      <c r="E54" s="233"/>
    </row>
    <row r="55" spans="1:5" x14ac:dyDescent="0.25">
      <c r="A55" s="3" t="s">
        <v>1681</v>
      </c>
      <c r="B55" s="3">
        <v>500000</v>
      </c>
      <c r="C55" s="3">
        <v>0</v>
      </c>
      <c r="D55" s="3">
        <v>0</v>
      </c>
      <c r="E55" s="233"/>
    </row>
    <row r="56" spans="1:5" x14ac:dyDescent="0.25">
      <c r="A56" s="3" t="s">
        <v>1682</v>
      </c>
      <c r="B56" s="3">
        <v>-10000</v>
      </c>
      <c r="C56" s="3">
        <v>0</v>
      </c>
      <c r="D56" s="3">
        <v>0</v>
      </c>
    </row>
    <row r="57" spans="1:5" x14ac:dyDescent="0.25">
      <c r="A57" s="14" t="s">
        <v>1683</v>
      </c>
      <c r="B57" s="15">
        <f>SUM(B53:B56)</f>
        <v>908450.74</v>
      </c>
      <c r="C57" s="15">
        <f>SUM(C53:C56)</f>
        <v>498055.03</v>
      </c>
      <c r="D57" s="15">
        <f>SUM(D53:D56)</f>
        <v>476602.18</v>
      </c>
    </row>
    <row r="58" spans="1:5" ht="12.75" customHeight="1" x14ac:dyDescent="0.25">
      <c r="E58" s="233"/>
    </row>
    <row r="59" spans="1:5" ht="12.75" customHeight="1" thickBot="1" x14ac:dyDescent="0.3">
      <c r="A59" s="149" t="s">
        <v>1684</v>
      </c>
      <c r="B59" s="150">
        <f>(0+(0)+(B50)+(B57))-(0)</f>
        <v>1175968.57</v>
      </c>
      <c r="C59" s="150">
        <f>(0+(0)+(C50)+(C57))-(0)</f>
        <v>735361.76</v>
      </c>
      <c r="D59" s="150">
        <f>(0+(0)+(D50)+(D57))-(0)</f>
        <v>729507.97</v>
      </c>
      <c r="E59" s="233"/>
    </row>
    <row r="60" spans="1:5" ht="12.75" customHeight="1" thickTop="1" x14ac:dyDescent="0.25">
      <c r="E60" s="233"/>
    </row>
    <row r="61" spans="1:5" ht="13" thickBot="1" x14ac:dyDescent="0.3">
      <c r="A61" s="149" t="s">
        <v>1685</v>
      </c>
      <c r="B61" s="150">
        <f>(B38)-(B59)</f>
        <v>3353029.0199999996</v>
      </c>
      <c r="C61" s="150">
        <f>(C38)-(C59)</f>
        <v>3349978.8499999996</v>
      </c>
      <c r="D61" s="150">
        <f>(D38)-(D59)</f>
        <v>3347674.67</v>
      </c>
    </row>
    <row r="62" spans="1:5" ht="13" thickTop="1" x14ac:dyDescent="0.25"/>
    <row r="63" spans="1:5" x14ac:dyDescent="0.25">
      <c r="A63" s="2" t="s">
        <v>1686</v>
      </c>
      <c r="E63" s="233"/>
    </row>
    <row r="64" spans="1:5" x14ac:dyDescent="0.25">
      <c r="A64" s="3" t="s">
        <v>1687</v>
      </c>
      <c r="B64" s="3">
        <v>20908.310000000001</v>
      </c>
      <c r="C64" s="3">
        <v>17858.14</v>
      </c>
      <c r="D64" s="3">
        <v>15553.96</v>
      </c>
      <c r="E64" s="233"/>
    </row>
    <row r="65" spans="1:5" x14ac:dyDescent="0.25">
      <c r="A65" s="3" t="s">
        <v>1688</v>
      </c>
      <c r="B65" s="3">
        <v>236981.1</v>
      </c>
      <c r="C65" s="3">
        <v>236981.1</v>
      </c>
      <c r="D65" s="3">
        <v>236981.1</v>
      </c>
    </row>
    <row r="66" spans="1:5" x14ac:dyDescent="0.25">
      <c r="A66" s="3" t="s">
        <v>1689</v>
      </c>
      <c r="B66" s="3">
        <v>5890517.6900000004</v>
      </c>
      <c r="C66" s="3">
        <v>5890517.6900000004</v>
      </c>
      <c r="D66" s="3">
        <v>5890517.6900000004</v>
      </c>
      <c r="E66" s="233"/>
    </row>
    <row r="67" spans="1:5" x14ac:dyDescent="0.25">
      <c r="A67" s="3" t="s">
        <v>1690</v>
      </c>
      <c r="B67" s="3">
        <v>-2795622.24</v>
      </c>
      <c r="C67" s="3">
        <v>-2795622.24</v>
      </c>
      <c r="D67" s="3">
        <v>-2795622.24</v>
      </c>
    </row>
    <row r="68" spans="1:5" x14ac:dyDescent="0.25">
      <c r="A68" s="3" t="s">
        <v>1691</v>
      </c>
      <c r="B68" s="3">
        <v>244.16</v>
      </c>
      <c r="C68" s="3">
        <v>244.16</v>
      </c>
      <c r="D68" s="3">
        <v>244.16</v>
      </c>
    </row>
    <row r="69" spans="1:5" ht="13" thickBot="1" x14ac:dyDescent="0.3">
      <c r="A69" s="149" t="s">
        <v>1692</v>
      </c>
      <c r="B69" s="150">
        <f>SUM(B64:B68)</f>
        <v>3353029.0200000005</v>
      </c>
      <c r="C69" s="150">
        <f>SUM(C64:C68)</f>
        <v>3349978.8500000006</v>
      </c>
      <c r="D69" s="150">
        <f>SUM(D64:D68)</f>
        <v>3347674.67</v>
      </c>
      <c r="E69" s="233"/>
    </row>
    <row r="70" spans="1:5" ht="13" thickTop="1" x14ac:dyDescent="0.25">
      <c r="E70" s="233"/>
    </row>
    <row r="71" spans="1:5" x14ac:dyDescent="0.25">
      <c r="A71" s="2" t="s">
        <v>1693</v>
      </c>
      <c r="E71" s="233"/>
    </row>
    <row r="72" spans="1:5" ht="69" x14ac:dyDescent="0.25">
      <c r="A72" s="246" t="s">
        <v>1694</v>
      </c>
      <c r="B72" s="246"/>
      <c r="C72" s="246"/>
      <c r="D72" s="246"/>
      <c r="E72" s="233"/>
    </row>
    <row r="73" spans="1:5" ht="69" x14ac:dyDescent="0.25">
      <c r="A73" s="246" t="s">
        <v>1695</v>
      </c>
      <c r="B73" s="246"/>
      <c r="C73" s="246"/>
      <c r="D73" s="246"/>
      <c r="E73" s="233"/>
    </row>
    <row r="76" spans="1:5" x14ac:dyDescent="0.25">
      <c r="E76" s="233"/>
    </row>
    <row r="77" spans="1:5" x14ac:dyDescent="0.25">
      <c r="E77" s="233"/>
    </row>
    <row r="78" spans="1:5" x14ac:dyDescent="0.25">
      <c r="E78" s="233"/>
    </row>
    <row r="80" spans="1:5" x14ac:dyDescent="0.25">
      <c r="E80" s="233"/>
    </row>
    <row r="81" spans="5:5" ht="12.75" customHeight="1" x14ac:dyDescent="0.25"/>
    <row r="82" spans="5:5" x14ac:dyDescent="0.25">
      <c r="E82" s="233"/>
    </row>
    <row r="84" spans="5:5" x14ac:dyDescent="0.25">
      <c r="E84" s="233"/>
    </row>
    <row r="87" spans="5:5" x14ac:dyDescent="0.25">
      <c r="E87" s="233"/>
    </row>
    <row r="88" spans="5:5" x14ac:dyDescent="0.25">
      <c r="E88" s="233"/>
    </row>
    <row r="89" spans="5:5" x14ac:dyDescent="0.25">
      <c r="E89" s="233"/>
    </row>
    <row r="90" spans="5:5" x14ac:dyDescent="0.25">
      <c r="E90" s="233"/>
    </row>
  </sheetData>
  <mergeCells count="1">
    <mergeCell ref="B1:D1"/>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6F850B-C21A-4344-8C3D-6476285F8CA6}">
  <sheetPr codeName="Sheet21">
    <tabColor rgb="FFFFFF00"/>
  </sheetPr>
  <dimension ref="A1:M64"/>
  <sheetViews>
    <sheetView workbookViewId="0">
      <pane xSplit="2" ySplit="5" topLeftCell="C6" activePane="bottomRight" state="frozen"/>
      <selection pane="topRight" activeCell="B32" sqref="B32"/>
      <selection pane="bottomLeft" activeCell="B32" sqref="B32"/>
      <selection pane="bottomRight" activeCell="H16" sqref="H16"/>
    </sheetView>
  </sheetViews>
  <sheetFormatPr defaultRowHeight="12.5" x14ac:dyDescent="0.25"/>
  <cols>
    <col min="1" max="1" width="23.81640625" style="1" customWidth="1"/>
    <col min="2" max="5" width="14.26953125" style="1" customWidth="1"/>
    <col min="6" max="6" width="14.26953125" style="3" customWidth="1"/>
    <col min="7" max="13" width="14.26953125" style="1" customWidth="1"/>
    <col min="14" max="15" width="9.1796875" customWidth="1"/>
  </cols>
  <sheetData>
    <row r="1" spans="1:13" ht="15.5" x14ac:dyDescent="0.25">
      <c r="A1" s="6" t="s">
        <v>1696</v>
      </c>
      <c r="B1" s="6"/>
      <c r="C1" s="6"/>
      <c r="D1" s="6"/>
      <c r="E1" s="6"/>
      <c r="G1" s="6"/>
      <c r="H1" s="6"/>
      <c r="I1" s="6"/>
      <c r="J1" s="6"/>
      <c r="K1" s="6"/>
      <c r="L1" s="6"/>
      <c r="M1" s="6"/>
    </row>
    <row r="2" spans="1:13" ht="13" x14ac:dyDescent="0.25">
      <c r="A2" s="4" t="s">
        <v>122</v>
      </c>
      <c r="B2" s="4"/>
      <c r="C2" s="256" t="s">
        <v>1636</v>
      </c>
      <c r="D2" s="4"/>
      <c r="E2" s="4"/>
      <c r="G2" s="4"/>
      <c r="H2" s="4"/>
      <c r="I2" s="4"/>
      <c r="J2" s="4"/>
      <c r="K2" s="4"/>
      <c r="L2" s="4"/>
      <c r="M2" s="4"/>
    </row>
    <row r="3" spans="1:13" ht="13" x14ac:dyDescent="0.25">
      <c r="A3" s="4" t="s">
        <v>1697</v>
      </c>
      <c r="B3" s="4"/>
      <c r="C3" s="4"/>
      <c r="D3" s="4"/>
      <c r="E3" s="4"/>
      <c r="G3" s="4"/>
      <c r="H3" s="4"/>
      <c r="I3" s="4"/>
      <c r="J3" s="4"/>
      <c r="K3" s="4"/>
      <c r="L3" s="4"/>
      <c r="M3" s="4"/>
    </row>
    <row r="5" spans="1:13" ht="13" x14ac:dyDescent="0.25">
      <c r="A5" s="4"/>
      <c r="B5" s="4" t="s">
        <v>1698</v>
      </c>
      <c r="C5" s="4" t="s">
        <v>1699</v>
      </c>
      <c r="D5" s="4" t="s">
        <v>1700</v>
      </c>
      <c r="E5" s="4" t="s">
        <v>1701</v>
      </c>
      <c r="G5" s="4"/>
      <c r="H5" s="4"/>
      <c r="I5" s="4"/>
      <c r="J5" s="4"/>
      <c r="K5" s="4"/>
      <c r="L5" s="4"/>
      <c r="M5" s="4"/>
    </row>
    <row r="7" spans="1:13" x14ac:dyDescent="0.25">
      <c r="A7" s="2" t="s">
        <v>1702</v>
      </c>
    </row>
    <row r="8" spans="1:13" x14ac:dyDescent="0.25">
      <c r="A8" s="3" t="s">
        <v>1703</v>
      </c>
      <c r="B8" s="3">
        <v>0</v>
      </c>
      <c r="C8" s="3">
        <v>0</v>
      </c>
      <c r="D8" s="3">
        <v>-147</v>
      </c>
      <c r="E8" s="3">
        <v>-147</v>
      </c>
    </row>
    <row r="9" spans="1:13" x14ac:dyDescent="0.25">
      <c r="A9" s="3" t="s">
        <v>1704</v>
      </c>
      <c r="B9" s="3">
        <v>23325</v>
      </c>
      <c r="C9" s="3">
        <v>18127.5</v>
      </c>
      <c r="D9" s="3">
        <v>39814</v>
      </c>
      <c r="E9" s="3">
        <v>81266.5</v>
      </c>
    </row>
    <row r="10" spans="1:13" x14ac:dyDescent="0.25">
      <c r="A10" s="3" t="s">
        <v>1705</v>
      </c>
      <c r="B10" s="3">
        <v>340231.85</v>
      </c>
      <c r="C10" s="3">
        <v>336951.88</v>
      </c>
      <c r="D10" s="3">
        <v>322853.02</v>
      </c>
      <c r="E10" s="3">
        <v>1000036.75</v>
      </c>
    </row>
    <row r="11" spans="1:13" x14ac:dyDescent="0.25">
      <c r="A11" s="3" t="s">
        <v>1706</v>
      </c>
      <c r="B11" s="3">
        <v>57559.31</v>
      </c>
      <c r="C11" s="3">
        <v>60743.46</v>
      </c>
      <c r="D11" s="3">
        <v>66913.45</v>
      </c>
      <c r="E11" s="3">
        <v>185216.22</v>
      </c>
    </row>
    <row r="12" spans="1:13" x14ac:dyDescent="0.25">
      <c r="A12" s="3" t="s">
        <v>1707</v>
      </c>
      <c r="B12" s="3">
        <v>0</v>
      </c>
      <c r="C12" s="3">
        <v>5103</v>
      </c>
      <c r="D12" s="3">
        <v>927.4</v>
      </c>
      <c r="E12" s="3">
        <v>6030.4</v>
      </c>
    </row>
    <row r="13" spans="1:13" x14ac:dyDescent="0.25">
      <c r="A13" s="3" t="s">
        <v>1708</v>
      </c>
      <c r="B13" s="3">
        <v>4894.57</v>
      </c>
      <c r="C13" s="3">
        <v>2087.4899999999998</v>
      </c>
      <c r="D13" s="3">
        <v>1463.59</v>
      </c>
      <c r="E13" s="3">
        <v>8445.65</v>
      </c>
    </row>
    <row r="14" spans="1:13" x14ac:dyDescent="0.25">
      <c r="A14" s="3" t="s">
        <v>1709</v>
      </c>
      <c r="B14" s="3">
        <v>66302.5</v>
      </c>
      <c r="C14" s="3">
        <v>38042.5</v>
      </c>
      <c r="D14" s="3">
        <v>39532.5</v>
      </c>
      <c r="E14" s="3">
        <v>143877.5</v>
      </c>
    </row>
    <row r="15" spans="1:13" x14ac:dyDescent="0.25">
      <c r="A15" s="14" t="s">
        <v>1710</v>
      </c>
      <c r="B15" s="15">
        <f>SUM(B8:B14)</f>
        <v>492313.23</v>
      </c>
      <c r="C15" s="15">
        <f>SUM(C8:C14)</f>
        <v>461055.83</v>
      </c>
      <c r="D15" s="15">
        <f>SUM(D8:D14)</f>
        <v>471356.96000000008</v>
      </c>
      <c r="E15" s="15">
        <f>SUM(E8:E14)</f>
        <v>1424726.0199999998</v>
      </c>
    </row>
    <row r="17" spans="1:5" x14ac:dyDescent="0.25">
      <c r="A17" s="2" t="s">
        <v>1711</v>
      </c>
    </row>
    <row r="18" spans="1:5" x14ac:dyDescent="0.25">
      <c r="A18" s="3" t="s">
        <v>1712</v>
      </c>
      <c r="B18" s="3">
        <v>52600.11</v>
      </c>
      <c r="C18" s="3">
        <v>55131.01</v>
      </c>
      <c r="D18" s="3">
        <v>49955.360000000001</v>
      </c>
      <c r="E18" s="3">
        <v>157686.48000000001</v>
      </c>
    </row>
    <row r="19" spans="1:5" x14ac:dyDescent="0.25">
      <c r="A19" s="3" t="s">
        <v>1713</v>
      </c>
      <c r="B19" s="3">
        <v>47819.5</v>
      </c>
      <c r="C19" s="3">
        <v>47214.5</v>
      </c>
      <c r="D19" s="3">
        <v>46804.5</v>
      </c>
      <c r="E19" s="3">
        <v>141838.5</v>
      </c>
    </row>
    <row r="20" spans="1:5" x14ac:dyDescent="0.25">
      <c r="A20" s="3" t="s">
        <v>1714</v>
      </c>
      <c r="B20" s="3">
        <v>22683.09</v>
      </c>
      <c r="C20" s="3">
        <v>19979.740000000002</v>
      </c>
      <c r="D20" s="3">
        <v>24653.91</v>
      </c>
      <c r="E20" s="3">
        <v>67316.740000000005</v>
      </c>
    </row>
    <row r="21" spans="1:5" x14ac:dyDescent="0.25">
      <c r="A21" s="3" t="s">
        <v>1715</v>
      </c>
      <c r="B21" s="3">
        <v>13055.05</v>
      </c>
      <c r="C21" s="3">
        <v>1485.74</v>
      </c>
      <c r="D21" s="3">
        <v>1275.55</v>
      </c>
      <c r="E21" s="3">
        <v>15816.34</v>
      </c>
    </row>
    <row r="22" spans="1:5" x14ac:dyDescent="0.25">
      <c r="A22" s="3" t="s">
        <v>1716</v>
      </c>
      <c r="B22" s="3">
        <v>10856.56</v>
      </c>
      <c r="C22" s="3">
        <v>2228.61</v>
      </c>
      <c r="D22" s="3">
        <v>16165.16</v>
      </c>
      <c r="E22" s="3">
        <v>29250.33</v>
      </c>
    </row>
    <row r="23" spans="1:5" x14ac:dyDescent="0.25">
      <c r="A23" s="3" t="s">
        <v>1717</v>
      </c>
      <c r="B23" s="3">
        <v>1655</v>
      </c>
      <c r="C23" s="3">
        <v>520</v>
      </c>
      <c r="D23" s="3">
        <v>325</v>
      </c>
      <c r="E23" s="3">
        <v>2500</v>
      </c>
    </row>
    <row r="24" spans="1:5" x14ac:dyDescent="0.25">
      <c r="A24" s="3" t="s">
        <v>1718</v>
      </c>
      <c r="B24" s="3">
        <v>1700</v>
      </c>
      <c r="C24" s="3">
        <v>1000</v>
      </c>
      <c r="D24" s="3">
        <v>1009.72</v>
      </c>
      <c r="E24" s="3">
        <v>3709.72</v>
      </c>
    </row>
    <row r="25" spans="1:5" x14ac:dyDescent="0.25">
      <c r="A25" s="3" t="s">
        <v>1719</v>
      </c>
      <c r="B25" s="3">
        <v>290.75</v>
      </c>
      <c r="C25" s="3">
        <v>7229</v>
      </c>
      <c r="D25" s="3">
        <v>6766.65</v>
      </c>
      <c r="E25" s="3">
        <v>14286.4</v>
      </c>
    </row>
    <row r="26" spans="1:5" x14ac:dyDescent="0.25">
      <c r="A26" s="3" t="s">
        <v>1720</v>
      </c>
      <c r="B26" s="3">
        <v>13461.7</v>
      </c>
      <c r="C26" s="3">
        <v>17824.919999999998</v>
      </c>
      <c r="D26" s="3">
        <v>13776.63</v>
      </c>
      <c r="E26" s="3">
        <v>45063.25</v>
      </c>
    </row>
    <row r="27" spans="1:5" x14ac:dyDescent="0.25">
      <c r="A27" s="3" t="s">
        <v>1721</v>
      </c>
      <c r="B27" s="3">
        <v>5156.1400000000003</v>
      </c>
      <c r="C27" s="3">
        <v>2276.98</v>
      </c>
      <c r="D27" s="3">
        <v>7058.45</v>
      </c>
      <c r="E27" s="3">
        <v>14491.57</v>
      </c>
    </row>
    <row r="28" spans="1:5" x14ac:dyDescent="0.25">
      <c r="A28" s="3" t="s">
        <v>1722</v>
      </c>
      <c r="B28" s="3">
        <v>125243.49</v>
      </c>
      <c r="C28" s="3">
        <v>133001.04999999999</v>
      </c>
      <c r="D28" s="3">
        <v>120997.2</v>
      </c>
      <c r="E28" s="3">
        <v>379241.74</v>
      </c>
    </row>
    <row r="29" spans="1:5" x14ac:dyDescent="0.25">
      <c r="A29" s="3" t="s">
        <v>1723</v>
      </c>
      <c r="B29" s="3">
        <v>41664.589999999997</v>
      </c>
      <c r="C29" s="3">
        <v>34846.35</v>
      </c>
      <c r="D29" s="3">
        <v>21047.97</v>
      </c>
      <c r="E29" s="3">
        <v>97558.91</v>
      </c>
    </row>
    <row r="30" spans="1:5" x14ac:dyDescent="0.25">
      <c r="A30" s="3" t="s">
        <v>1724</v>
      </c>
      <c r="B30" s="3">
        <v>607.58000000000004</v>
      </c>
      <c r="C30" s="3">
        <v>900</v>
      </c>
      <c r="D30" s="3">
        <v>213.75</v>
      </c>
      <c r="E30" s="3">
        <v>1721.33</v>
      </c>
    </row>
    <row r="31" spans="1:5" x14ac:dyDescent="0.25">
      <c r="A31" s="14" t="s">
        <v>1725</v>
      </c>
      <c r="B31" s="15">
        <f>SUM(B18:B30)</f>
        <v>336793.56</v>
      </c>
      <c r="C31" s="15">
        <f>SUM(C18:C30)</f>
        <v>323637.90000000002</v>
      </c>
      <c r="D31" s="15">
        <f>SUM(D18:D30)</f>
        <v>310049.84999999998</v>
      </c>
      <c r="E31" s="15">
        <f>SUM(E18:E30)</f>
        <v>970481.31</v>
      </c>
    </row>
    <row r="33" spans="1:5" ht="13" thickBot="1" x14ac:dyDescent="0.3">
      <c r="A33" s="149" t="s">
        <v>1726</v>
      </c>
      <c r="B33" s="150">
        <f>(B15)-(B31)</f>
        <v>155519.66999999998</v>
      </c>
      <c r="C33" s="150">
        <f>(C15)-(C31)</f>
        <v>137417.93</v>
      </c>
      <c r="D33" s="150">
        <f>(D15)-(D31)</f>
        <v>161307.1100000001</v>
      </c>
      <c r="E33" s="150">
        <f>(E15)-(E31)</f>
        <v>454244.70999999973</v>
      </c>
    </row>
    <row r="34" spans="1:5" ht="13" thickTop="1" x14ac:dyDescent="0.25"/>
    <row r="35" spans="1:5" x14ac:dyDescent="0.25">
      <c r="A35" s="2" t="s">
        <v>1727</v>
      </c>
    </row>
    <row r="36" spans="1:5" x14ac:dyDescent="0.25">
      <c r="A36" s="3" t="s">
        <v>45</v>
      </c>
      <c r="B36" s="3">
        <v>8.42</v>
      </c>
      <c r="C36" s="3">
        <v>3.84</v>
      </c>
      <c r="D36" s="3">
        <v>3.8</v>
      </c>
      <c r="E36" s="3">
        <v>16.059999999999999</v>
      </c>
    </row>
    <row r="37" spans="1:5" x14ac:dyDescent="0.25">
      <c r="A37" s="3" t="s">
        <v>1728</v>
      </c>
      <c r="B37" s="3">
        <v>6997.28</v>
      </c>
      <c r="C37" s="3">
        <v>0</v>
      </c>
      <c r="D37" s="3">
        <v>0</v>
      </c>
      <c r="E37" s="3">
        <v>6997.28</v>
      </c>
    </row>
    <row r="38" spans="1:5" x14ac:dyDescent="0.25">
      <c r="A38" s="14" t="s">
        <v>1729</v>
      </c>
      <c r="B38" s="15">
        <f>SUM(B36:B37)</f>
        <v>7005.7</v>
      </c>
      <c r="C38" s="15">
        <f>SUM(C36:C37)</f>
        <v>3.84</v>
      </c>
      <c r="D38" s="15">
        <f>SUM(D36:D37)</f>
        <v>3.8</v>
      </c>
      <c r="E38" s="15">
        <f>SUM(E36:E37)</f>
        <v>7013.34</v>
      </c>
    </row>
    <row r="40" spans="1:5" x14ac:dyDescent="0.25">
      <c r="A40" s="2" t="s">
        <v>1730</v>
      </c>
    </row>
    <row r="41" spans="1:5" x14ac:dyDescent="0.25">
      <c r="A41" s="3" t="s">
        <v>1731</v>
      </c>
      <c r="B41" s="3">
        <v>4600</v>
      </c>
      <c r="C41" s="3">
        <v>3080</v>
      </c>
      <c r="D41" s="3">
        <v>7980</v>
      </c>
      <c r="E41" s="3">
        <v>15660</v>
      </c>
    </row>
    <row r="42" spans="1:5" x14ac:dyDescent="0.25">
      <c r="A42" s="3" t="s">
        <v>1732</v>
      </c>
      <c r="B42" s="3">
        <v>8400</v>
      </c>
      <c r="C42" s="3">
        <v>0</v>
      </c>
      <c r="D42" s="3">
        <v>1030</v>
      </c>
      <c r="E42" s="3">
        <v>9430</v>
      </c>
    </row>
    <row r="43" spans="1:5" x14ac:dyDescent="0.25">
      <c r="A43" s="3" t="s">
        <v>1733</v>
      </c>
      <c r="B43" s="3">
        <v>453.13</v>
      </c>
      <c r="C43" s="3">
        <v>312.89</v>
      </c>
      <c r="D43" s="3">
        <v>226.86</v>
      </c>
      <c r="E43" s="3">
        <v>992.88</v>
      </c>
    </row>
    <row r="44" spans="1:5" x14ac:dyDescent="0.25">
      <c r="A44" s="3" t="s">
        <v>1734</v>
      </c>
      <c r="B44" s="3">
        <v>793.32</v>
      </c>
      <c r="C44" s="3">
        <v>5699.42</v>
      </c>
      <c r="D44" s="3">
        <v>1205.77</v>
      </c>
      <c r="E44" s="3">
        <v>7698.51</v>
      </c>
    </row>
    <row r="45" spans="1:5" x14ac:dyDescent="0.25">
      <c r="A45" s="3" t="s">
        <v>1735</v>
      </c>
      <c r="B45" s="3">
        <v>7270</v>
      </c>
      <c r="C45" s="3">
        <v>-115</v>
      </c>
      <c r="D45" s="3">
        <v>2420</v>
      </c>
      <c r="E45" s="3">
        <v>9575</v>
      </c>
    </row>
    <row r="46" spans="1:5" x14ac:dyDescent="0.25">
      <c r="A46" s="3" t="s">
        <v>1736</v>
      </c>
      <c r="B46" s="3">
        <v>2625</v>
      </c>
      <c r="C46" s="3">
        <v>2625</v>
      </c>
      <c r="D46" s="3">
        <v>2625</v>
      </c>
      <c r="E46" s="3">
        <v>7875</v>
      </c>
    </row>
    <row r="47" spans="1:5" x14ac:dyDescent="0.25">
      <c r="A47" s="3" t="s">
        <v>1737</v>
      </c>
      <c r="B47" s="3">
        <v>104.4</v>
      </c>
      <c r="C47" s="3">
        <v>0</v>
      </c>
      <c r="D47" s="3">
        <v>0</v>
      </c>
      <c r="E47" s="3">
        <v>104.4</v>
      </c>
    </row>
    <row r="48" spans="1:5" x14ac:dyDescent="0.25">
      <c r="A48" s="3" t="s">
        <v>1738</v>
      </c>
      <c r="B48" s="3">
        <v>83</v>
      </c>
      <c r="C48" s="3">
        <v>0</v>
      </c>
      <c r="D48" s="3">
        <v>2559</v>
      </c>
      <c r="E48" s="3">
        <v>2642</v>
      </c>
    </row>
    <row r="49" spans="1:5" x14ac:dyDescent="0.25">
      <c r="A49" s="3" t="s">
        <v>1739</v>
      </c>
      <c r="B49" s="3">
        <v>1308.69</v>
      </c>
      <c r="C49" s="3">
        <v>229.15</v>
      </c>
      <c r="D49" s="3">
        <v>426.39</v>
      </c>
      <c r="E49" s="3">
        <v>1964.23</v>
      </c>
    </row>
    <row r="50" spans="1:5" x14ac:dyDescent="0.25">
      <c r="A50" s="3" t="s">
        <v>1740</v>
      </c>
      <c r="B50" s="3">
        <v>3010.11</v>
      </c>
      <c r="C50" s="3">
        <v>3010.11</v>
      </c>
      <c r="D50" s="3">
        <v>2876.37</v>
      </c>
      <c r="E50" s="3">
        <v>8896.59</v>
      </c>
    </row>
    <row r="51" spans="1:5" x14ac:dyDescent="0.25">
      <c r="A51" s="3" t="s">
        <v>1741</v>
      </c>
      <c r="B51" s="3">
        <v>2107.25</v>
      </c>
      <c r="C51" s="3">
        <v>0</v>
      </c>
      <c r="D51" s="3">
        <v>0</v>
      </c>
      <c r="E51" s="3">
        <v>2107.25</v>
      </c>
    </row>
    <row r="52" spans="1:5" x14ac:dyDescent="0.25">
      <c r="A52" s="3" t="s">
        <v>1742</v>
      </c>
      <c r="B52" s="3">
        <v>552</v>
      </c>
      <c r="C52" s="3">
        <v>624</v>
      </c>
      <c r="D52" s="3">
        <v>624</v>
      </c>
      <c r="E52" s="3">
        <v>1800</v>
      </c>
    </row>
    <row r="53" spans="1:5" x14ac:dyDescent="0.25">
      <c r="A53" s="3" t="s">
        <v>1743</v>
      </c>
      <c r="B53" s="3">
        <v>430.22</v>
      </c>
      <c r="C53" s="3">
        <v>529.77</v>
      </c>
      <c r="D53" s="3">
        <v>818</v>
      </c>
      <c r="E53" s="3">
        <v>1777.99</v>
      </c>
    </row>
    <row r="54" spans="1:5" x14ac:dyDescent="0.25">
      <c r="A54" s="3" t="s">
        <v>1744</v>
      </c>
      <c r="B54" s="3">
        <v>20.39</v>
      </c>
      <c r="C54" s="3">
        <v>32.270000000000003</v>
      </c>
      <c r="D54" s="3">
        <v>0</v>
      </c>
      <c r="E54" s="3">
        <v>52.66</v>
      </c>
    </row>
    <row r="55" spans="1:5" x14ac:dyDescent="0.25">
      <c r="A55" s="3" t="s">
        <v>1745</v>
      </c>
      <c r="B55" s="3">
        <v>2340</v>
      </c>
      <c r="C55" s="3">
        <v>0</v>
      </c>
      <c r="D55" s="3">
        <v>21.11</v>
      </c>
      <c r="E55" s="3">
        <v>2361.11</v>
      </c>
    </row>
    <row r="56" spans="1:5" x14ac:dyDescent="0.25">
      <c r="A56" s="3" t="s">
        <v>1746</v>
      </c>
      <c r="B56" s="3">
        <v>1368.28</v>
      </c>
      <c r="C56" s="3">
        <v>656.69</v>
      </c>
      <c r="D56" s="3">
        <v>730.26</v>
      </c>
      <c r="E56" s="3">
        <v>2755.23</v>
      </c>
    </row>
    <row r="57" spans="1:5" x14ac:dyDescent="0.25">
      <c r="A57" s="3" t="s">
        <v>1747</v>
      </c>
      <c r="B57" s="3">
        <v>6097.8</v>
      </c>
      <c r="C57" s="3">
        <v>3215.6</v>
      </c>
      <c r="D57" s="3">
        <v>6000</v>
      </c>
      <c r="E57" s="3">
        <v>15313.4</v>
      </c>
    </row>
    <row r="58" spans="1:5" x14ac:dyDescent="0.25">
      <c r="A58" s="3" t="s">
        <v>1748</v>
      </c>
      <c r="B58" s="3">
        <v>10423.299999999999</v>
      </c>
      <c r="C58" s="3">
        <v>7588.04</v>
      </c>
      <c r="D58" s="3">
        <v>8751.83</v>
      </c>
      <c r="E58" s="3">
        <v>26763.17</v>
      </c>
    </row>
    <row r="59" spans="1:5" x14ac:dyDescent="0.25">
      <c r="A59" s="3" t="s">
        <v>1749</v>
      </c>
      <c r="B59" s="3">
        <v>9750</v>
      </c>
      <c r="C59" s="3">
        <v>9750</v>
      </c>
      <c r="D59" s="3">
        <v>9750</v>
      </c>
      <c r="E59" s="3">
        <v>29250</v>
      </c>
    </row>
    <row r="60" spans="1:5" x14ac:dyDescent="0.25">
      <c r="A60" s="3" t="s">
        <v>1750</v>
      </c>
      <c r="B60" s="3">
        <v>238.31</v>
      </c>
      <c r="C60" s="3">
        <v>379.65</v>
      </c>
      <c r="D60" s="3">
        <v>212.36</v>
      </c>
      <c r="E60" s="3">
        <v>830.32</v>
      </c>
    </row>
    <row r="61" spans="1:5" x14ac:dyDescent="0.25">
      <c r="A61" s="3" t="s">
        <v>1751</v>
      </c>
      <c r="B61" s="3">
        <v>97500</v>
      </c>
      <c r="C61" s="3">
        <v>97500</v>
      </c>
      <c r="D61" s="3">
        <v>97500</v>
      </c>
      <c r="E61" s="3">
        <v>292500</v>
      </c>
    </row>
    <row r="62" spans="1:5" x14ac:dyDescent="0.25">
      <c r="A62" s="14" t="s">
        <v>1752</v>
      </c>
      <c r="B62" s="15">
        <f>SUM(B41:B61)</f>
        <v>159475.20000000001</v>
      </c>
      <c r="C62" s="15">
        <f>SUM(C41:C61)</f>
        <v>135117.59</v>
      </c>
      <c r="D62" s="15">
        <f>SUM(D41:D61)</f>
        <v>145756.95000000001</v>
      </c>
      <c r="E62" s="15">
        <f>SUM(E41:E61)</f>
        <v>440349.74</v>
      </c>
    </row>
    <row r="64" spans="1:5" ht="13" thickBot="1" x14ac:dyDescent="0.3">
      <c r="A64" s="149" t="s">
        <v>1753</v>
      </c>
      <c r="B64" s="150">
        <f>(B33)+(B38)-(B62)+(0)-(0)</f>
        <v>3050.1699999999837</v>
      </c>
      <c r="C64" s="150">
        <f>(C33)+(C38)-(C62)+(0)-(0)</f>
        <v>2304.179999999993</v>
      </c>
      <c r="D64" s="150">
        <f>(D33)+(D38)-(D62)+(0)-(0)</f>
        <v>15553.960000000079</v>
      </c>
      <c r="E64" s="150">
        <f>(E33)+(E38)-(E62)+(0)-(0)</f>
        <v>20908.309999999765</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tabColor rgb="FFFFFF00"/>
    <outlinePr summaryBelow="0" summaryRight="0"/>
  </sheetPr>
  <dimension ref="A1:S37"/>
  <sheetViews>
    <sheetView workbookViewId="0">
      <pane xSplit="5" ySplit="5" topLeftCell="F15" activePane="bottomRight" state="frozen"/>
      <selection pane="topRight" activeCell="B32" sqref="B32"/>
      <selection pane="bottomLeft" activeCell="B32" sqref="B32"/>
      <selection pane="bottomRight" activeCell="A2" sqref="A2"/>
    </sheetView>
  </sheetViews>
  <sheetFormatPr defaultColWidth="14.453125" defaultRowHeight="15.75" customHeight="1" x14ac:dyDescent="0.3"/>
  <cols>
    <col min="1" max="1" width="14.7265625" customWidth="1"/>
    <col min="2" max="2" width="41.26953125" customWidth="1"/>
    <col min="3" max="3" width="18.26953125" customWidth="1"/>
    <col min="4" max="4" width="6.7265625" customWidth="1"/>
    <col min="5" max="5" width="11.26953125" customWidth="1"/>
    <col min="6" max="6" width="11.7265625" style="31" bestFit="1" customWidth="1"/>
    <col min="7" max="18" width="11.26953125" customWidth="1"/>
    <col min="19" max="16384" width="14.453125" style="10"/>
  </cols>
  <sheetData>
    <row r="1" spans="1:19" ht="15.75" customHeight="1" x14ac:dyDescent="0.4">
      <c r="A1" s="251" t="s">
        <v>1754</v>
      </c>
      <c r="B1" s="5"/>
      <c r="C1" s="5"/>
      <c r="D1" s="5"/>
      <c r="E1" s="5"/>
      <c r="F1" s="225"/>
    </row>
    <row r="2" spans="1:19" ht="14" x14ac:dyDescent="0.3">
      <c r="A2" s="7" t="s">
        <v>1755</v>
      </c>
      <c r="B2" s="5"/>
      <c r="C2" s="5"/>
      <c r="D2" s="5"/>
      <c r="E2" s="5"/>
      <c r="F2" s="225"/>
      <c r="H2" s="263" t="s">
        <v>1756</v>
      </c>
    </row>
    <row r="3" spans="1:19" ht="14" x14ac:dyDescent="0.3">
      <c r="A3" s="7" t="s">
        <v>122</v>
      </c>
      <c r="B3" s="5"/>
      <c r="C3" s="5"/>
      <c r="D3" s="5"/>
      <c r="E3" s="5"/>
      <c r="F3" s="226"/>
    </row>
    <row r="4" spans="1:19" ht="14" x14ac:dyDescent="0.3">
      <c r="A4" s="5"/>
      <c r="B4" s="5"/>
      <c r="C4" s="5"/>
      <c r="D4" s="5"/>
      <c r="E4" s="5"/>
      <c r="F4" s="227"/>
      <c r="S4" s="9"/>
    </row>
    <row r="5" spans="1:19" ht="14" x14ac:dyDescent="0.3">
      <c r="A5" s="7" t="s">
        <v>1757</v>
      </c>
      <c r="B5" s="7" t="s">
        <v>1758</v>
      </c>
      <c r="C5" s="7" t="s">
        <v>61</v>
      </c>
      <c r="D5" s="7" t="s">
        <v>1759</v>
      </c>
      <c r="E5" s="7" t="s">
        <v>1760</v>
      </c>
      <c r="F5" s="225"/>
      <c r="G5" s="7"/>
      <c r="H5" s="7"/>
      <c r="I5" s="7"/>
      <c r="J5" s="7"/>
      <c r="K5" s="7"/>
      <c r="L5" s="7"/>
      <c r="M5" s="7"/>
      <c r="N5" s="7"/>
      <c r="O5" s="7"/>
      <c r="P5" s="7"/>
      <c r="Q5" s="7"/>
      <c r="R5" s="7"/>
      <c r="S5" s="9"/>
    </row>
    <row r="6" spans="1:19" ht="14" x14ac:dyDescent="0.3">
      <c r="A6" s="7" t="s">
        <v>1761</v>
      </c>
      <c r="B6" s="5"/>
      <c r="C6" s="5"/>
      <c r="D6" s="5"/>
      <c r="E6" s="5"/>
      <c r="F6" s="225"/>
      <c r="G6" s="13"/>
      <c r="H6" s="13"/>
      <c r="I6" s="13"/>
      <c r="J6" s="13"/>
      <c r="K6" s="13"/>
      <c r="L6" s="13"/>
      <c r="M6" s="13"/>
      <c r="N6" s="13"/>
      <c r="O6" s="13"/>
      <c r="P6" s="13"/>
      <c r="Q6" s="13"/>
      <c r="R6" s="13"/>
      <c r="S6" s="9"/>
    </row>
    <row r="7" spans="1:19" ht="14" x14ac:dyDescent="0.3">
      <c r="A7" s="5" t="s">
        <v>1761</v>
      </c>
      <c r="B7" s="5" t="s">
        <v>1762</v>
      </c>
      <c r="C7" s="5" t="s">
        <v>5</v>
      </c>
      <c r="D7" s="5">
        <v>25.2</v>
      </c>
      <c r="E7" s="252">
        <v>1100.03</v>
      </c>
      <c r="F7" s="224"/>
      <c r="G7" s="13"/>
      <c r="H7" s="13"/>
      <c r="I7" s="13"/>
      <c r="J7" s="13"/>
      <c r="K7" s="13"/>
      <c r="L7" s="13"/>
      <c r="M7" s="13"/>
      <c r="N7" s="13"/>
      <c r="O7" s="13"/>
      <c r="P7" s="13"/>
      <c r="Q7" s="13"/>
      <c r="R7" s="13"/>
      <c r="S7" s="9"/>
    </row>
    <row r="8" spans="1:19" ht="14" x14ac:dyDescent="0.3">
      <c r="A8" s="5" t="s">
        <v>1761</v>
      </c>
      <c r="B8" s="5" t="s">
        <v>1763</v>
      </c>
      <c r="C8" s="5" t="s">
        <v>5</v>
      </c>
      <c r="D8" s="5"/>
      <c r="E8" s="252">
        <v>8595</v>
      </c>
      <c r="F8" s="225"/>
      <c r="G8" s="13"/>
      <c r="H8" s="13"/>
      <c r="I8" s="13"/>
      <c r="J8" s="13"/>
      <c r="K8" s="13"/>
      <c r="L8" s="13"/>
      <c r="M8" s="13"/>
      <c r="N8" s="13"/>
      <c r="O8" s="13"/>
      <c r="P8" s="13"/>
      <c r="Q8" s="13"/>
      <c r="R8" s="13"/>
    </row>
    <row r="9" spans="1:19" ht="14" x14ac:dyDescent="0.3">
      <c r="A9" s="5" t="s">
        <v>1761</v>
      </c>
      <c r="B9" s="5" t="s">
        <v>1764</v>
      </c>
      <c r="C9" s="5" t="s">
        <v>5</v>
      </c>
      <c r="D9" s="5">
        <v>11.6</v>
      </c>
      <c r="E9" s="252">
        <v>528.34</v>
      </c>
      <c r="F9" s="225"/>
      <c r="G9" s="13"/>
      <c r="H9" s="13"/>
      <c r="I9" s="13"/>
      <c r="J9" s="13"/>
      <c r="K9" s="13"/>
      <c r="L9" s="13"/>
      <c r="M9" s="13"/>
      <c r="N9" s="13"/>
      <c r="O9" s="13"/>
      <c r="P9" s="13"/>
      <c r="Q9" s="13"/>
      <c r="R9" s="13"/>
    </row>
    <row r="10" spans="1:19" ht="14" x14ac:dyDescent="0.3">
      <c r="A10" s="5" t="s">
        <v>1761</v>
      </c>
      <c r="B10" s="5" t="s">
        <v>1765</v>
      </c>
      <c r="C10" s="5" t="s">
        <v>5</v>
      </c>
      <c r="D10" s="5">
        <v>22.8</v>
      </c>
      <c r="E10" s="252">
        <v>807.69</v>
      </c>
      <c r="F10" s="228"/>
      <c r="G10" s="13"/>
      <c r="H10" s="13"/>
      <c r="I10" s="13"/>
      <c r="J10" s="13"/>
      <c r="K10" s="13"/>
      <c r="L10" s="13"/>
      <c r="M10" s="13"/>
      <c r="N10" s="13"/>
      <c r="O10" s="13"/>
      <c r="P10" s="13"/>
      <c r="Q10" s="13"/>
      <c r="R10" s="13"/>
    </row>
    <row r="11" spans="1:19" ht="14" x14ac:dyDescent="0.3">
      <c r="A11" s="5" t="s">
        <v>1761</v>
      </c>
      <c r="B11" s="5" t="s">
        <v>1766</v>
      </c>
      <c r="C11" s="5" t="s">
        <v>5</v>
      </c>
      <c r="D11" s="5">
        <v>15.2</v>
      </c>
      <c r="E11" s="252">
        <v>653.84</v>
      </c>
      <c r="F11" s="225"/>
      <c r="G11" s="13"/>
      <c r="H11" s="13"/>
      <c r="I11" s="13"/>
      <c r="J11" s="13"/>
      <c r="K11" s="13"/>
      <c r="L11" s="13"/>
      <c r="M11" s="13"/>
      <c r="N11" s="13"/>
      <c r="O11" s="13"/>
      <c r="P11" s="13"/>
      <c r="Q11" s="13"/>
      <c r="R11" s="13"/>
    </row>
    <row r="12" spans="1:19" ht="14" x14ac:dyDescent="0.3">
      <c r="A12" s="5" t="s">
        <v>1761</v>
      </c>
      <c r="B12" s="5" t="s">
        <v>1767</v>
      </c>
      <c r="C12" s="5" t="s">
        <v>5</v>
      </c>
      <c r="D12" s="5">
        <v>1257.5</v>
      </c>
      <c r="E12" s="252">
        <v>64755.38</v>
      </c>
      <c r="F12" s="225"/>
      <c r="G12" s="13"/>
      <c r="H12" s="13"/>
      <c r="I12" s="13"/>
      <c r="J12" s="13"/>
      <c r="K12" s="13"/>
      <c r="L12" s="13"/>
      <c r="M12" s="13"/>
      <c r="N12" s="13"/>
      <c r="O12" s="13"/>
      <c r="P12" s="13"/>
      <c r="Q12" s="13"/>
      <c r="R12" s="13"/>
    </row>
    <row r="13" spans="1:19" ht="14" x14ac:dyDescent="0.3">
      <c r="A13" s="5" t="s">
        <v>1761</v>
      </c>
      <c r="B13" s="5" t="s">
        <v>1768</v>
      </c>
      <c r="C13" s="5" t="s">
        <v>5</v>
      </c>
      <c r="D13" s="5">
        <v>32.6</v>
      </c>
      <c r="E13" s="252">
        <v>1398.61</v>
      </c>
      <c r="G13" s="13"/>
      <c r="H13" s="13"/>
      <c r="I13" s="13"/>
      <c r="J13" s="13"/>
      <c r="K13" s="13"/>
      <c r="L13" s="13"/>
      <c r="M13" s="13"/>
      <c r="N13" s="13"/>
      <c r="O13" s="13"/>
      <c r="P13" s="13"/>
      <c r="Q13" s="13"/>
      <c r="R13" s="13"/>
    </row>
    <row r="14" spans="1:19" ht="14" x14ac:dyDescent="0.3">
      <c r="A14" s="5" t="s">
        <v>1761</v>
      </c>
      <c r="B14" s="5" t="s">
        <v>1769</v>
      </c>
      <c r="C14" s="5" t="s">
        <v>5</v>
      </c>
      <c r="D14" s="5"/>
      <c r="E14" s="252">
        <v>1125</v>
      </c>
      <c r="F14" s="32"/>
      <c r="G14" s="13"/>
      <c r="H14" s="13"/>
      <c r="I14" s="13"/>
      <c r="J14" s="13"/>
      <c r="K14" s="13"/>
      <c r="L14" s="13"/>
      <c r="M14" s="13"/>
      <c r="N14" s="13"/>
      <c r="O14" s="13"/>
      <c r="P14" s="13"/>
      <c r="Q14" s="13"/>
      <c r="R14" s="13"/>
    </row>
    <row r="15" spans="1:19" customFormat="1" ht="15.75" customHeight="1" x14ac:dyDescent="0.3">
      <c r="A15" s="253"/>
      <c r="B15" s="253"/>
      <c r="C15" s="253"/>
      <c r="D15" s="253"/>
      <c r="E15" s="254">
        <v>78963.89</v>
      </c>
      <c r="F15" s="179"/>
      <c r="G15" s="179"/>
      <c r="H15" s="179"/>
      <c r="I15" s="179"/>
      <c r="J15" s="179"/>
      <c r="K15" s="179"/>
      <c r="L15" s="179"/>
      <c r="M15" s="179"/>
      <c r="N15" s="179"/>
      <c r="O15" s="179"/>
      <c r="P15" s="179"/>
      <c r="Q15" s="179"/>
      <c r="R15" s="179"/>
      <c r="S15" s="179"/>
    </row>
    <row r="16" spans="1:19" customFormat="1" ht="14.5" x14ac:dyDescent="0.25">
      <c r="A16" s="5"/>
      <c r="B16" s="5"/>
      <c r="C16" s="5"/>
      <c r="D16" s="5"/>
      <c r="E16" s="5"/>
      <c r="F16" s="179"/>
      <c r="G16" s="180"/>
      <c r="H16" s="180"/>
      <c r="I16" s="180"/>
      <c r="J16" s="180"/>
      <c r="K16" s="180"/>
      <c r="L16" s="180"/>
      <c r="M16" s="180"/>
      <c r="N16" s="180"/>
      <c r="O16" s="180"/>
      <c r="P16" s="179"/>
      <c r="Q16" s="180"/>
      <c r="R16" s="180"/>
      <c r="S16" s="179"/>
    </row>
    <row r="17" spans="1:19" customFormat="1" ht="15.75" customHeight="1" x14ac:dyDescent="0.3">
      <c r="A17" s="7" t="s">
        <v>1770</v>
      </c>
      <c r="B17" s="5"/>
      <c r="C17" s="5"/>
      <c r="D17" s="5"/>
      <c r="E17" s="5"/>
      <c r="F17" s="229"/>
      <c r="G17" s="230"/>
      <c r="H17" s="230"/>
      <c r="I17" s="230"/>
      <c r="J17" s="230"/>
      <c r="K17" s="230"/>
      <c r="L17" s="230"/>
      <c r="M17" s="230"/>
      <c r="N17" s="230"/>
      <c r="O17" s="230"/>
      <c r="P17" s="230"/>
      <c r="Q17" s="230"/>
      <c r="R17" s="230"/>
      <c r="S17" s="230"/>
    </row>
    <row r="18" spans="1:19" customFormat="1" ht="15.75" customHeight="1" x14ac:dyDescent="0.25">
      <c r="A18" s="5" t="s">
        <v>1770</v>
      </c>
      <c r="B18" s="5" t="s">
        <v>1771</v>
      </c>
      <c r="C18" s="5" t="s">
        <v>1772</v>
      </c>
      <c r="D18" s="5">
        <v>0</v>
      </c>
      <c r="E18" s="252">
        <v>2067.42</v>
      </c>
      <c r="F18" s="229"/>
      <c r="G18" s="230"/>
      <c r="H18" s="230"/>
      <c r="I18" s="230"/>
      <c r="J18" s="230"/>
      <c r="K18" s="230"/>
      <c r="L18" s="230"/>
      <c r="M18" s="230"/>
      <c r="N18" s="230"/>
      <c r="O18" s="230"/>
      <c r="P18" s="230"/>
      <c r="Q18" s="230"/>
      <c r="R18" s="230"/>
      <c r="S18" s="230"/>
    </row>
    <row r="19" spans="1:19" customFormat="1" ht="15.75" customHeight="1" x14ac:dyDescent="0.3">
      <c r="A19" s="253"/>
      <c r="B19" s="253"/>
      <c r="C19" s="253"/>
      <c r="D19" s="253"/>
      <c r="E19" s="254">
        <v>2067.42</v>
      </c>
      <c r="F19" s="229"/>
      <c r="G19" s="230"/>
      <c r="H19" s="230"/>
      <c r="I19" s="230"/>
      <c r="J19" s="230"/>
      <c r="K19" s="230"/>
      <c r="L19" s="230"/>
      <c r="M19" s="230"/>
      <c r="N19" s="230"/>
      <c r="O19" s="230"/>
      <c r="P19" s="230"/>
      <c r="Q19" s="230"/>
      <c r="R19" s="230"/>
      <c r="S19" s="230"/>
    </row>
    <row r="20" spans="1:19" customFormat="1" ht="15.75" customHeight="1" x14ac:dyDescent="0.25">
      <c r="A20" s="5"/>
      <c r="B20" s="5"/>
      <c r="C20" s="5"/>
      <c r="D20" s="5"/>
      <c r="E20" s="5"/>
      <c r="F20" s="229"/>
      <c r="G20" s="230"/>
      <c r="H20" s="230"/>
      <c r="I20" s="230"/>
      <c r="J20" s="230"/>
      <c r="K20" s="230"/>
      <c r="L20" s="230"/>
      <c r="M20" s="230"/>
      <c r="N20" s="230"/>
      <c r="O20" s="230"/>
      <c r="P20" s="230"/>
      <c r="Q20" s="230"/>
      <c r="R20" s="230"/>
      <c r="S20" s="230"/>
    </row>
    <row r="21" spans="1:19" customFormat="1" ht="15.75" customHeight="1" x14ac:dyDescent="0.3">
      <c r="A21" s="7" t="s">
        <v>1773</v>
      </c>
      <c r="B21" s="5"/>
      <c r="C21" s="5"/>
      <c r="D21" s="5"/>
      <c r="E21" s="5"/>
      <c r="F21" s="229"/>
      <c r="G21" s="230"/>
      <c r="H21" s="230"/>
      <c r="I21" s="230"/>
      <c r="J21" s="230"/>
      <c r="K21" s="230"/>
      <c r="L21" s="230"/>
      <c r="M21" s="230"/>
      <c r="N21" s="230"/>
      <c r="O21" s="230"/>
      <c r="P21" s="230"/>
      <c r="Q21" s="230"/>
      <c r="R21" s="230"/>
      <c r="S21" s="230"/>
    </row>
    <row r="22" spans="1:19" customFormat="1" ht="15.75" customHeight="1" x14ac:dyDescent="0.25">
      <c r="A22" s="5" t="s">
        <v>1773</v>
      </c>
      <c r="B22" s="5" t="s">
        <v>21</v>
      </c>
      <c r="C22" s="5" t="s">
        <v>6</v>
      </c>
      <c r="D22" s="5">
        <v>0</v>
      </c>
      <c r="E22" s="252">
        <v>19916</v>
      </c>
      <c r="F22" s="229"/>
      <c r="G22" s="230"/>
      <c r="H22" s="230"/>
      <c r="I22" s="230"/>
      <c r="J22" s="230"/>
      <c r="K22" s="230"/>
      <c r="L22" s="230"/>
      <c r="M22" s="230"/>
      <c r="N22" s="230"/>
      <c r="O22" s="230"/>
      <c r="P22" s="230"/>
      <c r="Q22" s="230"/>
      <c r="R22" s="230"/>
      <c r="S22" s="230"/>
    </row>
    <row r="23" spans="1:19" customFormat="1" ht="15.75" customHeight="1" x14ac:dyDescent="0.25">
      <c r="A23" s="5" t="s">
        <v>1773</v>
      </c>
      <c r="B23" s="5" t="s">
        <v>1774</v>
      </c>
      <c r="C23" s="5" t="s">
        <v>6</v>
      </c>
      <c r="D23" s="5">
        <v>0</v>
      </c>
      <c r="E23" s="252">
        <v>540</v>
      </c>
      <c r="F23" s="229"/>
      <c r="G23" s="230"/>
      <c r="H23" s="230"/>
      <c r="I23" s="230"/>
      <c r="J23" s="230"/>
      <c r="K23" s="230"/>
      <c r="L23" s="230"/>
      <c r="M23" s="230"/>
      <c r="N23" s="230"/>
      <c r="O23" s="230"/>
      <c r="P23" s="230"/>
      <c r="Q23" s="230"/>
      <c r="R23" s="230"/>
      <c r="S23" s="230"/>
    </row>
    <row r="24" spans="1:19" customFormat="1" ht="15.75" customHeight="1" x14ac:dyDescent="0.3">
      <c r="A24" s="253"/>
      <c r="B24" s="253"/>
      <c r="C24" s="253"/>
      <c r="D24" s="253"/>
      <c r="E24" s="254">
        <v>20456</v>
      </c>
      <c r="F24" s="229"/>
      <c r="G24" s="230"/>
      <c r="H24" s="230"/>
      <c r="I24" s="230"/>
      <c r="J24" s="230"/>
      <c r="K24" s="230"/>
      <c r="L24" s="230"/>
      <c r="M24" s="230"/>
      <c r="N24" s="230"/>
      <c r="O24" s="230"/>
      <c r="P24" s="230"/>
      <c r="Q24" s="230"/>
      <c r="R24" s="230"/>
      <c r="S24" s="230"/>
    </row>
    <row r="25" spans="1:19" customFormat="1" ht="15.75" customHeight="1" x14ac:dyDescent="0.25">
      <c r="A25" s="5"/>
      <c r="B25" s="5"/>
      <c r="C25" s="5"/>
      <c r="D25" s="5"/>
      <c r="E25" s="5"/>
      <c r="F25" s="229"/>
      <c r="G25" s="230"/>
      <c r="H25" s="230"/>
      <c r="I25" s="230"/>
      <c r="J25" s="230"/>
      <c r="K25" s="230"/>
      <c r="L25" s="230"/>
      <c r="M25" s="230"/>
      <c r="N25" s="230"/>
      <c r="O25" s="230"/>
      <c r="P25" s="230"/>
      <c r="Q25" s="230"/>
      <c r="R25" s="230"/>
      <c r="S25" s="230"/>
    </row>
    <row r="26" spans="1:19" customFormat="1" ht="15.75" customHeight="1" x14ac:dyDescent="0.3">
      <c r="A26" s="7" t="s">
        <v>1775</v>
      </c>
      <c r="B26" s="5"/>
      <c r="C26" s="5"/>
      <c r="D26" s="5"/>
      <c r="E26" s="5"/>
      <c r="F26" s="229"/>
      <c r="G26" s="230"/>
      <c r="H26" s="230"/>
      <c r="I26" s="230"/>
      <c r="J26" s="230"/>
      <c r="K26" s="230"/>
      <c r="L26" s="230"/>
      <c r="M26" s="230"/>
      <c r="N26" s="230"/>
      <c r="O26" s="230"/>
      <c r="P26" s="230"/>
      <c r="Q26" s="230"/>
      <c r="R26" s="230"/>
      <c r="S26" s="230"/>
    </row>
    <row r="27" spans="1:19" customFormat="1" ht="15.75" customHeight="1" x14ac:dyDescent="0.25">
      <c r="A27" s="5" t="s">
        <v>1775</v>
      </c>
      <c r="B27" s="5" t="s">
        <v>1776</v>
      </c>
      <c r="C27" s="5" t="s">
        <v>1777</v>
      </c>
      <c r="D27" s="5">
        <v>0</v>
      </c>
      <c r="E27" s="252">
        <v>7783.89</v>
      </c>
      <c r="F27" s="231"/>
      <c r="G27" s="231"/>
      <c r="H27" s="232"/>
      <c r="I27" s="231"/>
      <c r="J27" s="231"/>
      <c r="K27" s="231"/>
      <c r="L27" s="231"/>
      <c r="M27" s="231"/>
      <c r="N27" s="231"/>
      <c r="O27" s="231"/>
      <c r="P27" s="231"/>
      <c r="Q27" s="231"/>
      <c r="R27" s="231"/>
      <c r="S27" s="231"/>
    </row>
    <row r="28" spans="1:19" customFormat="1" ht="15.75" customHeight="1" x14ac:dyDescent="0.3">
      <c r="A28" s="253"/>
      <c r="B28" s="253"/>
      <c r="C28" s="253"/>
      <c r="D28" s="253"/>
      <c r="E28" s="254">
        <v>7783.89</v>
      </c>
      <c r="F28" s="181"/>
      <c r="G28" s="182"/>
      <c r="H28" s="182"/>
      <c r="I28" s="182"/>
      <c r="J28" s="182"/>
      <c r="K28" s="182"/>
      <c r="L28" s="182"/>
      <c r="M28" s="185"/>
      <c r="N28" s="185"/>
      <c r="O28" s="185"/>
      <c r="P28" s="182"/>
      <c r="Q28" s="182"/>
      <c r="R28" s="182"/>
    </row>
    <row r="29" spans="1:19" customFormat="1" ht="15.75" customHeight="1" x14ac:dyDescent="0.25">
      <c r="A29" s="5"/>
      <c r="B29" s="5"/>
      <c r="C29" s="5"/>
      <c r="D29" s="5"/>
      <c r="E29" s="5"/>
      <c r="F29" s="181"/>
      <c r="G29" s="182"/>
      <c r="H29" s="182"/>
      <c r="I29" s="182"/>
      <c r="J29" s="182"/>
      <c r="K29" s="182"/>
      <c r="L29" s="182"/>
      <c r="M29" s="185"/>
      <c r="N29" s="185"/>
      <c r="O29" s="185"/>
      <c r="P29" s="182"/>
      <c r="Q29" s="182"/>
      <c r="R29" s="182"/>
    </row>
    <row r="30" spans="1:19" customFormat="1" ht="15.75" customHeight="1" x14ac:dyDescent="0.3">
      <c r="A30" s="7" t="s">
        <v>1778</v>
      </c>
      <c r="B30" s="5"/>
      <c r="C30" s="5"/>
      <c r="D30" s="5"/>
      <c r="E30" s="5"/>
      <c r="F30" s="183"/>
      <c r="G30" s="184"/>
      <c r="H30" s="184"/>
      <c r="I30" s="184"/>
      <c r="J30" s="184"/>
      <c r="K30" s="184"/>
      <c r="L30" s="184"/>
      <c r="M30" s="186"/>
      <c r="N30" s="186"/>
      <c r="O30" s="186"/>
      <c r="P30" s="184"/>
      <c r="Q30" s="184"/>
      <c r="R30" s="184"/>
    </row>
    <row r="31" spans="1:19" ht="15.75" customHeight="1" x14ac:dyDescent="0.3">
      <c r="A31" s="5" t="s">
        <v>1778</v>
      </c>
      <c r="B31" s="5" t="s">
        <v>1778</v>
      </c>
      <c r="C31" s="5" t="s">
        <v>1777</v>
      </c>
      <c r="D31" s="5">
        <v>0</v>
      </c>
      <c r="E31" s="252">
        <v>56440.47</v>
      </c>
    </row>
    <row r="32" spans="1:19" ht="15.75" customHeight="1" x14ac:dyDescent="0.3">
      <c r="A32" s="253"/>
      <c r="B32" s="253"/>
      <c r="C32" s="253"/>
      <c r="D32" s="253"/>
      <c r="E32" s="254">
        <v>56440.47</v>
      </c>
    </row>
    <row r="33" spans="1:5" ht="15.75" customHeight="1" x14ac:dyDescent="0.3">
      <c r="A33" s="5"/>
      <c r="B33" s="5"/>
      <c r="C33" s="5"/>
      <c r="D33" s="5"/>
      <c r="E33" s="5"/>
    </row>
    <row r="34" spans="1:5" ht="15.75" customHeight="1" x14ac:dyDescent="0.3">
      <c r="A34" s="7" t="s">
        <v>1779</v>
      </c>
      <c r="B34" s="5"/>
      <c r="C34" s="5"/>
      <c r="D34" s="5"/>
      <c r="E34" s="5"/>
    </row>
    <row r="35" spans="1:5" ht="15.75" customHeight="1" x14ac:dyDescent="0.3">
      <c r="A35" s="5" t="s">
        <v>1779</v>
      </c>
      <c r="B35" s="5" t="s">
        <v>1779</v>
      </c>
      <c r="C35" s="5" t="s">
        <v>1777</v>
      </c>
      <c r="D35" s="5">
        <v>0</v>
      </c>
      <c r="E35" s="252">
        <v>56440.47</v>
      </c>
    </row>
    <row r="36" spans="1:5" ht="15.75" customHeight="1" x14ac:dyDescent="0.3">
      <c r="A36" s="253"/>
      <c r="B36" s="253"/>
      <c r="C36" s="253"/>
      <c r="D36" s="253"/>
      <c r="E36" s="254">
        <v>56440.47</v>
      </c>
    </row>
    <row r="37" spans="1:5" ht="15.75" customHeight="1" x14ac:dyDescent="0.3">
      <c r="A37" s="5"/>
      <c r="B37" s="5"/>
      <c r="C37" s="5"/>
      <c r="D37" s="5"/>
      <c r="E37" s="5"/>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071774-FE93-42EF-9740-DD41F1FED217}">
  <sheetPr>
    <tabColor rgb="FFFFFF00"/>
  </sheetPr>
  <dimension ref="A1:K32"/>
  <sheetViews>
    <sheetView workbookViewId="0">
      <selection activeCell="C8" sqref="C8"/>
    </sheetView>
  </sheetViews>
  <sheetFormatPr defaultRowHeight="12.5" x14ac:dyDescent="0.25"/>
  <cols>
    <col min="1" max="1" width="27.81640625" customWidth="1"/>
    <col min="2" max="2" width="9.81640625" customWidth="1"/>
    <col min="3" max="3" width="19.54296875" customWidth="1"/>
    <col min="4" max="4" width="7.1796875" customWidth="1"/>
    <col min="5" max="5" width="8.54296875" customWidth="1"/>
    <col min="6" max="6" width="7.26953125" customWidth="1"/>
    <col min="7" max="8" width="8.26953125" customWidth="1"/>
    <col min="9" max="9" width="5.26953125" customWidth="1"/>
    <col min="10" max="10" width="14.1796875" customWidth="1"/>
    <col min="11" max="11" width="7" customWidth="1"/>
  </cols>
  <sheetData>
    <row r="1" spans="1:11" ht="25" x14ac:dyDescent="0.25">
      <c r="A1" s="234" t="s">
        <v>1780</v>
      </c>
      <c r="B1" s="234"/>
      <c r="C1" s="234"/>
      <c r="D1" s="234"/>
      <c r="E1" s="234"/>
      <c r="F1" s="234"/>
      <c r="G1" s="234"/>
      <c r="H1" s="234"/>
      <c r="I1" s="234"/>
      <c r="J1" s="234"/>
      <c r="K1" s="234"/>
    </row>
    <row r="2" spans="1:11" ht="18" x14ac:dyDescent="0.25">
      <c r="A2" s="235" t="s">
        <v>122</v>
      </c>
      <c r="B2" s="235"/>
      <c r="C2" s="235"/>
      <c r="D2" s="235"/>
      <c r="E2" s="255" t="s">
        <v>1781</v>
      </c>
      <c r="F2" s="235"/>
      <c r="G2" s="235"/>
      <c r="H2" s="235"/>
      <c r="I2" s="235"/>
      <c r="J2" s="235"/>
      <c r="K2" s="235"/>
    </row>
    <row r="3" spans="1:11" ht="17.5" x14ac:dyDescent="0.25">
      <c r="A3" s="235" t="s">
        <v>1637</v>
      </c>
      <c r="B3" s="235"/>
      <c r="C3" s="235"/>
      <c r="D3" s="235"/>
      <c r="E3" s="235"/>
      <c r="F3" s="235"/>
      <c r="G3" s="235"/>
      <c r="H3" s="235"/>
      <c r="I3" s="235"/>
      <c r="J3" s="235"/>
      <c r="K3" s="235"/>
    </row>
    <row r="4" spans="1:11" ht="17.5" x14ac:dyDescent="0.25">
      <c r="A4" s="235" t="s">
        <v>1782</v>
      </c>
      <c r="B4" s="235"/>
      <c r="C4" s="235"/>
      <c r="D4" s="235"/>
      <c r="E4" s="235"/>
      <c r="F4" s="235"/>
      <c r="G4" s="235"/>
      <c r="H4" s="235"/>
      <c r="I4" s="235"/>
      <c r="J4" s="235"/>
      <c r="K4" s="235"/>
    </row>
    <row r="6" spans="1:11" x14ac:dyDescent="0.25">
      <c r="A6" s="236" t="s">
        <v>1783</v>
      </c>
      <c r="B6" s="236" t="s">
        <v>1784</v>
      </c>
      <c r="C6" s="236" t="s">
        <v>1785</v>
      </c>
      <c r="D6" s="237" t="s">
        <v>1786</v>
      </c>
      <c r="E6" s="237" t="s">
        <v>1787</v>
      </c>
      <c r="F6" s="237" t="s">
        <v>1788</v>
      </c>
      <c r="G6" s="237" t="s">
        <v>1789</v>
      </c>
      <c r="H6" s="237" t="s">
        <v>1790</v>
      </c>
      <c r="I6" s="237" t="s">
        <v>1791</v>
      </c>
      <c r="J6" s="237" t="s">
        <v>1792</v>
      </c>
      <c r="K6" s="237" t="s">
        <v>18</v>
      </c>
    </row>
    <row r="8" spans="1:11" ht="13" x14ac:dyDescent="0.25">
      <c r="A8" s="238" t="s">
        <v>1793</v>
      </c>
      <c r="B8" s="238"/>
      <c r="C8" s="238"/>
      <c r="D8" s="238"/>
      <c r="E8" s="238"/>
      <c r="F8" s="238"/>
      <c r="G8" s="238"/>
      <c r="H8" s="238"/>
      <c r="I8" s="238"/>
      <c r="J8" s="238"/>
      <c r="K8" s="238"/>
    </row>
    <row r="9" spans="1:11" x14ac:dyDescent="0.25">
      <c r="A9" s="239">
        <v>44651</v>
      </c>
      <c r="B9" s="239">
        <v>44657</v>
      </c>
      <c r="C9" s="240" t="s">
        <v>1140</v>
      </c>
      <c r="D9" s="241">
        <v>808.5</v>
      </c>
      <c r="E9" s="241">
        <v>0</v>
      </c>
      <c r="F9" s="241">
        <v>0</v>
      </c>
      <c r="G9" s="241">
        <v>0</v>
      </c>
      <c r="H9" s="241">
        <v>0</v>
      </c>
      <c r="I9" s="241">
        <v>0</v>
      </c>
      <c r="J9" s="241">
        <v>73.5</v>
      </c>
      <c r="K9" s="241">
        <v>808.5</v>
      </c>
    </row>
    <row r="10" spans="1:11" x14ac:dyDescent="0.25">
      <c r="A10" s="239">
        <v>44651</v>
      </c>
      <c r="B10" s="239">
        <v>44711</v>
      </c>
      <c r="C10" s="240" t="s">
        <v>1138</v>
      </c>
      <c r="D10" s="241">
        <v>1886.5</v>
      </c>
      <c r="E10" s="241">
        <v>0</v>
      </c>
      <c r="F10" s="241">
        <v>0</v>
      </c>
      <c r="G10" s="241">
        <v>0</v>
      </c>
      <c r="H10" s="241">
        <v>0</v>
      </c>
      <c r="I10" s="241">
        <v>0</v>
      </c>
      <c r="J10" s="241">
        <v>171.5</v>
      </c>
      <c r="K10" s="241">
        <v>1886.5</v>
      </c>
    </row>
    <row r="11" spans="1:11" x14ac:dyDescent="0.25">
      <c r="A11" s="242" t="s">
        <v>1794</v>
      </c>
      <c r="B11" s="242"/>
      <c r="C11" s="242"/>
      <c r="D11" s="243">
        <f t="shared" ref="D11:K11" si="0">SUM(D9:D10)</f>
        <v>2695</v>
      </c>
      <c r="E11" s="243">
        <f t="shared" si="0"/>
        <v>0</v>
      </c>
      <c r="F11" s="243">
        <f t="shared" si="0"/>
        <v>0</v>
      </c>
      <c r="G11" s="243">
        <f t="shared" si="0"/>
        <v>0</v>
      </c>
      <c r="H11" s="243">
        <f t="shared" si="0"/>
        <v>0</v>
      </c>
      <c r="I11" s="243">
        <f t="shared" si="0"/>
        <v>0</v>
      </c>
      <c r="J11" s="243">
        <f t="shared" si="0"/>
        <v>245</v>
      </c>
      <c r="K11" s="243">
        <f t="shared" si="0"/>
        <v>2695</v>
      </c>
    </row>
    <row r="13" spans="1:11" ht="13" x14ac:dyDescent="0.25">
      <c r="A13" s="238" t="s">
        <v>1795</v>
      </c>
      <c r="B13" s="238"/>
      <c r="C13" s="238"/>
      <c r="D13" s="238"/>
      <c r="E13" s="238"/>
      <c r="F13" s="238"/>
      <c r="G13" s="238"/>
      <c r="H13" s="238"/>
      <c r="I13" s="238"/>
      <c r="J13" s="238"/>
      <c r="K13" s="238"/>
    </row>
    <row r="14" spans="1:11" x14ac:dyDescent="0.25">
      <c r="A14" s="239">
        <v>44650</v>
      </c>
      <c r="B14" s="239">
        <v>44658</v>
      </c>
      <c r="C14" s="240" t="s">
        <v>1136</v>
      </c>
      <c r="D14" s="241">
        <v>770</v>
      </c>
      <c r="E14" s="241">
        <v>0</v>
      </c>
      <c r="F14" s="241">
        <v>0</v>
      </c>
      <c r="G14" s="241">
        <v>0</v>
      </c>
      <c r="H14" s="241">
        <v>0</v>
      </c>
      <c r="I14" s="241">
        <v>0</v>
      </c>
      <c r="J14" s="241">
        <v>70</v>
      </c>
      <c r="K14" s="241">
        <v>770</v>
      </c>
    </row>
    <row r="15" spans="1:11" x14ac:dyDescent="0.25">
      <c r="A15" s="242" t="s">
        <v>1796</v>
      </c>
      <c r="B15" s="242"/>
      <c r="C15" s="242"/>
      <c r="D15" s="243">
        <f t="shared" ref="D15:K15" si="1">D14</f>
        <v>770</v>
      </c>
      <c r="E15" s="243">
        <f t="shared" si="1"/>
        <v>0</v>
      </c>
      <c r="F15" s="243">
        <f t="shared" si="1"/>
        <v>0</v>
      </c>
      <c r="G15" s="243">
        <f t="shared" si="1"/>
        <v>0</v>
      </c>
      <c r="H15" s="243">
        <f t="shared" si="1"/>
        <v>0</v>
      </c>
      <c r="I15" s="243">
        <f t="shared" si="1"/>
        <v>0</v>
      </c>
      <c r="J15" s="243">
        <f t="shared" si="1"/>
        <v>70</v>
      </c>
      <c r="K15" s="243">
        <f t="shared" si="1"/>
        <v>770</v>
      </c>
    </row>
    <row r="17" spans="1:11" ht="13" x14ac:dyDescent="0.25">
      <c r="A17" s="238" t="s">
        <v>1797</v>
      </c>
      <c r="B17" s="238"/>
      <c r="C17" s="238"/>
      <c r="D17" s="238"/>
      <c r="E17" s="238"/>
      <c r="F17" s="238"/>
      <c r="G17" s="238"/>
      <c r="H17" s="238"/>
      <c r="I17" s="238"/>
      <c r="J17" s="238"/>
      <c r="K17" s="238"/>
    </row>
    <row r="18" spans="1:11" x14ac:dyDescent="0.25">
      <c r="A18" s="239">
        <v>44650</v>
      </c>
      <c r="B18" s="239">
        <v>44650</v>
      </c>
      <c r="C18" s="240" t="s">
        <v>957</v>
      </c>
      <c r="D18" s="241">
        <v>0</v>
      </c>
      <c r="E18" s="241">
        <v>27.83</v>
      </c>
      <c r="F18" s="241">
        <v>0</v>
      </c>
      <c r="G18" s="241">
        <v>0</v>
      </c>
      <c r="H18" s="241">
        <v>0</v>
      </c>
      <c r="I18" s="241">
        <v>0</v>
      </c>
      <c r="J18" s="241">
        <v>2.5299999999999998</v>
      </c>
      <c r="K18" s="241">
        <v>27.83</v>
      </c>
    </row>
    <row r="19" spans="1:11" x14ac:dyDescent="0.25">
      <c r="A19" s="242" t="s">
        <v>1798</v>
      </c>
      <c r="B19" s="242"/>
      <c r="C19" s="242"/>
      <c r="D19" s="243">
        <f t="shared" ref="D19:K19" si="2">D18</f>
        <v>0</v>
      </c>
      <c r="E19" s="243">
        <f t="shared" si="2"/>
        <v>27.83</v>
      </c>
      <c r="F19" s="243">
        <f t="shared" si="2"/>
        <v>0</v>
      </c>
      <c r="G19" s="243">
        <f t="shared" si="2"/>
        <v>0</v>
      </c>
      <c r="H19" s="243">
        <f t="shared" si="2"/>
        <v>0</v>
      </c>
      <c r="I19" s="243">
        <f t="shared" si="2"/>
        <v>0</v>
      </c>
      <c r="J19" s="243">
        <f t="shared" si="2"/>
        <v>2.5299999999999998</v>
      </c>
      <c r="K19" s="243">
        <f t="shared" si="2"/>
        <v>27.83</v>
      </c>
    </row>
    <row r="21" spans="1:11" ht="13" x14ac:dyDescent="0.25">
      <c r="A21" s="238" t="s">
        <v>1799</v>
      </c>
      <c r="B21" s="238"/>
      <c r="C21" s="238"/>
      <c r="D21" s="238"/>
      <c r="E21" s="238"/>
      <c r="F21" s="238"/>
      <c r="G21" s="238"/>
      <c r="H21" s="238"/>
      <c r="I21" s="238"/>
      <c r="J21" s="238"/>
      <c r="K21" s="238"/>
    </row>
    <row r="22" spans="1:11" x14ac:dyDescent="0.25">
      <c r="A22" s="239">
        <v>44651</v>
      </c>
      <c r="B22" s="239">
        <v>44671</v>
      </c>
      <c r="C22" s="240" t="s">
        <v>1142</v>
      </c>
      <c r="D22" s="241">
        <v>5797</v>
      </c>
      <c r="E22" s="241">
        <v>0</v>
      </c>
      <c r="F22" s="241">
        <v>0</v>
      </c>
      <c r="G22" s="241">
        <v>0</v>
      </c>
      <c r="H22" s="241">
        <v>0</v>
      </c>
      <c r="I22" s="241">
        <v>0</v>
      </c>
      <c r="J22" s="241">
        <v>527</v>
      </c>
      <c r="K22" s="241">
        <v>5797</v>
      </c>
    </row>
    <row r="23" spans="1:11" x14ac:dyDescent="0.25">
      <c r="A23" s="242" t="s">
        <v>1800</v>
      </c>
      <c r="B23" s="242"/>
      <c r="C23" s="242"/>
      <c r="D23" s="243">
        <f t="shared" ref="D23:K23" si="3">D22</f>
        <v>5797</v>
      </c>
      <c r="E23" s="243">
        <f t="shared" si="3"/>
        <v>0</v>
      </c>
      <c r="F23" s="243">
        <f t="shared" si="3"/>
        <v>0</v>
      </c>
      <c r="G23" s="243">
        <f t="shared" si="3"/>
        <v>0</v>
      </c>
      <c r="H23" s="243">
        <f t="shared" si="3"/>
        <v>0</v>
      </c>
      <c r="I23" s="243">
        <f t="shared" si="3"/>
        <v>0</v>
      </c>
      <c r="J23" s="243">
        <f t="shared" si="3"/>
        <v>527</v>
      </c>
      <c r="K23" s="243">
        <f t="shared" si="3"/>
        <v>5797</v>
      </c>
    </row>
    <row r="25" spans="1:11" ht="13" x14ac:dyDescent="0.25">
      <c r="A25" s="238" t="s">
        <v>1801</v>
      </c>
      <c r="B25" s="238"/>
      <c r="C25" s="238"/>
      <c r="D25" s="238"/>
      <c r="E25" s="238"/>
      <c r="F25" s="238"/>
      <c r="G25" s="238"/>
      <c r="H25" s="238"/>
      <c r="I25" s="238"/>
      <c r="J25" s="238"/>
      <c r="K25" s="238"/>
    </row>
    <row r="26" spans="1:11" x14ac:dyDescent="0.25">
      <c r="A26" s="239">
        <v>44651</v>
      </c>
      <c r="B26" s="239">
        <v>44655</v>
      </c>
      <c r="C26" s="240" t="s">
        <v>1179</v>
      </c>
      <c r="D26" s="241">
        <v>258.89999999999998</v>
      </c>
      <c r="E26" s="241">
        <v>0</v>
      </c>
      <c r="F26" s="241">
        <v>0</v>
      </c>
      <c r="G26" s="241">
        <v>0</v>
      </c>
      <c r="H26" s="241">
        <v>0</v>
      </c>
      <c r="I26" s="241">
        <v>0</v>
      </c>
      <c r="J26" s="241">
        <v>0</v>
      </c>
      <c r="K26" s="241">
        <v>258.89999999999998</v>
      </c>
    </row>
    <row r="27" spans="1:11" x14ac:dyDescent="0.25">
      <c r="A27" s="239">
        <v>44651</v>
      </c>
      <c r="B27" s="239">
        <v>44652</v>
      </c>
      <c r="C27" s="240" t="s">
        <v>1181</v>
      </c>
      <c r="D27" s="241">
        <v>1848.35</v>
      </c>
      <c r="E27" s="241">
        <v>0</v>
      </c>
      <c r="F27" s="241">
        <v>0</v>
      </c>
      <c r="G27" s="241">
        <v>0</v>
      </c>
      <c r="H27" s="241">
        <v>0</v>
      </c>
      <c r="I27" s="241">
        <v>0</v>
      </c>
      <c r="J27" s="241">
        <v>0</v>
      </c>
      <c r="K27" s="241">
        <v>1848.35</v>
      </c>
    </row>
    <row r="28" spans="1:11" x14ac:dyDescent="0.25">
      <c r="A28" s="242" t="s">
        <v>1802</v>
      </c>
      <c r="B28" s="242"/>
      <c r="C28" s="242"/>
      <c r="D28" s="243">
        <f t="shared" ref="D28:K28" si="4">SUM(D26:D27)</f>
        <v>2107.25</v>
      </c>
      <c r="E28" s="243">
        <f t="shared" si="4"/>
        <v>0</v>
      </c>
      <c r="F28" s="243">
        <f t="shared" si="4"/>
        <v>0</v>
      </c>
      <c r="G28" s="243">
        <f t="shared" si="4"/>
        <v>0</v>
      </c>
      <c r="H28" s="243">
        <f t="shared" si="4"/>
        <v>0</v>
      </c>
      <c r="I28" s="243">
        <f t="shared" si="4"/>
        <v>0</v>
      </c>
      <c r="J28" s="243">
        <f t="shared" si="4"/>
        <v>0</v>
      </c>
      <c r="K28" s="243">
        <f t="shared" si="4"/>
        <v>2107.25</v>
      </c>
    </row>
    <row r="30" spans="1:11" x14ac:dyDescent="0.25">
      <c r="A30" s="244" t="s">
        <v>18</v>
      </c>
      <c r="B30" s="244"/>
      <c r="C30" s="244"/>
      <c r="D30" s="245">
        <f t="shared" ref="D30:K30" si="5">SUM(D11,D15,D19,D23,D28)</f>
        <v>11369.25</v>
      </c>
      <c r="E30" s="245">
        <f t="shared" si="5"/>
        <v>27.83</v>
      </c>
      <c r="F30" s="245">
        <f t="shared" si="5"/>
        <v>0</v>
      </c>
      <c r="G30" s="245">
        <f t="shared" si="5"/>
        <v>0</v>
      </c>
      <c r="H30" s="245">
        <f t="shared" si="5"/>
        <v>0</v>
      </c>
      <c r="I30" s="245">
        <f t="shared" si="5"/>
        <v>0</v>
      </c>
      <c r="J30" s="245">
        <f t="shared" si="5"/>
        <v>844.53</v>
      </c>
      <c r="K30" s="245">
        <f t="shared" si="5"/>
        <v>11397.08</v>
      </c>
    </row>
    <row r="32" spans="1:11" x14ac:dyDescent="0.25">
      <c r="A32" s="244" t="s">
        <v>1803</v>
      </c>
      <c r="B32" s="244"/>
      <c r="C32" s="244"/>
      <c r="D32" s="250">
        <f>(SUM(D11,D15,D19,D23,D28) / SUM(D11:I11,D15:I15,D19:I19,D23:I23,D28:I28))</f>
        <v>0.99755814647260532</v>
      </c>
      <c r="E32" s="250">
        <f>(SUM(E11,E15,E19,E23,E28) / SUM(D11:I11,D15:I15,D19:I19,D23:I23,D28:I28))</f>
        <v>2.4418535273947359E-3</v>
      </c>
      <c r="F32" s="250">
        <f>(SUM(F11,F15,F19,F23,F28) / SUM(D11:I11,D15:I15,D19:I19,D23:I23,D28:I28))</f>
        <v>0</v>
      </c>
      <c r="G32" s="250">
        <f>(SUM(G11,G15,G19,G23,G28) / SUM(D11:I11,D15:I15,D19:I19,D23:I23,D28:I28))</f>
        <v>0</v>
      </c>
      <c r="H32" s="250">
        <f>(SUM(H11,H15,H19,H23,H28) / SUM(D11:I11,D15:I15,D19:I19,D23:I23,D28:I28))</f>
        <v>0</v>
      </c>
      <c r="I32" s="250">
        <f>(SUM(I11,I15,I19,I23,I28) / SUM(D11:I11,D15:I15,D19:I19,D23:I23,D28:I28))</f>
        <v>0</v>
      </c>
      <c r="J32" s="250">
        <f>(SUM(J11,J15,J19,J23,J28) / SUM(J11,J15,J19,J23,J28))</f>
        <v>1</v>
      </c>
      <c r="K32" s="250">
        <f>(SUM(K11,K15,K19,K23,K28) / SUM(K11,K15,K19,K23,K28))</f>
        <v>1</v>
      </c>
    </row>
  </sheetData>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4B541-4E65-4818-9E5F-AAB1F78E991D}">
  <sheetPr>
    <tabColor rgb="FFFFFF00"/>
  </sheetPr>
  <dimension ref="A1:K377"/>
  <sheetViews>
    <sheetView tabSelected="1" topLeftCell="D1" workbookViewId="0"/>
  </sheetViews>
  <sheetFormatPr defaultRowHeight="12.5" x14ac:dyDescent="0.25"/>
  <cols>
    <col min="1" max="1" width="42.26953125" customWidth="1"/>
    <col min="2" max="2" width="9.81640625" customWidth="1"/>
    <col min="3" max="3" width="13.26953125" customWidth="1"/>
    <col min="4" max="4" width="44" customWidth="1"/>
    <col min="5" max="5" width="7.81640625" customWidth="1"/>
    <col min="6" max="6" width="8.54296875" customWidth="1"/>
    <col min="7" max="7" width="7.26953125" customWidth="1"/>
    <col min="8" max="9" width="8.26953125" customWidth="1"/>
    <col min="10" max="11" width="8.1796875" customWidth="1"/>
  </cols>
  <sheetData>
    <row r="1" spans="1:11" ht="50" x14ac:dyDescent="0.25">
      <c r="A1" s="247" t="s">
        <v>1804</v>
      </c>
      <c r="B1" s="247"/>
      <c r="C1" s="247"/>
      <c r="D1" s="247"/>
      <c r="E1" s="247"/>
      <c r="F1" s="247"/>
      <c r="G1" s="247"/>
      <c r="H1" s="247"/>
      <c r="I1" s="247"/>
      <c r="J1" s="247"/>
      <c r="K1" s="247"/>
    </row>
    <row r="2" spans="1:11" ht="18" x14ac:dyDescent="0.25">
      <c r="A2" s="248" t="s">
        <v>122</v>
      </c>
      <c r="B2" s="248"/>
      <c r="C2" s="248"/>
      <c r="D2" s="255" t="s">
        <v>1781</v>
      </c>
      <c r="E2" s="248"/>
      <c r="F2" s="248"/>
      <c r="G2" s="248"/>
      <c r="H2" s="248"/>
      <c r="I2" s="248"/>
      <c r="J2" s="248"/>
      <c r="K2" s="248"/>
    </row>
    <row r="3" spans="1:11" ht="17.5" x14ac:dyDescent="0.25">
      <c r="A3" s="248" t="s">
        <v>1805</v>
      </c>
      <c r="B3" s="248"/>
      <c r="C3" s="248"/>
      <c r="D3" s="248"/>
      <c r="E3" s="248"/>
      <c r="F3" s="248"/>
      <c r="G3" s="248"/>
      <c r="H3" s="248"/>
      <c r="I3" s="248"/>
      <c r="J3" s="248"/>
      <c r="K3" s="248"/>
    </row>
    <row r="4" spans="1:11" ht="17.5" x14ac:dyDescent="0.25">
      <c r="A4" s="248" t="s">
        <v>1782</v>
      </c>
      <c r="B4" s="248"/>
      <c r="C4" s="248"/>
      <c r="D4" s="248"/>
      <c r="E4" s="248"/>
      <c r="F4" s="248"/>
      <c r="G4" s="248"/>
      <c r="H4" s="248"/>
      <c r="I4" s="248"/>
      <c r="J4" s="248"/>
      <c r="K4" s="248"/>
    </row>
    <row r="6" spans="1:11" x14ac:dyDescent="0.25">
      <c r="A6" s="236" t="s">
        <v>1783</v>
      </c>
      <c r="B6" s="236" t="s">
        <v>1784</v>
      </c>
      <c r="C6" s="236" t="s">
        <v>1806</v>
      </c>
      <c r="D6" s="236" t="s">
        <v>1785</v>
      </c>
      <c r="E6" s="237" t="s">
        <v>1786</v>
      </c>
      <c r="F6" s="237" t="s">
        <v>1787</v>
      </c>
      <c r="G6" s="237" t="s">
        <v>1788</v>
      </c>
      <c r="H6" s="237" t="s">
        <v>1789</v>
      </c>
      <c r="I6" s="237" t="s">
        <v>1790</v>
      </c>
      <c r="J6" s="237" t="s">
        <v>1791</v>
      </c>
      <c r="K6" s="237" t="s">
        <v>18</v>
      </c>
    </row>
    <row r="8" spans="1:11" ht="13" x14ac:dyDescent="0.25">
      <c r="A8" s="249" t="s">
        <v>1807</v>
      </c>
      <c r="B8" s="249"/>
      <c r="C8" s="249"/>
      <c r="D8" s="249"/>
      <c r="E8" s="249"/>
      <c r="F8" s="249"/>
      <c r="G8" s="249"/>
      <c r="H8" s="249"/>
      <c r="I8" s="249"/>
      <c r="J8" s="249"/>
      <c r="K8" s="249"/>
    </row>
    <row r="9" spans="1:11" x14ac:dyDescent="0.25">
      <c r="A9" s="239">
        <v>44620</v>
      </c>
      <c r="B9" s="239">
        <v>44620</v>
      </c>
      <c r="C9" s="240"/>
      <c r="D9" s="240" t="s">
        <v>1398</v>
      </c>
      <c r="E9" s="241">
        <v>0</v>
      </c>
      <c r="F9" s="241">
        <v>0</v>
      </c>
      <c r="G9" s="241">
        <v>0</v>
      </c>
      <c r="H9" s="241">
        <v>-852.5</v>
      </c>
      <c r="I9" s="241">
        <v>0</v>
      </c>
      <c r="J9" s="241">
        <v>0</v>
      </c>
      <c r="K9" s="241">
        <v>-852.5</v>
      </c>
    </row>
    <row r="10" spans="1:11" x14ac:dyDescent="0.25">
      <c r="A10" s="239">
        <v>44682</v>
      </c>
      <c r="B10" s="239">
        <v>44707</v>
      </c>
      <c r="C10" s="240" t="s">
        <v>1808</v>
      </c>
      <c r="D10" s="240" t="s">
        <v>1809</v>
      </c>
      <c r="E10" s="241">
        <v>2112</v>
      </c>
      <c r="F10" s="241">
        <v>0</v>
      </c>
      <c r="G10" s="241">
        <v>0</v>
      </c>
      <c r="H10" s="241">
        <v>0</v>
      </c>
      <c r="I10" s="241">
        <v>0</v>
      </c>
      <c r="J10" s="241">
        <v>0</v>
      </c>
      <c r="K10" s="241">
        <v>2112</v>
      </c>
    </row>
    <row r="11" spans="1:11" x14ac:dyDescent="0.25">
      <c r="A11" s="242" t="s">
        <v>1810</v>
      </c>
      <c r="B11" s="242"/>
      <c r="C11" s="242"/>
      <c r="D11" s="242"/>
      <c r="E11" s="243">
        <f t="shared" ref="E11:K11" si="0">SUM(E9:E10)</f>
        <v>2112</v>
      </c>
      <c r="F11" s="243">
        <f t="shared" si="0"/>
        <v>0</v>
      </c>
      <c r="G11" s="243">
        <f t="shared" si="0"/>
        <v>0</v>
      </c>
      <c r="H11" s="243">
        <f t="shared" si="0"/>
        <v>-852.5</v>
      </c>
      <c r="I11" s="243">
        <f t="shared" si="0"/>
        <v>0</v>
      </c>
      <c r="J11" s="243">
        <f t="shared" si="0"/>
        <v>0</v>
      </c>
      <c r="K11" s="243">
        <f t="shared" si="0"/>
        <v>1259.5</v>
      </c>
    </row>
    <row r="13" spans="1:11" ht="13" x14ac:dyDescent="0.25">
      <c r="A13" s="249" t="s">
        <v>1811</v>
      </c>
      <c r="B13" s="249"/>
      <c r="C13" s="249"/>
      <c r="D13" s="249"/>
      <c r="E13" s="249"/>
      <c r="F13" s="249"/>
      <c r="G13" s="249"/>
      <c r="H13" s="249"/>
      <c r="I13" s="249"/>
      <c r="J13" s="249"/>
      <c r="K13" s="249"/>
    </row>
    <row r="14" spans="1:11" x14ac:dyDescent="0.25">
      <c r="A14" s="239">
        <v>44682</v>
      </c>
      <c r="B14" s="239">
        <v>44707</v>
      </c>
      <c r="C14" s="240" t="s">
        <v>1812</v>
      </c>
      <c r="D14" s="240" t="s">
        <v>1813</v>
      </c>
      <c r="E14" s="241">
        <v>181.5</v>
      </c>
      <c r="F14" s="241">
        <v>0</v>
      </c>
      <c r="G14" s="241">
        <v>0</v>
      </c>
      <c r="H14" s="241">
        <v>0</v>
      </c>
      <c r="I14" s="241">
        <v>0</v>
      </c>
      <c r="J14" s="241">
        <v>0</v>
      </c>
      <c r="K14" s="241">
        <v>181.5</v>
      </c>
    </row>
    <row r="15" spans="1:11" x14ac:dyDescent="0.25">
      <c r="A15" s="242" t="s">
        <v>1814</v>
      </c>
      <c r="B15" s="242"/>
      <c r="C15" s="242"/>
      <c r="D15" s="242"/>
      <c r="E15" s="243">
        <f t="shared" ref="E15:K15" si="1">E14</f>
        <v>181.5</v>
      </c>
      <c r="F15" s="243">
        <f t="shared" si="1"/>
        <v>0</v>
      </c>
      <c r="G15" s="243">
        <f t="shared" si="1"/>
        <v>0</v>
      </c>
      <c r="H15" s="243">
        <f t="shared" si="1"/>
        <v>0</v>
      </c>
      <c r="I15" s="243">
        <f t="shared" si="1"/>
        <v>0</v>
      </c>
      <c r="J15" s="243">
        <f t="shared" si="1"/>
        <v>0</v>
      </c>
      <c r="K15" s="243">
        <f t="shared" si="1"/>
        <v>181.5</v>
      </c>
    </row>
    <row r="17" spans="1:11" ht="13" x14ac:dyDescent="0.25">
      <c r="A17" s="249" t="s">
        <v>1815</v>
      </c>
      <c r="B17" s="249"/>
      <c r="C17" s="249"/>
      <c r="D17" s="249"/>
      <c r="E17" s="249"/>
      <c r="F17" s="249"/>
      <c r="G17" s="249"/>
      <c r="H17" s="249"/>
      <c r="I17" s="249"/>
      <c r="J17" s="249"/>
      <c r="K17" s="249"/>
    </row>
    <row r="18" spans="1:11" x14ac:dyDescent="0.25">
      <c r="A18" s="239">
        <v>44682</v>
      </c>
      <c r="B18" s="239">
        <v>44707</v>
      </c>
      <c r="C18" s="240" t="s">
        <v>1816</v>
      </c>
      <c r="D18" s="240" t="s">
        <v>1817</v>
      </c>
      <c r="E18" s="241">
        <v>438.6</v>
      </c>
      <c r="F18" s="241">
        <v>0</v>
      </c>
      <c r="G18" s="241">
        <v>0</v>
      </c>
      <c r="H18" s="241">
        <v>0</v>
      </c>
      <c r="I18" s="241">
        <v>0</v>
      </c>
      <c r="J18" s="241">
        <v>0</v>
      </c>
      <c r="K18" s="241">
        <v>438.6</v>
      </c>
    </row>
    <row r="19" spans="1:11" x14ac:dyDescent="0.25">
      <c r="A19" s="242" t="s">
        <v>1818</v>
      </c>
      <c r="B19" s="242"/>
      <c r="C19" s="242"/>
      <c r="D19" s="242"/>
      <c r="E19" s="243">
        <f t="shared" ref="E19:K19" si="2">E18</f>
        <v>438.6</v>
      </c>
      <c r="F19" s="243">
        <f t="shared" si="2"/>
        <v>0</v>
      </c>
      <c r="G19" s="243">
        <f t="shared" si="2"/>
        <v>0</v>
      </c>
      <c r="H19" s="243">
        <f t="shared" si="2"/>
        <v>0</v>
      </c>
      <c r="I19" s="243">
        <f t="shared" si="2"/>
        <v>0</v>
      </c>
      <c r="J19" s="243">
        <f t="shared" si="2"/>
        <v>0</v>
      </c>
      <c r="K19" s="243">
        <f t="shared" si="2"/>
        <v>438.6</v>
      </c>
    </row>
    <row r="21" spans="1:11" ht="13" x14ac:dyDescent="0.25">
      <c r="A21" s="249" t="s">
        <v>1819</v>
      </c>
      <c r="B21" s="249"/>
      <c r="C21" s="249"/>
      <c r="D21" s="249"/>
      <c r="E21" s="249"/>
      <c r="F21" s="249"/>
      <c r="G21" s="249"/>
      <c r="H21" s="249"/>
      <c r="I21" s="249"/>
      <c r="J21" s="249"/>
      <c r="K21" s="249"/>
    </row>
    <row r="22" spans="1:11" x14ac:dyDescent="0.25">
      <c r="A22" s="239">
        <v>44677</v>
      </c>
      <c r="B22" s="239">
        <v>44691</v>
      </c>
      <c r="C22" s="240" t="s">
        <v>1820</v>
      </c>
      <c r="D22" s="240" t="s">
        <v>1821</v>
      </c>
      <c r="E22" s="241">
        <v>610.5</v>
      </c>
      <c r="F22" s="241">
        <v>0</v>
      </c>
      <c r="G22" s="241">
        <v>0</v>
      </c>
      <c r="H22" s="241">
        <v>0</v>
      </c>
      <c r="I22" s="241">
        <v>0</v>
      </c>
      <c r="J22" s="241">
        <v>0</v>
      </c>
      <c r="K22" s="241">
        <v>610.5</v>
      </c>
    </row>
    <row r="23" spans="1:11" x14ac:dyDescent="0.25">
      <c r="A23" s="242" t="s">
        <v>1822</v>
      </c>
      <c r="B23" s="242"/>
      <c r="C23" s="242"/>
      <c r="D23" s="242"/>
      <c r="E23" s="243">
        <f t="shared" ref="E23:K23" si="3">E22</f>
        <v>610.5</v>
      </c>
      <c r="F23" s="243">
        <f t="shared" si="3"/>
        <v>0</v>
      </c>
      <c r="G23" s="243">
        <f t="shared" si="3"/>
        <v>0</v>
      </c>
      <c r="H23" s="243">
        <f t="shared" si="3"/>
        <v>0</v>
      </c>
      <c r="I23" s="243">
        <f t="shared" si="3"/>
        <v>0</v>
      </c>
      <c r="J23" s="243">
        <f t="shared" si="3"/>
        <v>0</v>
      </c>
      <c r="K23" s="243">
        <f t="shared" si="3"/>
        <v>610.5</v>
      </c>
    </row>
    <row r="25" spans="1:11" ht="13" x14ac:dyDescent="0.25">
      <c r="A25" s="249" t="s">
        <v>1823</v>
      </c>
      <c r="B25" s="249"/>
      <c r="C25" s="249"/>
      <c r="D25" s="249"/>
      <c r="E25" s="249"/>
      <c r="F25" s="249"/>
      <c r="G25" s="249"/>
      <c r="H25" s="249"/>
      <c r="I25" s="249"/>
      <c r="J25" s="249"/>
      <c r="K25" s="249"/>
    </row>
    <row r="26" spans="1:11" x14ac:dyDescent="0.25">
      <c r="A26" s="239">
        <v>44682</v>
      </c>
      <c r="B26" s="239">
        <v>44707</v>
      </c>
      <c r="C26" s="240" t="s">
        <v>1824</v>
      </c>
      <c r="D26" s="240" t="s">
        <v>1825</v>
      </c>
      <c r="E26" s="241">
        <v>1960.2</v>
      </c>
      <c r="F26" s="241">
        <v>0</v>
      </c>
      <c r="G26" s="241">
        <v>0</v>
      </c>
      <c r="H26" s="241">
        <v>0</v>
      </c>
      <c r="I26" s="241">
        <v>0</v>
      </c>
      <c r="J26" s="241">
        <v>0</v>
      </c>
      <c r="K26" s="241">
        <v>1960.2</v>
      </c>
    </row>
    <row r="27" spans="1:11" x14ac:dyDescent="0.25">
      <c r="A27" s="242" t="s">
        <v>1826</v>
      </c>
      <c r="B27" s="242"/>
      <c r="C27" s="242"/>
      <c r="D27" s="242"/>
      <c r="E27" s="243">
        <f t="shared" ref="E27:K27" si="4">E26</f>
        <v>1960.2</v>
      </c>
      <c r="F27" s="243">
        <f t="shared" si="4"/>
        <v>0</v>
      </c>
      <c r="G27" s="243">
        <f t="shared" si="4"/>
        <v>0</v>
      </c>
      <c r="H27" s="243">
        <f t="shared" si="4"/>
        <v>0</v>
      </c>
      <c r="I27" s="243">
        <f t="shared" si="4"/>
        <v>0</v>
      </c>
      <c r="J27" s="243">
        <f t="shared" si="4"/>
        <v>0</v>
      </c>
      <c r="K27" s="243">
        <f t="shared" si="4"/>
        <v>1960.2</v>
      </c>
    </row>
    <row r="29" spans="1:11" ht="13" x14ac:dyDescent="0.25">
      <c r="A29" s="249" t="s">
        <v>1827</v>
      </c>
      <c r="B29" s="249"/>
      <c r="C29" s="249"/>
      <c r="D29" s="249"/>
      <c r="E29" s="249"/>
      <c r="F29" s="249"/>
      <c r="G29" s="249"/>
      <c r="H29" s="249"/>
      <c r="I29" s="249"/>
      <c r="J29" s="249"/>
      <c r="K29" s="249"/>
    </row>
    <row r="30" spans="1:11" x14ac:dyDescent="0.25">
      <c r="A30" s="239">
        <v>44682</v>
      </c>
      <c r="B30" s="239">
        <v>44707</v>
      </c>
      <c r="C30" s="240" t="s">
        <v>1828</v>
      </c>
      <c r="D30" s="240" t="s">
        <v>1829</v>
      </c>
      <c r="E30" s="241">
        <v>2158.1999999999998</v>
      </c>
      <c r="F30" s="241">
        <v>0</v>
      </c>
      <c r="G30" s="241">
        <v>0</v>
      </c>
      <c r="H30" s="241">
        <v>0</v>
      </c>
      <c r="I30" s="241">
        <v>0</v>
      </c>
      <c r="J30" s="241">
        <v>0</v>
      </c>
      <c r="K30" s="241">
        <v>2158.1999999999998</v>
      </c>
    </row>
    <row r="31" spans="1:11" x14ac:dyDescent="0.25">
      <c r="A31" s="242" t="s">
        <v>1830</v>
      </c>
      <c r="B31" s="242"/>
      <c r="C31" s="242"/>
      <c r="D31" s="242"/>
      <c r="E31" s="243">
        <f t="shared" ref="E31:K31" si="5">E30</f>
        <v>2158.1999999999998</v>
      </c>
      <c r="F31" s="243">
        <f t="shared" si="5"/>
        <v>0</v>
      </c>
      <c r="G31" s="243">
        <f t="shared" si="5"/>
        <v>0</v>
      </c>
      <c r="H31" s="243">
        <f t="shared" si="5"/>
        <v>0</v>
      </c>
      <c r="I31" s="243">
        <f t="shared" si="5"/>
        <v>0</v>
      </c>
      <c r="J31" s="243">
        <f t="shared" si="5"/>
        <v>0</v>
      </c>
      <c r="K31" s="243">
        <f t="shared" si="5"/>
        <v>2158.1999999999998</v>
      </c>
    </row>
    <row r="33" spans="1:11" ht="13" x14ac:dyDescent="0.25">
      <c r="A33" s="249" t="s">
        <v>1831</v>
      </c>
      <c r="B33" s="249"/>
      <c r="C33" s="249"/>
      <c r="D33" s="249"/>
      <c r="E33" s="249"/>
      <c r="F33" s="249"/>
      <c r="G33" s="249"/>
      <c r="H33" s="249"/>
      <c r="I33" s="249"/>
      <c r="J33" s="249"/>
      <c r="K33" s="249"/>
    </row>
    <row r="34" spans="1:11" x14ac:dyDescent="0.25">
      <c r="A34" s="239">
        <v>44682</v>
      </c>
      <c r="B34" s="239">
        <v>44707</v>
      </c>
      <c r="C34" s="240" t="s">
        <v>1832</v>
      </c>
      <c r="D34" s="240" t="s">
        <v>1833</v>
      </c>
      <c r="E34" s="241">
        <v>1221</v>
      </c>
      <c r="F34" s="241">
        <v>0</v>
      </c>
      <c r="G34" s="241">
        <v>0</v>
      </c>
      <c r="H34" s="241">
        <v>0</v>
      </c>
      <c r="I34" s="241">
        <v>0</v>
      </c>
      <c r="J34" s="241">
        <v>0</v>
      </c>
      <c r="K34" s="241">
        <v>1221</v>
      </c>
    </row>
    <row r="35" spans="1:11" x14ac:dyDescent="0.25">
      <c r="A35" s="242" t="s">
        <v>1834</v>
      </c>
      <c r="B35" s="242"/>
      <c r="C35" s="242"/>
      <c r="D35" s="242"/>
      <c r="E35" s="243">
        <f t="shared" ref="E35:K35" si="6">E34</f>
        <v>1221</v>
      </c>
      <c r="F35" s="243">
        <f t="shared" si="6"/>
        <v>0</v>
      </c>
      <c r="G35" s="243">
        <f t="shared" si="6"/>
        <v>0</v>
      </c>
      <c r="H35" s="243">
        <f t="shared" si="6"/>
        <v>0</v>
      </c>
      <c r="I35" s="243">
        <f t="shared" si="6"/>
        <v>0</v>
      </c>
      <c r="J35" s="243">
        <f t="shared" si="6"/>
        <v>0</v>
      </c>
      <c r="K35" s="243">
        <f t="shared" si="6"/>
        <v>1221</v>
      </c>
    </row>
    <row r="37" spans="1:11" ht="13" x14ac:dyDescent="0.25">
      <c r="A37" s="249" t="s">
        <v>1835</v>
      </c>
      <c r="B37" s="249"/>
      <c r="C37" s="249"/>
      <c r="D37" s="249"/>
      <c r="E37" s="249"/>
      <c r="F37" s="249"/>
      <c r="G37" s="249"/>
      <c r="H37" s="249"/>
      <c r="I37" s="249"/>
      <c r="J37" s="249"/>
      <c r="K37" s="249"/>
    </row>
    <row r="38" spans="1:11" x14ac:dyDescent="0.25">
      <c r="A38" s="239">
        <v>44682</v>
      </c>
      <c r="B38" s="239">
        <v>44707</v>
      </c>
      <c r="C38" s="240" t="s">
        <v>1836</v>
      </c>
      <c r="D38" s="240" t="s">
        <v>1837</v>
      </c>
      <c r="E38" s="241">
        <v>330</v>
      </c>
      <c r="F38" s="241">
        <v>0</v>
      </c>
      <c r="G38" s="241">
        <v>0</v>
      </c>
      <c r="H38" s="241">
        <v>0</v>
      </c>
      <c r="I38" s="241">
        <v>0</v>
      </c>
      <c r="J38" s="241">
        <v>0</v>
      </c>
      <c r="K38" s="241">
        <v>330</v>
      </c>
    </row>
    <row r="39" spans="1:11" x14ac:dyDescent="0.25">
      <c r="A39" s="242" t="s">
        <v>1838</v>
      </c>
      <c r="B39" s="242"/>
      <c r="C39" s="242"/>
      <c r="D39" s="242"/>
      <c r="E39" s="243">
        <f t="shared" ref="E39:K39" si="7">E38</f>
        <v>330</v>
      </c>
      <c r="F39" s="243">
        <f t="shared" si="7"/>
        <v>0</v>
      </c>
      <c r="G39" s="243">
        <f t="shared" si="7"/>
        <v>0</v>
      </c>
      <c r="H39" s="243">
        <f t="shared" si="7"/>
        <v>0</v>
      </c>
      <c r="I39" s="243">
        <f t="shared" si="7"/>
        <v>0</v>
      </c>
      <c r="J39" s="243">
        <f t="shared" si="7"/>
        <v>0</v>
      </c>
      <c r="K39" s="243">
        <f t="shared" si="7"/>
        <v>330</v>
      </c>
    </row>
    <row r="41" spans="1:11" ht="13" x14ac:dyDescent="0.25">
      <c r="A41" s="249" t="s">
        <v>1839</v>
      </c>
      <c r="B41" s="249"/>
      <c r="C41" s="249"/>
      <c r="D41" s="249"/>
      <c r="E41" s="249"/>
      <c r="F41" s="249"/>
      <c r="G41" s="249"/>
      <c r="H41" s="249"/>
      <c r="I41" s="249"/>
      <c r="J41" s="249"/>
      <c r="K41" s="249"/>
    </row>
    <row r="42" spans="1:11" x14ac:dyDescent="0.25">
      <c r="A42" s="239">
        <v>44682</v>
      </c>
      <c r="B42" s="239">
        <v>44697</v>
      </c>
      <c r="C42" s="240" t="s">
        <v>1840</v>
      </c>
      <c r="D42" s="240" t="s">
        <v>1841</v>
      </c>
      <c r="E42" s="241">
        <v>924</v>
      </c>
      <c r="F42" s="241">
        <v>0</v>
      </c>
      <c r="G42" s="241">
        <v>0</v>
      </c>
      <c r="H42" s="241">
        <v>0</v>
      </c>
      <c r="I42" s="241">
        <v>0</v>
      </c>
      <c r="J42" s="241">
        <v>0</v>
      </c>
      <c r="K42" s="241">
        <v>924</v>
      </c>
    </row>
    <row r="43" spans="1:11" x14ac:dyDescent="0.25">
      <c r="A43" s="242" t="s">
        <v>1842</v>
      </c>
      <c r="B43" s="242"/>
      <c r="C43" s="242"/>
      <c r="D43" s="242"/>
      <c r="E43" s="243">
        <f t="shared" ref="E43:K43" si="8">E42</f>
        <v>924</v>
      </c>
      <c r="F43" s="243">
        <f t="shared" si="8"/>
        <v>0</v>
      </c>
      <c r="G43" s="243">
        <f t="shared" si="8"/>
        <v>0</v>
      </c>
      <c r="H43" s="243">
        <f t="shared" si="8"/>
        <v>0</v>
      </c>
      <c r="I43" s="243">
        <f t="shared" si="8"/>
        <v>0</v>
      </c>
      <c r="J43" s="243">
        <f t="shared" si="8"/>
        <v>0</v>
      </c>
      <c r="K43" s="243">
        <f t="shared" si="8"/>
        <v>924</v>
      </c>
    </row>
    <row r="45" spans="1:11" ht="13" x14ac:dyDescent="0.25">
      <c r="A45" s="249" t="s">
        <v>1843</v>
      </c>
      <c r="B45" s="249"/>
      <c r="C45" s="249"/>
      <c r="D45" s="249"/>
      <c r="E45" s="249"/>
      <c r="F45" s="249"/>
      <c r="G45" s="249"/>
      <c r="H45" s="249"/>
      <c r="I45" s="249"/>
      <c r="J45" s="249"/>
      <c r="K45" s="249"/>
    </row>
    <row r="46" spans="1:11" x14ac:dyDescent="0.25">
      <c r="A46" s="239">
        <v>44652</v>
      </c>
      <c r="B46" s="239">
        <v>44677</v>
      </c>
      <c r="C46" s="240" t="s">
        <v>1844</v>
      </c>
      <c r="D46" s="240" t="s">
        <v>1845</v>
      </c>
      <c r="E46" s="241">
        <v>0</v>
      </c>
      <c r="F46" s="241">
        <v>3092.1</v>
      </c>
      <c r="G46" s="241">
        <v>0</v>
      </c>
      <c r="H46" s="241">
        <v>0</v>
      </c>
      <c r="I46" s="241">
        <v>0</v>
      </c>
      <c r="J46" s="241">
        <v>0</v>
      </c>
      <c r="K46" s="241">
        <v>3092.1</v>
      </c>
    </row>
    <row r="47" spans="1:11" x14ac:dyDescent="0.25">
      <c r="A47" s="239">
        <v>44672</v>
      </c>
      <c r="B47" s="239">
        <v>44686</v>
      </c>
      <c r="C47" s="240" t="s">
        <v>1846</v>
      </c>
      <c r="D47" s="240" t="s">
        <v>1847</v>
      </c>
      <c r="E47" s="241">
        <v>187</v>
      </c>
      <c r="F47" s="241">
        <v>0</v>
      </c>
      <c r="G47" s="241">
        <v>0</v>
      </c>
      <c r="H47" s="241">
        <v>0</v>
      </c>
      <c r="I47" s="241">
        <v>0</v>
      </c>
      <c r="J47" s="241">
        <v>0</v>
      </c>
      <c r="K47" s="241">
        <v>187</v>
      </c>
    </row>
    <row r="48" spans="1:11" x14ac:dyDescent="0.25">
      <c r="A48" s="242" t="s">
        <v>1848</v>
      </c>
      <c r="B48" s="242"/>
      <c r="C48" s="242"/>
      <c r="D48" s="242"/>
      <c r="E48" s="243">
        <f t="shared" ref="E48:K48" si="9">SUM(E46:E47)</f>
        <v>187</v>
      </c>
      <c r="F48" s="243">
        <f t="shared" si="9"/>
        <v>3092.1</v>
      </c>
      <c r="G48" s="243">
        <f t="shared" si="9"/>
        <v>0</v>
      </c>
      <c r="H48" s="243">
        <f t="shared" si="9"/>
        <v>0</v>
      </c>
      <c r="I48" s="243">
        <f t="shared" si="9"/>
        <v>0</v>
      </c>
      <c r="J48" s="243">
        <f t="shared" si="9"/>
        <v>0</v>
      </c>
      <c r="K48" s="243">
        <f t="shared" si="9"/>
        <v>3279.1</v>
      </c>
    </row>
    <row r="50" spans="1:11" ht="13" x14ac:dyDescent="0.25">
      <c r="A50" s="249" t="s">
        <v>1849</v>
      </c>
      <c r="B50" s="249"/>
      <c r="C50" s="249"/>
      <c r="D50" s="249"/>
      <c r="E50" s="249"/>
      <c r="F50" s="249"/>
      <c r="G50" s="249"/>
      <c r="H50" s="249"/>
      <c r="I50" s="249"/>
      <c r="J50" s="249"/>
      <c r="K50" s="249"/>
    </row>
    <row r="51" spans="1:11" x14ac:dyDescent="0.25">
      <c r="A51" s="239">
        <v>44603</v>
      </c>
      <c r="B51" s="239">
        <v>44603</v>
      </c>
      <c r="C51" s="240" t="s">
        <v>1850</v>
      </c>
      <c r="D51" s="240" t="s">
        <v>597</v>
      </c>
      <c r="E51" s="241">
        <v>0</v>
      </c>
      <c r="F51" s="241">
        <v>0</v>
      </c>
      <c r="G51" s="241">
        <v>0</v>
      </c>
      <c r="H51" s="241">
        <v>-169.62</v>
      </c>
      <c r="I51" s="241">
        <v>0</v>
      </c>
      <c r="J51" s="241">
        <v>0</v>
      </c>
      <c r="K51" s="241">
        <v>-169.62</v>
      </c>
    </row>
    <row r="52" spans="1:11" x14ac:dyDescent="0.25">
      <c r="A52" s="242" t="s">
        <v>1851</v>
      </c>
      <c r="B52" s="242"/>
      <c r="C52" s="242"/>
      <c r="D52" s="242"/>
      <c r="E52" s="243">
        <f t="shared" ref="E52:K52" si="10">E51</f>
        <v>0</v>
      </c>
      <c r="F52" s="243">
        <f t="shared" si="10"/>
        <v>0</v>
      </c>
      <c r="G52" s="243">
        <f t="shared" si="10"/>
        <v>0</v>
      </c>
      <c r="H52" s="243">
        <f t="shared" si="10"/>
        <v>-169.62</v>
      </c>
      <c r="I52" s="243">
        <f t="shared" si="10"/>
        <v>0</v>
      </c>
      <c r="J52" s="243">
        <f t="shared" si="10"/>
        <v>0</v>
      </c>
      <c r="K52" s="243">
        <f t="shared" si="10"/>
        <v>-169.62</v>
      </c>
    </row>
    <row r="54" spans="1:11" ht="13" x14ac:dyDescent="0.25">
      <c r="A54" s="249" t="s">
        <v>1852</v>
      </c>
      <c r="B54" s="249"/>
      <c r="C54" s="249"/>
      <c r="D54" s="249"/>
      <c r="E54" s="249"/>
      <c r="F54" s="249"/>
      <c r="G54" s="249"/>
      <c r="H54" s="249"/>
      <c r="I54" s="249"/>
      <c r="J54" s="249"/>
      <c r="K54" s="249"/>
    </row>
    <row r="55" spans="1:11" x14ac:dyDescent="0.25">
      <c r="A55" s="239">
        <v>44682</v>
      </c>
      <c r="B55" s="239">
        <v>44707</v>
      </c>
      <c r="C55" s="240" t="s">
        <v>1853</v>
      </c>
      <c r="D55" s="240" t="s">
        <v>1854</v>
      </c>
      <c r="E55" s="241">
        <v>630.29999999999995</v>
      </c>
      <c r="F55" s="241">
        <v>0</v>
      </c>
      <c r="G55" s="241">
        <v>0</v>
      </c>
      <c r="H55" s="241">
        <v>0</v>
      </c>
      <c r="I55" s="241">
        <v>0</v>
      </c>
      <c r="J55" s="241">
        <v>0</v>
      </c>
      <c r="K55" s="241">
        <v>630.29999999999995</v>
      </c>
    </row>
    <row r="56" spans="1:11" x14ac:dyDescent="0.25">
      <c r="A56" s="242" t="s">
        <v>1855</v>
      </c>
      <c r="B56" s="242"/>
      <c r="C56" s="242"/>
      <c r="D56" s="242"/>
      <c r="E56" s="243">
        <f t="shared" ref="E56:K56" si="11">E55</f>
        <v>630.29999999999995</v>
      </c>
      <c r="F56" s="243">
        <f t="shared" si="11"/>
        <v>0</v>
      </c>
      <c r="G56" s="243">
        <f t="shared" si="11"/>
        <v>0</v>
      </c>
      <c r="H56" s="243">
        <f t="shared" si="11"/>
        <v>0</v>
      </c>
      <c r="I56" s="243">
        <f t="shared" si="11"/>
        <v>0</v>
      </c>
      <c r="J56" s="243">
        <f t="shared" si="11"/>
        <v>0</v>
      </c>
      <c r="K56" s="243">
        <f t="shared" si="11"/>
        <v>630.29999999999995</v>
      </c>
    </row>
    <row r="58" spans="1:11" ht="26" x14ac:dyDescent="0.25">
      <c r="A58" s="249" t="s">
        <v>1856</v>
      </c>
      <c r="B58" s="249"/>
      <c r="C58" s="249"/>
      <c r="D58" s="249"/>
      <c r="E58" s="249"/>
      <c r="F58" s="249"/>
      <c r="G58" s="249"/>
      <c r="H58" s="249"/>
      <c r="I58" s="249"/>
      <c r="J58" s="249"/>
      <c r="K58" s="249"/>
    </row>
    <row r="59" spans="1:11" x14ac:dyDescent="0.25">
      <c r="A59" s="239">
        <v>44682</v>
      </c>
      <c r="B59" s="239">
        <v>44697</v>
      </c>
      <c r="C59" s="240" t="s">
        <v>1857</v>
      </c>
      <c r="D59" s="240" t="s">
        <v>1858</v>
      </c>
      <c r="E59" s="241">
        <v>1921.26</v>
      </c>
      <c r="F59" s="241">
        <v>0</v>
      </c>
      <c r="G59" s="241">
        <v>0</v>
      </c>
      <c r="H59" s="241">
        <v>0</v>
      </c>
      <c r="I59" s="241">
        <v>0</v>
      </c>
      <c r="J59" s="241">
        <v>0</v>
      </c>
      <c r="K59" s="241">
        <v>1921.26</v>
      </c>
    </row>
    <row r="60" spans="1:11" x14ac:dyDescent="0.25">
      <c r="A60" s="242" t="s">
        <v>1859</v>
      </c>
      <c r="B60" s="242"/>
      <c r="C60" s="242"/>
      <c r="D60" s="242"/>
      <c r="E60" s="243">
        <f t="shared" ref="E60:K60" si="12">E59</f>
        <v>1921.26</v>
      </c>
      <c r="F60" s="243">
        <f t="shared" si="12"/>
        <v>0</v>
      </c>
      <c r="G60" s="243">
        <f t="shared" si="12"/>
        <v>0</v>
      </c>
      <c r="H60" s="243">
        <f t="shared" si="12"/>
        <v>0</v>
      </c>
      <c r="I60" s="243">
        <f t="shared" si="12"/>
        <v>0</v>
      </c>
      <c r="J60" s="243">
        <f t="shared" si="12"/>
        <v>0</v>
      </c>
      <c r="K60" s="243">
        <f t="shared" si="12"/>
        <v>1921.26</v>
      </c>
    </row>
    <row r="62" spans="1:11" ht="13" x14ac:dyDescent="0.25">
      <c r="A62" s="249" t="s">
        <v>1860</v>
      </c>
      <c r="B62" s="249"/>
      <c r="C62" s="249"/>
      <c r="D62" s="249"/>
      <c r="E62" s="249"/>
      <c r="F62" s="249"/>
      <c r="G62" s="249"/>
      <c r="H62" s="249"/>
      <c r="I62" s="249"/>
      <c r="J62" s="249"/>
      <c r="K62" s="249"/>
    </row>
    <row r="63" spans="1:11" x14ac:dyDescent="0.25">
      <c r="A63" s="239">
        <v>44652</v>
      </c>
      <c r="B63" s="239">
        <v>44677</v>
      </c>
      <c r="C63" s="240" t="s">
        <v>1861</v>
      </c>
      <c r="D63" s="240" t="s">
        <v>1862</v>
      </c>
      <c r="E63" s="241">
        <v>0</v>
      </c>
      <c r="F63" s="241">
        <v>3718</v>
      </c>
      <c r="G63" s="241">
        <v>0</v>
      </c>
      <c r="H63" s="241">
        <v>0</v>
      </c>
      <c r="I63" s="241">
        <v>0</v>
      </c>
      <c r="J63" s="241">
        <v>0</v>
      </c>
      <c r="K63" s="241">
        <v>3718</v>
      </c>
    </row>
    <row r="64" spans="1:11" x14ac:dyDescent="0.25">
      <c r="A64" s="242" t="s">
        <v>1863</v>
      </c>
      <c r="B64" s="242"/>
      <c r="C64" s="242"/>
      <c r="D64" s="242"/>
      <c r="E64" s="243">
        <f t="shared" ref="E64:K64" si="13">E63</f>
        <v>0</v>
      </c>
      <c r="F64" s="243">
        <f t="shared" si="13"/>
        <v>3718</v>
      </c>
      <c r="G64" s="243">
        <f t="shared" si="13"/>
        <v>0</v>
      </c>
      <c r="H64" s="243">
        <f t="shared" si="13"/>
        <v>0</v>
      </c>
      <c r="I64" s="243">
        <f t="shared" si="13"/>
        <v>0</v>
      </c>
      <c r="J64" s="243">
        <f t="shared" si="13"/>
        <v>0</v>
      </c>
      <c r="K64" s="243">
        <f t="shared" si="13"/>
        <v>3718</v>
      </c>
    </row>
    <row r="66" spans="1:11" ht="13" x14ac:dyDescent="0.25">
      <c r="A66" s="249" t="s">
        <v>1864</v>
      </c>
      <c r="B66" s="249"/>
      <c r="C66" s="249"/>
      <c r="D66" s="249"/>
      <c r="E66" s="249"/>
      <c r="F66" s="249"/>
      <c r="G66" s="249"/>
      <c r="H66" s="249"/>
      <c r="I66" s="249"/>
      <c r="J66" s="249"/>
      <c r="K66" s="249"/>
    </row>
    <row r="67" spans="1:11" x14ac:dyDescent="0.25">
      <c r="A67" s="239">
        <v>44652</v>
      </c>
      <c r="B67" s="239">
        <v>44677</v>
      </c>
      <c r="C67" s="240" t="s">
        <v>1865</v>
      </c>
      <c r="D67" s="240" t="s">
        <v>1866</v>
      </c>
      <c r="E67" s="241">
        <v>0</v>
      </c>
      <c r="F67" s="241">
        <v>20974.799999999999</v>
      </c>
      <c r="G67" s="241">
        <v>0</v>
      </c>
      <c r="H67" s="241">
        <v>0</v>
      </c>
      <c r="I67" s="241">
        <v>0</v>
      </c>
      <c r="J67" s="241">
        <v>0</v>
      </c>
      <c r="K67" s="241">
        <v>20974.799999999999</v>
      </c>
    </row>
    <row r="68" spans="1:11" x14ac:dyDescent="0.25">
      <c r="A68" s="242" t="s">
        <v>1867</v>
      </c>
      <c r="B68" s="242"/>
      <c r="C68" s="242"/>
      <c r="D68" s="242"/>
      <c r="E68" s="243">
        <f t="shared" ref="E68:K68" si="14">E67</f>
        <v>0</v>
      </c>
      <c r="F68" s="243">
        <f t="shared" si="14"/>
        <v>20974.799999999999</v>
      </c>
      <c r="G68" s="243">
        <f t="shared" si="14"/>
        <v>0</v>
      </c>
      <c r="H68" s="243">
        <f t="shared" si="14"/>
        <v>0</v>
      </c>
      <c r="I68" s="243">
        <f t="shared" si="14"/>
        <v>0</v>
      </c>
      <c r="J68" s="243">
        <f t="shared" si="14"/>
        <v>0</v>
      </c>
      <c r="K68" s="243">
        <f t="shared" si="14"/>
        <v>20974.799999999999</v>
      </c>
    </row>
    <row r="70" spans="1:11" ht="13" x14ac:dyDescent="0.25">
      <c r="A70" s="249" t="s">
        <v>1868</v>
      </c>
      <c r="B70" s="249"/>
      <c r="C70" s="249"/>
      <c r="D70" s="249"/>
      <c r="E70" s="249"/>
      <c r="F70" s="249"/>
      <c r="G70" s="249"/>
      <c r="H70" s="249"/>
      <c r="I70" s="249"/>
      <c r="J70" s="249"/>
      <c r="K70" s="249"/>
    </row>
    <row r="71" spans="1:11" x14ac:dyDescent="0.25">
      <c r="A71" s="239">
        <v>44682</v>
      </c>
      <c r="B71" s="239">
        <v>44707</v>
      </c>
      <c r="C71" s="240" t="s">
        <v>1869</v>
      </c>
      <c r="D71" s="240" t="s">
        <v>1870</v>
      </c>
      <c r="E71" s="241">
        <v>851.05</v>
      </c>
      <c r="F71" s="241">
        <v>0</v>
      </c>
      <c r="G71" s="241">
        <v>0</v>
      </c>
      <c r="H71" s="241">
        <v>0</v>
      </c>
      <c r="I71" s="241">
        <v>0</v>
      </c>
      <c r="J71" s="241">
        <v>0</v>
      </c>
      <c r="K71" s="241">
        <v>851.05</v>
      </c>
    </row>
    <row r="72" spans="1:11" x14ac:dyDescent="0.25">
      <c r="A72" s="242" t="s">
        <v>1871</v>
      </c>
      <c r="B72" s="242"/>
      <c r="C72" s="242"/>
      <c r="D72" s="242"/>
      <c r="E72" s="243">
        <f t="shared" ref="E72:K72" si="15">E71</f>
        <v>851.05</v>
      </c>
      <c r="F72" s="243">
        <f t="shared" si="15"/>
        <v>0</v>
      </c>
      <c r="G72" s="243">
        <f t="shared" si="15"/>
        <v>0</v>
      </c>
      <c r="H72" s="243">
        <f t="shared" si="15"/>
        <v>0</v>
      </c>
      <c r="I72" s="243">
        <f t="shared" si="15"/>
        <v>0</v>
      </c>
      <c r="J72" s="243">
        <f t="shared" si="15"/>
        <v>0</v>
      </c>
      <c r="K72" s="243">
        <f t="shared" si="15"/>
        <v>851.05</v>
      </c>
    </row>
    <row r="74" spans="1:11" ht="13" x14ac:dyDescent="0.25">
      <c r="A74" s="249" t="s">
        <v>1872</v>
      </c>
      <c r="B74" s="249"/>
      <c r="C74" s="249"/>
      <c r="D74" s="249"/>
      <c r="E74" s="249"/>
      <c r="F74" s="249"/>
      <c r="G74" s="249"/>
      <c r="H74" s="249"/>
      <c r="I74" s="249"/>
      <c r="J74" s="249"/>
      <c r="K74" s="249"/>
    </row>
    <row r="75" spans="1:11" x14ac:dyDescent="0.25">
      <c r="A75" s="239">
        <v>44682</v>
      </c>
      <c r="B75" s="239">
        <v>44707</v>
      </c>
      <c r="C75" s="240" t="s">
        <v>1873</v>
      </c>
      <c r="D75" s="240" t="s">
        <v>1874</v>
      </c>
      <c r="E75" s="241">
        <v>907.5</v>
      </c>
      <c r="F75" s="241">
        <v>0</v>
      </c>
      <c r="G75" s="241">
        <v>0</v>
      </c>
      <c r="H75" s="241">
        <v>0</v>
      </c>
      <c r="I75" s="241">
        <v>0</v>
      </c>
      <c r="J75" s="241">
        <v>0</v>
      </c>
      <c r="K75" s="241">
        <v>907.5</v>
      </c>
    </row>
    <row r="76" spans="1:11" x14ac:dyDescent="0.25">
      <c r="A76" s="242" t="s">
        <v>1875</v>
      </c>
      <c r="B76" s="242"/>
      <c r="C76" s="242"/>
      <c r="D76" s="242"/>
      <c r="E76" s="243">
        <f t="shared" ref="E76:K76" si="16">E75</f>
        <v>907.5</v>
      </c>
      <c r="F76" s="243">
        <f t="shared" si="16"/>
        <v>0</v>
      </c>
      <c r="G76" s="243">
        <f t="shared" si="16"/>
        <v>0</v>
      </c>
      <c r="H76" s="243">
        <f t="shared" si="16"/>
        <v>0</v>
      </c>
      <c r="I76" s="243">
        <f t="shared" si="16"/>
        <v>0</v>
      </c>
      <c r="J76" s="243">
        <f t="shared" si="16"/>
        <v>0</v>
      </c>
      <c r="K76" s="243">
        <f t="shared" si="16"/>
        <v>907.5</v>
      </c>
    </row>
    <row r="78" spans="1:11" ht="13" x14ac:dyDescent="0.25">
      <c r="A78" s="249" t="s">
        <v>1876</v>
      </c>
      <c r="B78" s="249"/>
      <c r="C78" s="249"/>
      <c r="D78" s="249"/>
      <c r="E78" s="249"/>
      <c r="F78" s="249"/>
      <c r="G78" s="249"/>
      <c r="H78" s="249"/>
      <c r="I78" s="249"/>
      <c r="J78" s="249"/>
      <c r="K78" s="249"/>
    </row>
    <row r="79" spans="1:11" x14ac:dyDescent="0.25">
      <c r="A79" s="239">
        <v>44682</v>
      </c>
      <c r="B79" s="239">
        <v>44707</v>
      </c>
      <c r="C79" s="240" t="s">
        <v>1877</v>
      </c>
      <c r="D79" s="240" t="s">
        <v>1837</v>
      </c>
      <c r="E79" s="241">
        <v>1580.7</v>
      </c>
      <c r="F79" s="241">
        <v>0</v>
      </c>
      <c r="G79" s="241">
        <v>0</v>
      </c>
      <c r="H79" s="241">
        <v>0</v>
      </c>
      <c r="I79" s="241">
        <v>0</v>
      </c>
      <c r="J79" s="241">
        <v>0</v>
      </c>
      <c r="K79" s="241">
        <v>1580.7</v>
      </c>
    </row>
    <row r="80" spans="1:11" x14ac:dyDescent="0.25">
      <c r="A80" s="242" t="s">
        <v>1878</v>
      </c>
      <c r="B80" s="242"/>
      <c r="C80" s="242"/>
      <c r="D80" s="242"/>
      <c r="E80" s="243">
        <f t="shared" ref="E80:K80" si="17">E79</f>
        <v>1580.7</v>
      </c>
      <c r="F80" s="243">
        <f t="shared" si="17"/>
        <v>0</v>
      </c>
      <c r="G80" s="243">
        <f t="shared" si="17"/>
        <v>0</v>
      </c>
      <c r="H80" s="243">
        <f t="shared" si="17"/>
        <v>0</v>
      </c>
      <c r="I80" s="243">
        <f t="shared" si="17"/>
        <v>0</v>
      </c>
      <c r="J80" s="243">
        <f t="shared" si="17"/>
        <v>0</v>
      </c>
      <c r="K80" s="243">
        <f t="shared" si="17"/>
        <v>1580.7</v>
      </c>
    </row>
    <row r="82" spans="1:11" ht="13" x14ac:dyDescent="0.25">
      <c r="A82" s="249" t="s">
        <v>1879</v>
      </c>
      <c r="B82" s="249"/>
      <c r="C82" s="249"/>
      <c r="D82" s="249"/>
      <c r="E82" s="249"/>
      <c r="F82" s="249"/>
      <c r="G82" s="249"/>
      <c r="H82" s="249"/>
      <c r="I82" s="249"/>
      <c r="J82" s="249"/>
      <c r="K82" s="249"/>
    </row>
    <row r="83" spans="1:11" x14ac:dyDescent="0.25">
      <c r="A83" s="239">
        <v>44682</v>
      </c>
      <c r="B83" s="239">
        <v>44707</v>
      </c>
      <c r="C83" s="240" t="s">
        <v>1880</v>
      </c>
      <c r="D83" s="240" t="s">
        <v>1881</v>
      </c>
      <c r="E83" s="241">
        <v>676.5</v>
      </c>
      <c r="F83" s="241">
        <v>0</v>
      </c>
      <c r="G83" s="241">
        <v>0</v>
      </c>
      <c r="H83" s="241">
        <v>0</v>
      </c>
      <c r="I83" s="241">
        <v>0</v>
      </c>
      <c r="J83" s="241">
        <v>0</v>
      </c>
      <c r="K83" s="241">
        <v>676.5</v>
      </c>
    </row>
    <row r="84" spans="1:11" x14ac:dyDescent="0.25">
      <c r="A84" s="242" t="s">
        <v>1882</v>
      </c>
      <c r="B84" s="242"/>
      <c r="C84" s="242"/>
      <c r="D84" s="242"/>
      <c r="E84" s="243">
        <f t="shared" ref="E84:K84" si="18">E83</f>
        <v>676.5</v>
      </c>
      <c r="F84" s="243">
        <f t="shared" si="18"/>
        <v>0</v>
      </c>
      <c r="G84" s="243">
        <f t="shared" si="18"/>
        <v>0</v>
      </c>
      <c r="H84" s="243">
        <f t="shared" si="18"/>
        <v>0</v>
      </c>
      <c r="I84" s="243">
        <f t="shared" si="18"/>
        <v>0</v>
      </c>
      <c r="J84" s="243">
        <f t="shared" si="18"/>
        <v>0</v>
      </c>
      <c r="K84" s="243">
        <f t="shared" si="18"/>
        <v>676.5</v>
      </c>
    </row>
    <row r="86" spans="1:11" ht="13" x14ac:dyDescent="0.25">
      <c r="A86" s="249" t="s">
        <v>1883</v>
      </c>
      <c r="B86" s="249"/>
      <c r="C86" s="249"/>
      <c r="D86" s="249"/>
      <c r="E86" s="249"/>
      <c r="F86" s="249"/>
      <c r="G86" s="249"/>
      <c r="H86" s="249"/>
      <c r="I86" s="249"/>
      <c r="J86" s="249"/>
      <c r="K86" s="249"/>
    </row>
    <row r="87" spans="1:11" x14ac:dyDescent="0.25">
      <c r="A87" s="239">
        <v>44682</v>
      </c>
      <c r="B87" s="239">
        <v>44707</v>
      </c>
      <c r="C87" s="240" t="s">
        <v>1884</v>
      </c>
      <c r="D87" s="240" t="s">
        <v>1885</v>
      </c>
      <c r="E87" s="241">
        <v>1881</v>
      </c>
      <c r="F87" s="241">
        <v>0</v>
      </c>
      <c r="G87" s="241">
        <v>0</v>
      </c>
      <c r="H87" s="241">
        <v>0</v>
      </c>
      <c r="I87" s="241">
        <v>0</v>
      </c>
      <c r="J87" s="241">
        <v>0</v>
      </c>
      <c r="K87" s="241">
        <v>1881</v>
      </c>
    </row>
    <row r="88" spans="1:11" x14ac:dyDescent="0.25">
      <c r="A88" s="242" t="s">
        <v>1886</v>
      </c>
      <c r="B88" s="242"/>
      <c r="C88" s="242"/>
      <c r="D88" s="242"/>
      <c r="E88" s="243">
        <f t="shared" ref="E88:K88" si="19">E87</f>
        <v>1881</v>
      </c>
      <c r="F88" s="243">
        <f t="shared" si="19"/>
        <v>0</v>
      </c>
      <c r="G88" s="243">
        <f t="shared" si="19"/>
        <v>0</v>
      </c>
      <c r="H88" s="243">
        <f t="shared" si="19"/>
        <v>0</v>
      </c>
      <c r="I88" s="243">
        <f t="shared" si="19"/>
        <v>0</v>
      </c>
      <c r="J88" s="243">
        <f t="shared" si="19"/>
        <v>0</v>
      </c>
      <c r="K88" s="243">
        <f t="shared" si="19"/>
        <v>1881</v>
      </c>
    </row>
    <row r="90" spans="1:11" ht="13" x14ac:dyDescent="0.25">
      <c r="A90" s="249" t="s">
        <v>1887</v>
      </c>
      <c r="B90" s="249"/>
      <c r="C90" s="249"/>
      <c r="D90" s="249"/>
      <c r="E90" s="249"/>
      <c r="F90" s="249"/>
      <c r="G90" s="249"/>
      <c r="H90" s="249"/>
      <c r="I90" s="249"/>
      <c r="J90" s="249"/>
      <c r="K90" s="249"/>
    </row>
    <row r="91" spans="1:11" x14ac:dyDescent="0.25">
      <c r="A91" s="239">
        <v>44682</v>
      </c>
      <c r="B91" s="239">
        <v>44707</v>
      </c>
      <c r="C91" s="240" t="s">
        <v>1888</v>
      </c>
      <c r="D91" s="240" t="s">
        <v>1837</v>
      </c>
      <c r="E91" s="241">
        <v>330</v>
      </c>
      <c r="F91" s="241">
        <v>0</v>
      </c>
      <c r="G91" s="241">
        <v>0</v>
      </c>
      <c r="H91" s="241">
        <v>0</v>
      </c>
      <c r="I91" s="241">
        <v>0</v>
      </c>
      <c r="J91" s="241">
        <v>0</v>
      </c>
      <c r="K91" s="241">
        <v>330</v>
      </c>
    </row>
    <row r="92" spans="1:11" x14ac:dyDescent="0.25">
      <c r="A92" s="242" t="s">
        <v>1889</v>
      </c>
      <c r="B92" s="242"/>
      <c r="C92" s="242"/>
      <c r="D92" s="242"/>
      <c r="E92" s="243">
        <f t="shared" ref="E92:K92" si="20">E91</f>
        <v>330</v>
      </c>
      <c r="F92" s="243">
        <f t="shared" si="20"/>
        <v>0</v>
      </c>
      <c r="G92" s="243">
        <f t="shared" si="20"/>
        <v>0</v>
      </c>
      <c r="H92" s="243">
        <f t="shared" si="20"/>
        <v>0</v>
      </c>
      <c r="I92" s="243">
        <f t="shared" si="20"/>
        <v>0</v>
      </c>
      <c r="J92" s="243">
        <f t="shared" si="20"/>
        <v>0</v>
      </c>
      <c r="K92" s="243">
        <f t="shared" si="20"/>
        <v>330</v>
      </c>
    </row>
    <row r="94" spans="1:11" ht="13" x14ac:dyDescent="0.25">
      <c r="A94" s="249" t="s">
        <v>1890</v>
      </c>
      <c r="B94" s="249"/>
      <c r="C94" s="249"/>
      <c r="D94" s="249"/>
      <c r="E94" s="249"/>
      <c r="F94" s="249"/>
      <c r="G94" s="249"/>
      <c r="H94" s="249"/>
      <c r="I94" s="249"/>
      <c r="J94" s="249"/>
      <c r="K94" s="249"/>
    </row>
    <row r="95" spans="1:11" x14ac:dyDescent="0.25">
      <c r="A95" s="239">
        <v>44682</v>
      </c>
      <c r="B95" s="239">
        <v>44707</v>
      </c>
      <c r="C95" s="240" t="s">
        <v>1891</v>
      </c>
      <c r="D95" s="240" t="s">
        <v>1837</v>
      </c>
      <c r="E95" s="241">
        <v>330</v>
      </c>
      <c r="F95" s="241">
        <v>0</v>
      </c>
      <c r="G95" s="241">
        <v>0</v>
      </c>
      <c r="H95" s="241">
        <v>0</v>
      </c>
      <c r="I95" s="241">
        <v>0</v>
      </c>
      <c r="J95" s="241">
        <v>0</v>
      </c>
      <c r="K95" s="241">
        <v>330</v>
      </c>
    </row>
    <row r="96" spans="1:11" x14ac:dyDescent="0.25">
      <c r="A96" s="242" t="s">
        <v>1892</v>
      </c>
      <c r="B96" s="242"/>
      <c r="C96" s="242"/>
      <c r="D96" s="242"/>
      <c r="E96" s="243">
        <f t="shared" ref="E96:K96" si="21">E95</f>
        <v>330</v>
      </c>
      <c r="F96" s="243">
        <f t="shared" si="21"/>
        <v>0</v>
      </c>
      <c r="G96" s="243">
        <f t="shared" si="21"/>
        <v>0</v>
      </c>
      <c r="H96" s="243">
        <f t="shared" si="21"/>
        <v>0</v>
      </c>
      <c r="I96" s="243">
        <f t="shared" si="21"/>
        <v>0</v>
      </c>
      <c r="J96" s="243">
        <f t="shared" si="21"/>
        <v>0</v>
      </c>
      <c r="K96" s="243">
        <f t="shared" si="21"/>
        <v>330</v>
      </c>
    </row>
    <row r="98" spans="1:11" ht="13" x14ac:dyDescent="0.25">
      <c r="A98" s="249" t="s">
        <v>1893</v>
      </c>
      <c r="B98" s="249"/>
      <c r="C98" s="249"/>
      <c r="D98" s="249"/>
      <c r="E98" s="249"/>
      <c r="F98" s="249"/>
      <c r="G98" s="249"/>
      <c r="H98" s="249"/>
      <c r="I98" s="249"/>
      <c r="J98" s="249"/>
      <c r="K98" s="249"/>
    </row>
    <row r="99" spans="1:11" x14ac:dyDescent="0.25">
      <c r="A99" s="239">
        <v>44682</v>
      </c>
      <c r="B99" s="239">
        <v>44707</v>
      </c>
      <c r="C99" s="240" t="s">
        <v>1894</v>
      </c>
      <c r="D99" s="240" t="s">
        <v>1817</v>
      </c>
      <c r="E99" s="241">
        <v>814</v>
      </c>
      <c r="F99" s="241">
        <v>0</v>
      </c>
      <c r="G99" s="241">
        <v>0</v>
      </c>
      <c r="H99" s="241">
        <v>0</v>
      </c>
      <c r="I99" s="241">
        <v>0</v>
      </c>
      <c r="J99" s="241">
        <v>0</v>
      </c>
      <c r="K99" s="241">
        <v>814</v>
      </c>
    </row>
    <row r="100" spans="1:11" x14ac:dyDescent="0.25">
      <c r="A100" s="242" t="s">
        <v>1895</v>
      </c>
      <c r="B100" s="242"/>
      <c r="C100" s="242"/>
      <c r="D100" s="242"/>
      <c r="E100" s="243">
        <f t="shared" ref="E100:K100" si="22">E99</f>
        <v>814</v>
      </c>
      <c r="F100" s="243">
        <f t="shared" si="22"/>
        <v>0</v>
      </c>
      <c r="G100" s="243">
        <f t="shared" si="22"/>
        <v>0</v>
      </c>
      <c r="H100" s="243">
        <f t="shared" si="22"/>
        <v>0</v>
      </c>
      <c r="I100" s="243">
        <f t="shared" si="22"/>
        <v>0</v>
      </c>
      <c r="J100" s="243">
        <f t="shared" si="22"/>
        <v>0</v>
      </c>
      <c r="K100" s="243">
        <f t="shared" si="22"/>
        <v>814</v>
      </c>
    </row>
    <row r="102" spans="1:11" ht="13" x14ac:dyDescent="0.25">
      <c r="A102" s="249" t="s">
        <v>1896</v>
      </c>
      <c r="B102" s="249"/>
      <c r="C102" s="249"/>
      <c r="D102" s="249"/>
      <c r="E102" s="249"/>
      <c r="F102" s="249"/>
      <c r="G102" s="249"/>
      <c r="H102" s="249"/>
      <c r="I102" s="249"/>
      <c r="J102" s="249"/>
      <c r="K102" s="249"/>
    </row>
    <row r="103" spans="1:11" x14ac:dyDescent="0.25">
      <c r="A103" s="239">
        <v>44636</v>
      </c>
      <c r="B103" s="239">
        <v>44662</v>
      </c>
      <c r="C103" s="240" t="s">
        <v>1897</v>
      </c>
      <c r="D103" s="240" t="s">
        <v>850</v>
      </c>
      <c r="E103" s="241">
        <v>0</v>
      </c>
      <c r="F103" s="241">
        <v>814</v>
      </c>
      <c r="G103" s="241">
        <v>0</v>
      </c>
      <c r="H103" s="241">
        <v>0</v>
      </c>
      <c r="I103" s="241">
        <v>0</v>
      </c>
      <c r="J103" s="241">
        <v>0</v>
      </c>
      <c r="K103" s="241">
        <v>814</v>
      </c>
    </row>
    <row r="104" spans="1:11" x14ac:dyDescent="0.25">
      <c r="A104" s="242" t="s">
        <v>1898</v>
      </c>
      <c r="B104" s="242"/>
      <c r="C104" s="242"/>
      <c r="D104" s="242"/>
      <c r="E104" s="243">
        <f t="shared" ref="E104:K104" si="23">E103</f>
        <v>0</v>
      </c>
      <c r="F104" s="243">
        <f t="shared" si="23"/>
        <v>814</v>
      </c>
      <c r="G104" s="243">
        <f t="shared" si="23"/>
        <v>0</v>
      </c>
      <c r="H104" s="243">
        <f t="shared" si="23"/>
        <v>0</v>
      </c>
      <c r="I104" s="243">
        <f t="shared" si="23"/>
        <v>0</v>
      </c>
      <c r="J104" s="243">
        <f t="shared" si="23"/>
        <v>0</v>
      </c>
      <c r="K104" s="243">
        <f t="shared" si="23"/>
        <v>814</v>
      </c>
    </row>
    <row r="106" spans="1:11" ht="13" x14ac:dyDescent="0.25">
      <c r="A106" s="249" t="s">
        <v>1899</v>
      </c>
      <c r="B106" s="249"/>
      <c r="C106" s="249"/>
      <c r="D106" s="249"/>
      <c r="E106" s="249"/>
      <c r="F106" s="249"/>
      <c r="G106" s="249"/>
      <c r="H106" s="249"/>
      <c r="I106" s="249"/>
      <c r="J106" s="249"/>
      <c r="K106" s="249"/>
    </row>
    <row r="107" spans="1:11" x14ac:dyDescent="0.25">
      <c r="A107" s="239">
        <v>44682</v>
      </c>
      <c r="B107" s="239">
        <v>44707</v>
      </c>
      <c r="C107" s="240" t="s">
        <v>1900</v>
      </c>
      <c r="D107" s="240" t="s">
        <v>1901</v>
      </c>
      <c r="E107" s="241">
        <v>1072.5</v>
      </c>
      <c r="F107" s="241">
        <v>0</v>
      </c>
      <c r="G107" s="241">
        <v>0</v>
      </c>
      <c r="H107" s="241">
        <v>0</v>
      </c>
      <c r="I107" s="241">
        <v>0</v>
      </c>
      <c r="J107" s="241">
        <v>0</v>
      </c>
      <c r="K107" s="241">
        <v>1072.5</v>
      </c>
    </row>
    <row r="108" spans="1:11" x14ac:dyDescent="0.25">
      <c r="A108" s="242" t="s">
        <v>1902</v>
      </c>
      <c r="B108" s="242"/>
      <c r="C108" s="242"/>
      <c r="D108" s="242"/>
      <c r="E108" s="243">
        <f t="shared" ref="E108:K108" si="24">E107</f>
        <v>1072.5</v>
      </c>
      <c r="F108" s="243">
        <f t="shared" si="24"/>
        <v>0</v>
      </c>
      <c r="G108" s="243">
        <f t="shared" si="24"/>
        <v>0</v>
      </c>
      <c r="H108" s="243">
        <f t="shared" si="24"/>
        <v>0</v>
      </c>
      <c r="I108" s="243">
        <f t="shared" si="24"/>
        <v>0</v>
      </c>
      <c r="J108" s="243">
        <f t="shared" si="24"/>
        <v>0</v>
      </c>
      <c r="K108" s="243">
        <f t="shared" si="24"/>
        <v>1072.5</v>
      </c>
    </row>
    <row r="110" spans="1:11" ht="13" x14ac:dyDescent="0.25">
      <c r="A110" s="249" t="s">
        <v>1903</v>
      </c>
      <c r="B110" s="249"/>
      <c r="C110" s="249"/>
      <c r="D110" s="249"/>
      <c r="E110" s="249"/>
      <c r="F110" s="249"/>
      <c r="G110" s="249"/>
      <c r="H110" s="249"/>
      <c r="I110" s="249"/>
      <c r="J110" s="249"/>
      <c r="K110" s="249"/>
    </row>
    <row r="111" spans="1:11" x14ac:dyDescent="0.25">
      <c r="A111" s="239">
        <v>44682</v>
      </c>
      <c r="B111" s="239">
        <v>44707</v>
      </c>
      <c r="C111" s="240" t="s">
        <v>1904</v>
      </c>
      <c r="D111" s="240" t="s">
        <v>1817</v>
      </c>
      <c r="E111" s="241">
        <v>225.5</v>
      </c>
      <c r="F111" s="241">
        <v>0</v>
      </c>
      <c r="G111" s="241">
        <v>0</v>
      </c>
      <c r="H111" s="241">
        <v>0</v>
      </c>
      <c r="I111" s="241">
        <v>0</v>
      </c>
      <c r="J111" s="241">
        <v>0</v>
      </c>
      <c r="K111" s="241">
        <v>225.5</v>
      </c>
    </row>
    <row r="112" spans="1:11" x14ac:dyDescent="0.25">
      <c r="A112" s="242" t="s">
        <v>1905</v>
      </c>
      <c r="B112" s="242"/>
      <c r="C112" s="242"/>
      <c r="D112" s="242"/>
      <c r="E112" s="243">
        <f t="shared" ref="E112:K112" si="25">E111</f>
        <v>225.5</v>
      </c>
      <c r="F112" s="243">
        <f t="shared" si="25"/>
        <v>0</v>
      </c>
      <c r="G112" s="243">
        <f t="shared" si="25"/>
        <v>0</v>
      </c>
      <c r="H112" s="243">
        <f t="shared" si="25"/>
        <v>0</v>
      </c>
      <c r="I112" s="243">
        <f t="shared" si="25"/>
        <v>0</v>
      </c>
      <c r="J112" s="243">
        <f t="shared" si="25"/>
        <v>0</v>
      </c>
      <c r="K112" s="243">
        <f t="shared" si="25"/>
        <v>225.5</v>
      </c>
    </row>
    <row r="114" spans="1:11" ht="13" x14ac:dyDescent="0.25">
      <c r="A114" s="249" t="s">
        <v>1906</v>
      </c>
      <c r="B114" s="249"/>
      <c r="C114" s="249"/>
      <c r="D114" s="249"/>
      <c r="E114" s="249"/>
      <c r="F114" s="249"/>
      <c r="G114" s="249"/>
      <c r="H114" s="249"/>
      <c r="I114" s="249"/>
      <c r="J114" s="249"/>
      <c r="K114" s="249"/>
    </row>
    <row r="115" spans="1:11" x14ac:dyDescent="0.25">
      <c r="A115" s="239">
        <v>44682</v>
      </c>
      <c r="B115" s="239">
        <v>44707</v>
      </c>
      <c r="C115" s="240" t="s">
        <v>1907</v>
      </c>
      <c r="D115" s="240" t="s">
        <v>1908</v>
      </c>
      <c r="E115" s="241">
        <v>3118.5</v>
      </c>
      <c r="F115" s="241">
        <v>0</v>
      </c>
      <c r="G115" s="241">
        <v>0</v>
      </c>
      <c r="H115" s="241">
        <v>0</v>
      </c>
      <c r="I115" s="241">
        <v>0</v>
      </c>
      <c r="J115" s="241">
        <v>0</v>
      </c>
      <c r="K115" s="241">
        <v>3118.5</v>
      </c>
    </row>
    <row r="116" spans="1:11" x14ac:dyDescent="0.25">
      <c r="A116" s="242" t="s">
        <v>1909</v>
      </c>
      <c r="B116" s="242"/>
      <c r="C116" s="242"/>
      <c r="D116" s="242"/>
      <c r="E116" s="243">
        <f t="shared" ref="E116:K116" si="26">E115</f>
        <v>3118.5</v>
      </c>
      <c r="F116" s="243">
        <f t="shared" si="26"/>
        <v>0</v>
      </c>
      <c r="G116" s="243">
        <f t="shared" si="26"/>
        <v>0</v>
      </c>
      <c r="H116" s="243">
        <f t="shared" si="26"/>
        <v>0</v>
      </c>
      <c r="I116" s="243">
        <f t="shared" si="26"/>
        <v>0</v>
      </c>
      <c r="J116" s="243">
        <f t="shared" si="26"/>
        <v>0</v>
      </c>
      <c r="K116" s="243">
        <f t="shared" si="26"/>
        <v>3118.5</v>
      </c>
    </row>
    <row r="118" spans="1:11" ht="13" x14ac:dyDescent="0.25">
      <c r="A118" s="249" t="s">
        <v>1910</v>
      </c>
      <c r="B118" s="249"/>
      <c r="C118" s="249"/>
      <c r="D118" s="249"/>
      <c r="E118" s="249"/>
      <c r="F118" s="249"/>
      <c r="G118" s="249"/>
      <c r="H118" s="249"/>
      <c r="I118" s="249"/>
      <c r="J118" s="249"/>
      <c r="K118" s="249"/>
    </row>
    <row r="119" spans="1:11" x14ac:dyDescent="0.25">
      <c r="A119" s="239">
        <v>44682</v>
      </c>
      <c r="B119" s="239">
        <v>44707</v>
      </c>
      <c r="C119" s="240" t="s">
        <v>1911</v>
      </c>
      <c r="D119" s="240" t="s">
        <v>1837</v>
      </c>
      <c r="E119" s="241">
        <v>1039.5</v>
      </c>
      <c r="F119" s="241">
        <v>0</v>
      </c>
      <c r="G119" s="241">
        <v>0</v>
      </c>
      <c r="H119" s="241">
        <v>0</v>
      </c>
      <c r="I119" s="241">
        <v>0</v>
      </c>
      <c r="J119" s="241">
        <v>0</v>
      </c>
      <c r="K119" s="241">
        <v>1039.5</v>
      </c>
    </row>
    <row r="120" spans="1:11" x14ac:dyDescent="0.25">
      <c r="A120" s="242" t="s">
        <v>1912</v>
      </c>
      <c r="B120" s="242"/>
      <c r="C120" s="242"/>
      <c r="D120" s="242"/>
      <c r="E120" s="243">
        <f t="shared" ref="E120:K120" si="27">E119</f>
        <v>1039.5</v>
      </c>
      <c r="F120" s="243">
        <f t="shared" si="27"/>
        <v>0</v>
      </c>
      <c r="G120" s="243">
        <f t="shared" si="27"/>
        <v>0</v>
      </c>
      <c r="H120" s="243">
        <f t="shared" si="27"/>
        <v>0</v>
      </c>
      <c r="I120" s="243">
        <f t="shared" si="27"/>
        <v>0</v>
      </c>
      <c r="J120" s="243">
        <f t="shared" si="27"/>
        <v>0</v>
      </c>
      <c r="K120" s="243">
        <f t="shared" si="27"/>
        <v>1039.5</v>
      </c>
    </row>
    <row r="122" spans="1:11" ht="13" x14ac:dyDescent="0.25">
      <c r="A122" s="249" t="s">
        <v>1913</v>
      </c>
      <c r="B122" s="249"/>
      <c r="C122" s="249"/>
      <c r="D122" s="249"/>
      <c r="E122" s="249"/>
      <c r="F122" s="249"/>
      <c r="G122" s="249"/>
      <c r="H122" s="249"/>
      <c r="I122" s="249"/>
      <c r="J122" s="249"/>
      <c r="K122" s="249"/>
    </row>
    <row r="123" spans="1:11" x14ac:dyDescent="0.25">
      <c r="A123" s="239">
        <v>44682</v>
      </c>
      <c r="B123" s="239">
        <v>44707</v>
      </c>
      <c r="C123" s="240" t="s">
        <v>1914</v>
      </c>
      <c r="D123" s="240" t="s">
        <v>1915</v>
      </c>
      <c r="E123" s="241">
        <v>1056</v>
      </c>
      <c r="F123" s="241">
        <v>0</v>
      </c>
      <c r="G123" s="241">
        <v>0</v>
      </c>
      <c r="H123" s="241">
        <v>0</v>
      </c>
      <c r="I123" s="241">
        <v>0</v>
      </c>
      <c r="J123" s="241">
        <v>0</v>
      </c>
      <c r="K123" s="241">
        <v>1056</v>
      </c>
    </row>
    <row r="124" spans="1:11" x14ac:dyDescent="0.25">
      <c r="A124" s="242" t="s">
        <v>1916</v>
      </c>
      <c r="B124" s="242"/>
      <c r="C124" s="242"/>
      <c r="D124" s="242"/>
      <c r="E124" s="243">
        <f t="shared" ref="E124:K124" si="28">E123</f>
        <v>1056</v>
      </c>
      <c r="F124" s="243">
        <f t="shared" si="28"/>
        <v>0</v>
      </c>
      <c r="G124" s="243">
        <f t="shared" si="28"/>
        <v>0</v>
      </c>
      <c r="H124" s="243">
        <f t="shared" si="28"/>
        <v>0</v>
      </c>
      <c r="I124" s="243">
        <f t="shared" si="28"/>
        <v>0</v>
      </c>
      <c r="J124" s="243">
        <f t="shared" si="28"/>
        <v>0</v>
      </c>
      <c r="K124" s="243">
        <f t="shared" si="28"/>
        <v>1056</v>
      </c>
    </row>
    <row r="126" spans="1:11" ht="13" x14ac:dyDescent="0.25">
      <c r="A126" s="249" t="s">
        <v>1917</v>
      </c>
      <c r="B126" s="249"/>
      <c r="C126" s="249"/>
      <c r="D126" s="249"/>
      <c r="E126" s="249"/>
      <c r="F126" s="249"/>
      <c r="G126" s="249"/>
      <c r="H126" s="249"/>
      <c r="I126" s="249"/>
      <c r="J126" s="249"/>
      <c r="K126" s="249"/>
    </row>
    <row r="127" spans="1:11" x14ac:dyDescent="0.25">
      <c r="A127" s="239">
        <v>44682</v>
      </c>
      <c r="B127" s="239">
        <v>44707</v>
      </c>
      <c r="C127" s="240" t="s">
        <v>1918</v>
      </c>
      <c r="D127" s="240" t="s">
        <v>1817</v>
      </c>
      <c r="E127" s="241">
        <v>273.89999999999998</v>
      </c>
      <c r="F127" s="241">
        <v>0</v>
      </c>
      <c r="G127" s="241">
        <v>0</v>
      </c>
      <c r="H127" s="241">
        <v>0</v>
      </c>
      <c r="I127" s="241">
        <v>0</v>
      </c>
      <c r="J127" s="241">
        <v>0</v>
      </c>
      <c r="K127" s="241">
        <v>273.89999999999998</v>
      </c>
    </row>
    <row r="128" spans="1:11" x14ac:dyDescent="0.25">
      <c r="A128" s="242" t="s">
        <v>1919</v>
      </c>
      <c r="B128" s="242"/>
      <c r="C128" s="242"/>
      <c r="D128" s="242"/>
      <c r="E128" s="243">
        <f t="shared" ref="E128:K128" si="29">E127</f>
        <v>273.89999999999998</v>
      </c>
      <c r="F128" s="243">
        <f t="shared" si="29"/>
        <v>0</v>
      </c>
      <c r="G128" s="243">
        <f t="shared" si="29"/>
        <v>0</v>
      </c>
      <c r="H128" s="243">
        <f t="shared" si="29"/>
        <v>0</v>
      </c>
      <c r="I128" s="243">
        <f t="shared" si="29"/>
        <v>0</v>
      </c>
      <c r="J128" s="243">
        <f t="shared" si="29"/>
        <v>0</v>
      </c>
      <c r="K128" s="243">
        <f t="shared" si="29"/>
        <v>273.89999999999998</v>
      </c>
    </row>
    <row r="130" spans="1:11" ht="13" x14ac:dyDescent="0.25">
      <c r="A130" s="249" t="s">
        <v>1920</v>
      </c>
      <c r="B130" s="249"/>
      <c r="C130" s="249"/>
      <c r="D130" s="249"/>
      <c r="E130" s="249"/>
      <c r="F130" s="249"/>
      <c r="G130" s="249"/>
      <c r="H130" s="249"/>
      <c r="I130" s="249"/>
      <c r="J130" s="249"/>
      <c r="K130" s="249"/>
    </row>
    <row r="131" spans="1:11" x14ac:dyDescent="0.25">
      <c r="A131" s="239">
        <v>44682</v>
      </c>
      <c r="B131" s="239">
        <v>44696</v>
      </c>
      <c r="C131" s="240" t="s">
        <v>1921</v>
      </c>
      <c r="D131" s="240" t="s">
        <v>1922</v>
      </c>
      <c r="E131" s="241">
        <v>220</v>
      </c>
      <c r="F131" s="241">
        <v>0</v>
      </c>
      <c r="G131" s="241">
        <v>0</v>
      </c>
      <c r="H131" s="241">
        <v>0</v>
      </c>
      <c r="I131" s="241">
        <v>0</v>
      </c>
      <c r="J131" s="241">
        <v>0</v>
      </c>
      <c r="K131" s="241">
        <v>220</v>
      </c>
    </row>
    <row r="132" spans="1:11" x14ac:dyDescent="0.25">
      <c r="A132" s="242" t="s">
        <v>1923</v>
      </c>
      <c r="B132" s="242"/>
      <c r="C132" s="242"/>
      <c r="D132" s="242"/>
      <c r="E132" s="243">
        <f t="shared" ref="E132:K132" si="30">E131</f>
        <v>220</v>
      </c>
      <c r="F132" s="243">
        <f t="shared" si="30"/>
        <v>0</v>
      </c>
      <c r="G132" s="243">
        <f t="shared" si="30"/>
        <v>0</v>
      </c>
      <c r="H132" s="243">
        <f t="shared" si="30"/>
        <v>0</v>
      </c>
      <c r="I132" s="243">
        <f t="shared" si="30"/>
        <v>0</v>
      </c>
      <c r="J132" s="243">
        <f t="shared" si="30"/>
        <v>0</v>
      </c>
      <c r="K132" s="243">
        <f t="shared" si="30"/>
        <v>220</v>
      </c>
    </row>
    <row r="134" spans="1:11" ht="13" x14ac:dyDescent="0.25">
      <c r="A134" s="249" t="s">
        <v>1924</v>
      </c>
      <c r="B134" s="249"/>
      <c r="C134" s="249"/>
      <c r="D134" s="249"/>
      <c r="E134" s="249"/>
      <c r="F134" s="249"/>
      <c r="G134" s="249"/>
      <c r="H134" s="249"/>
      <c r="I134" s="249"/>
      <c r="J134" s="249"/>
      <c r="K134" s="249"/>
    </row>
    <row r="135" spans="1:11" x14ac:dyDescent="0.25">
      <c r="A135" s="239">
        <v>44682</v>
      </c>
      <c r="B135" s="239">
        <v>44707</v>
      </c>
      <c r="C135" s="240" t="s">
        <v>1925</v>
      </c>
      <c r="D135" s="240" t="s">
        <v>1926</v>
      </c>
      <c r="E135" s="241">
        <v>4527.6000000000004</v>
      </c>
      <c r="F135" s="241">
        <v>0</v>
      </c>
      <c r="G135" s="241">
        <v>0</v>
      </c>
      <c r="H135" s="241">
        <v>0</v>
      </c>
      <c r="I135" s="241">
        <v>0</v>
      </c>
      <c r="J135" s="241">
        <v>0</v>
      </c>
      <c r="K135" s="241">
        <v>4527.6000000000004</v>
      </c>
    </row>
    <row r="136" spans="1:11" x14ac:dyDescent="0.25">
      <c r="A136" s="242" t="s">
        <v>1927</v>
      </c>
      <c r="B136" s="242"/>
      <c r="C136" s="242"/>
      <c r="D136" s="242"/>
      <c r="E136" s="243">
        <f t="shared" ref="E136:K136" si="31">E135</f>
        <v>4527.6000000000004</v>
      </c>
      <c r="F136" s="243">
        <f t="shared" si="31"/>
        <v>0</v>
      </c>
      <c r="G136" s="243">
        <f t="shared" si="31"/>
        <v>0</v>
      </c>
      <c r="H136" s="243">
        <f t="shared" si="31"/>
        <v>0</v>
      </c>
      <c r="I136" s="243">
        <f t="shared" si="31"/>
        <v>0</v>
      </c>
      <c r="J136" s="243">
        <f t="shared" si="31"/>
        <v>0</v>
      </c>
      <c r="K136" s="243">
        <f t="shared" si="31"/>
        <v>4527.6000000000004</v>
      </c>
    </row>
    <row r="138" spans="1:11" ht="13" x14ac:dyDescent="0.25">
      <c r="A138" s="249" t="s">
        <v>1928</v>
      </c>
      <c r="B138" s="249"/>
      <c r="C138" s="249"/>
      <c r="D138" s="249"/>
      <c r="E138" s="249"/>
      <c r="F138" s="249"/>
      <c r="G138" s="249"/>
      <c r="H138" s="249"/>
      <c r="I138" s="249"/>
      <c r="J138" s="249"/>
      <c r="K138" s="249"/>
    </row>
    <row r="139" spans="1:11" x14ac:dyDescent="0.25">
      <c r="A139" s="239">
        <v>44682</v>
      </c>
      <c r="B139" s="239">
        <v>44697</v>
      </c>
      <c r="C139" s="240" t="s">
        <v>1929</v>
      </c>
      <c r="D139" s="240" t="s">
        <v>1930</v>
      </c>
      <c r="E139" s="241">
        <v>676.5</v>
      </c>
      <c r="F139" s="241">
        <v>0</v>
      </c>
      <c r="G139" s="241">
        <v>0</v>
      </c>
      <c r="H139" s="241">
        <v>0</v>
      </c>
      <c r="I139" s="241">
        <v>0</v>
      </c>
      <c r="J139" s="241">
        <v>0</v>
      </c>
      <c r="K139" s="241">
        <v>676.5</v>
      </c>
    </row>
    <row r="140" spans="1:11" x14ac:dyDescent="0.25">
      <c r="A140" s="242" t="s">
        <v>1931</v>
      </c>
      <c r="B140" s="242"/>
      <c r="C140" s="242"/>
      <c r="D140" s="242"/>
      <c r="E140" s="243">
        <f t="shared" ref="E140:K140" si="32">E139</f>
        <v>676.5</v>
      </c>
      <c r="F140" s="243">
        <f t="shared" si="32"/>
        <v>0</v>
      </c>
      <c r="G140" s="243">
        <f t="shared" si="32"/>
        <v>0</v>
      </c>
      <c r="H140" s="243">
        <f t="shared" si="32"/>
        <v>0</v>
      </c>
      <c r="I140" s="243">
        <f t="shared" si="32"/>
        <v>0</v>
      </c>
      <c r="J140" s="243">
        <f t="shared" si="32"/>
        <v>0</v>
      </c>
      <c r="K140" s="243">
        <f t="shared" si="32"/>
        <v>676.5</v>
      </c>
    </row>
    <row r="142" spans="1:11" ht="13" x14ac:dyDescent="0.25">
      <c r="A142" s="249" t="s">
        <v>1932</v>
      </c>
      <c r="B142" s="249"/>
      <c r="C142" s="249"/>
      <c r="D142" s="249"/>
      <c r="E142" s="249"/>
      <c r="F142" s="249"/>
      <c r="G142" s="249"/>
      <c r="H142" s="249"/>
      <c r="I142" s="249"/>
      <c r="J142" s="249"/>
      <c r="K142" s="249"/>
    </row>
    <row r="143" spans="1:11" x14ac:dyDescent="0.25">
      <c r="A143" s="239">
        <v>44682</v>
      </c>
      <c r="B143" s="239">
        <v>44697</v>
      </c>
      <c r="C143" s="240" t="s">
        <v>1933</v>
      </c>
      <c r="D143" s="240" t="s">
        <v>1934</v>
      </c>
      <c r="E143" s="241">
        <v>610.5</v>
      </c>
      <c r="F143" s="241">
        <v>0</v>
      </c>
      <c r="G143" s="241">
        <v>0</v>
      </c>
      <c r="H143" s="241">
        <v>0</v>
      </c>
      <c r="I143" s="241">
        <v>0</v>
      </c>
      <c r="J143" s="241">
        <v>0</v>
      </c>
      <c r="K143" s="241">
        <v>610.5</v>
      </c>
    </row>
    <row r="144" spans="1:11" x14ac:dyDescent="0.25">
      <c r="A144" s="242" t="s">
        <v>1935</v>
      </c>
      <c r="B144" s="242"/>
      <c r="C144" s="242"/>
      <c r="D144" s="242"/>
      <c r="E144" s="243">
        <f t="shared" ref="E144:K144" si="33">E143</f>
        <v>610.5</v>
      </c>
      <c r="F144" s="243">
        <f t="shared" si="33"/>
        <v>0</v>
      </c>
      <c r="G144" s="243">
        <f t="shared" si="33"/>
        <v>0</v>
      </c>
      <c r="H144" s="243">
        <f t="shared" si="33"/>
        <v>0</v>
      </c>
      <c r="I144" s="243">
        <f t="shared" si="33"/>
        <v>0</v>
      </c>
      <c r="J144" s="243">
        <f t="shared" si="33"/>
        <v>0</v>
      </c>
      <c r="K144" s="243">
        <f t="shared" si="33"/>
        <v>610.5</v>
      </c>
    </row>
    <row r="146" spans="1:11" ht="13" x14ac:dyDescent="0.25">
      <c r="A146" s="249" t="s">
        <v>1936</v>
      </c>
      <c r="B146" s="249"/>
      <c r="C146" s="249"/>
      <c r="D146" s="249"/>
      <c r="E146" s="249"/>
      <c r="F146" s="249"/>
      <c r="G146" s="249"/>
      <c r="H146" s="249"/>
      <c r="I146" s="249"/>
      <c r="J146" s="249"/>
      <c r="K146" s="249"/>
    </row>
    <row r="147" spans="1:11" x14ac:dyDescent="0.25">
      <c r="A147" s="239">
        <v>44655</v>
      </c>
      <c r="B147" s="239">
        <v>44692</v>
      </c>
      <c r="C147" s="240" t="s">
        <v>1937</v>
      </c>
      <c r="D147" s="240" t="s">
        <v>888</v>
      </c>
      <c r="E147" s="241">
        <v>179.29</v>
      </c>
      <c r="F147" s="241">
        <v>0</v>
      </c>
      <c r="G147" s="241">
        <v>0</v>
      </c>
      <c r="H147" s="241">
        <v>0</v>
      </c>
      <c r="I147" s="241">
        <v>0</v>
      </c>
      <c r="J147" s="241">
        <v>0</v>
      </c>
      <c r="K147" s="241">
        <v>179.29</v>
      </c>
    </row>
    <row r="148" spans="1:11" x14ac:dyDescent="0.25">
      <c r="A148" s="242" t="s">
        <v>1938</v>
      </c>
      <c r="B148" s="242"/>
      <c r="C148" s="242"/>
      <c r="D148" s="242"/>
      <c r="E148" s="243">
        <f t="shared" ref="E148:K148" si="34">E147</f>
        <v>179.29</v>
      </c>
      <c r="F148" s="243">
        <f t="shared" si="34"/>
        <v>0</v>
      </c>
      <c r="G148" s="243">
        <f t="shared" si="34"/>
        <v>0</v>
      </c>
      <c r="H148" s="243">
        <f t="shared" si="34"/>
        <v>0</v>
      </c>
      <c r="I148" s="243">
        <f t="shared" si="34"/>
        <v>0</v>
      </c>
      <c r="J148" s="243">
        <f t="shared" si="34"/>
        <v>0</v>
      </c>
      <c r="K148" s="243">
        <f t="shared" si="34"/>
        <v>179.29</v>
      </c>
    </row>
    <row r="150" spans="1:11" ht="13" x14ac:dyDescent="0.25">
      <c r="A150" s="249" t="s">
        <v>1939</v>
      </c>
      <c r="B150" s="249"/>
      <c r="C150" s="249"/>
      <c r="D150" s="249"/>
      <c r="E150" s="249"/>
      <c r="F150" s="249"/>
      <c r="G150" s="249"/>
      <c r="H150" s="249"/>
      <c r="I150" s="249"/>
      <c r="J150" s="249"/>
      <c r="K150" s="249"/>
    </row>
    <row r="151" spans="1:11" x14ac:dyDescent="0.25">
      <c r="A151" s="239">
        <v>44682</v>
      </c>
      <c r="B151" s="239">
        <v>44707</v>
      </c>
      <c r="C151" s="240" t="s">
        <v>1940</v>
      </c>
      <c r="D151" s="240" t="s">
        <v>1941</v>
      </c>
      <c r="E151" s="241">
        <v>2607</v>
      </c>
      <c r="F151" s="241">
        <v>0</v>
      </c>
      <c r="G151" s="241">
        <v>0</v>
      </c>
      <c r="H151" s="241">
        <v>0</v>
      </c>
      <c r="I151" s="241">
        <v>0</v>
      </c>
      <c r="J151" s="241">
        <v>0</v>
      </c>
      <c r="K151" s="241">
        <v>2607</v>
      </c>
    </row>
    <row r="152" spans="1:11" x14ac:dyDescent="0.25">
      <c r="A152" s="242" t="s">
        <v>1942</v>
      </c>
      <c r="B152" s="242"/>
      <c r="C152" s="242"/>
      <c r="D152" s="242"/>
      <c r="E152" s="243">
        <f t="shared" ref="E152:K152" si="35">E151</f>
        <v>2607</v>
      </c>
      <c r="F152" s="243">
        <f t="shared" si="35"/>
        <v>0</v>
      </c>
      <c r="G152" s="243">
        <f t="shared" si="35"/>
        <v>0</v>
      </c>
      <c r="H152" s="243">
        <f t="shared" si="35"/>
        <v>0</v>
      </c>
      <c r="I152" s="243">
        <f t="shared" si="35"/>
        <v>0</v>
      </c>
      <c r="J152" s="243">
        <f t="shared" si="35"/>
        <v>0</v>
      </c>
      <c r="K152" s="243">
        <f t="shared" si="35"/>
        <v>2607</v>
      </c>
    </row>
    <row r="154" spans="1:11" ht="13" x14ac:dyDescent="0.25">
      <c r="A154" s="249" t="s">
        <v>1943</v>
      </c>
      <c r="B154" s="249"/>
      <c r="C154" s="249"/>
      <c r="D154" s="249"/>
      <c r="E154" s="249"/>
      <c r="F154" s="249"/>
      <c r="G154" s="249"/>
      <c r="H154" s="249"/>
      <c r="I154" s="249"/>
      <c r="J154" s="249"/>
      <c r="K154" s="249"/>
    </row>
    <row r="155" spans="1:11" x14ac:dyDescent="0.25">
      <c r="A155" s="239">
        <v>44682</v>
      </c>
      <c r="B155" s="239">
        <v>44707</v>
      </c>
      <c r="C155" s="240" t="s">
        <v>1944</v>
      </c>
      <c r="D155" s="240" t="s">
        <v>1945</v>
      </c>
      <c r="E155" s="241">
        <v>247.5</v>
      </c>
      <c r="F155" s="241">
        <v>0</v>
      </c>
      <c r="G155" s="241">
        <v>0</v>
      </c>
      <c r="H155" s="241">
        <v>0</v>
      </c>
      <c r="I155" s="241">
        <v>0</v>
      </c>
      <c r="J155" s="241">
        <v>0</v>
      </c>
      <c r="K155" s="241">
        <v>247.5</v>
      </c>
    </row>
    <row r="156" spans="1:11" x14ac:dyDescent="0.25">
      <c r="A156" s="242" t="s">
        <v>1946</v>
      </c>
      <c r="B156" s="242"/>
      <c r="C156" s="242"/>
      <c r="D156" s="242"/>
      <c r="E156" s="243">
        <f t="shared" ref="E156:K156" si="36">E155</f>
        <v>247.5</v>
      </c>
      <c r="F156" s="243">
        <f t="shared" si="36"/>
        <v>0</v>
      </c>
      <c r="G156" s="243">
        <f t="shared" si="36"/>
        <v>0</v>
      </c>
      <c r="H156" s="243">
        <f t="shared" si="36"/>
        <v>0</v>
      </c>
      <c r="I156" s="243">
        <f t="shared" si="36"/>
        <v>0</v>
      </c>
      <c r="J156" s="243">
        <f t="shared" si="36"/>
        <v>0</v>
      </c>
      <c r="K156" s="243">
        <f t="shared" si="36"/>
        <v>247.5</v>
      </c>
    </row>
    <row r="158" spans="1:11" ht="13" x14ac:dyDescent="0.25">
      <c r="A158" s="249" t="s">
        <v>1947</v>
      </c>
      <c r="B158" s="249"/>
      <c r="C158" s="249"/>
      <c r="D158" s="249"/>
      <c r="E158" s="249"/>
      <c r="F158" s="249"/>
      <c r="G158" s="249"/>
      <c r="H158" s="249"/>
      <c r="I158" s="249"/>
      <c r="J158" s="249"/>
      <c r="K158" s="249"/>
    </row>
    <row r="159" spans="1:11" x14ac:dyDescent="0.25">
      <c r="A159" s="239">
        <v>44682</v>
      </c>
      <c r="B159" s="239">
        <v>44707</v>
      </c>
      <c r="C159" s="240" t="s">
        <v>1948</v>
      </c>
      <c r="D159" s="240" t="s">
        <v>1949</v>
      </c>
      <c r="E159" s="241">
        <v>8976</v>
      </c>
      <c r="F159" s="241">
        <v>0</v>
      </c>
      <c r="G159" s="241">
        <v>0</v>
      </c>
      <c r="H159" s="241">
        <v>0</v>
      </c>
      <c r="I159" s="241">
        <v>0</v>
      </c>
      <c r="J159" s="241">
        <v>0</v>
      </c>
      <c r="K159" s="241">
        <v>8976</v>
      </c>
    </row>
    <row r="160" spans="1:11" x14ac:dyDescent="0.25">
      <c r="A160" s="242" t="s">
        <v>1950</v>
      </c>
      <c r="B160" s="242"/>
      <c r="C160" s="242"/>
      <c r="D160" s="242"/>
      <c r="E160" s="243">
        <f t="shared" ref="E160:K160" si="37">E159</f>
        <v>8976</v>
      </c>
      <c r="F160" s="243">
        <f t="shared" si="37"/>
        <v>0</v>
      </c>
      <c r="G160" s="243">
        <f t="shared" si="37"/>
        <v>0</v>
      </c>
      <c r="H160" s="243">
        <f t="shared" si="37"/>
        <v>0</v>
      </c>
      <c r="I160" s="243">
        <f t="shared" si="37"/>
        <v>0</v>
      </c>
      <c r="J160" s="243">
        <f t="shared" si="37"/>
        <v>0</v>
      </c>
      <c r="K160" s="243">
        <f t="shared" si="37"/>
        <v>8976</v>
      </c>
    </row>
    <row r="162" spans="1:11" ht="13" x14ac:dyDescent="0.25">
      <c r="A162" s="249" t="s">
        <v>1951</v>
      </c>
      <c r="B162" s="249"/>
      <c r="C162" s="249"/>
      <c r="D162" s="249"/>
      <c r="E162" s="249"/>
      <c r="F162" s="249"/>
      <c r="G162" s="249"/>
      <c r="H162" s="249"/>
      <c r="I162" s="249"/>
      <c r="J162" s="249"/>
      <c r="K162" s="249"/>
    </row>
    <row r="163" spans="1:11" x14ac:dyDescent="0.25">
      <c r="A163" s="239">
        <v>44657</v>
      </c>
      <c r="B163" s="239">
        <v>44696</v>
      </c>
      <c r="C163" s="240" t="s">
        <v>1952</v>
      </c>
      <c r="D163" s="240" t="s">
        <v>1953</v>
      </c>
      <c r="E163" s="241">
        <v>97935.75</v>
      </c>
      <c r="F163" s="241">
        <v>0</v>
      </c>
      <c r="G163" s="241">
        <v>0</v>
      </c>
      <c r="H163" s="241">
        <v>0</v>
      </c>
      <c r="I163" s="241">
        <v>0</v>
      </c>
      <c r="J163" s="241">
        <v>0</v>
      </c>
      <c r="K163" s="241">
        <v>97935.75</v>
      </c>
    </row>
    <row r="164" spans="1:11" x14ac:dyDescent="0.25">
      <c r="A164" s="242" t="s">
        <v>1954</v>
      </c>
      <c r="B164" s="242"/>
      <c r="C164" s="242"/>
      <c r="D164" s="242"/>
      <c r="E164" s="243">
        <f t="shared" ref="E164:K164" si="38">E163</f>
        <v>97935.75</v>
      </c>
      <c r="F164" s="243">
        <f t="shared" si="38"/>
        <v>0</v>
      </c>
      <c r="G164" s="243">
        <f t="shared" si="38"/>
        <v>0</v>
      </c>
      <c r="H164" s="243">
        <f t="shared" si="38"/>
        <v>0</v>
      </c>
      <c r="I164" s="243">
        <f t="shared" si="38"/>
        <v>0</v>
      </c>
      <c r="J164" s="243">
        <f t="shared" si="38"/>
        <v>0</v>
      </c>
      <c r="K164" s="243">
        <f t="shared" si="38"/>
        <v>97935.75</v>
      </c>
    </row>
    <row r="166" spans="1:11" ht="13" x14ac:dyDescent="0.25">
      <c r="A166" s="249" t="s">
        <v>1955</v>
      </c>
      <c r="B166" s="249"/>
      <c r="C166" s="249"/>
      <c r="D166" s="249"/>
      <c r="E166" s="249"/>
      <c r="F166" s="249"/>
      <c r="G166" s="249"/>
      <c r="H166" s="249"/>
      <c r="I166" s="249"/>
      <c r="J166" s="249"/>
      <c r="K166" s="249"/>
    </row>
    <row r="167" spans="1:11" x14ac:dyDescent="0.25">
      <c r="A167" s="239">
        <v>44673</v>
      </c>
      <c r="B167" s="239">
        <v>44698</v>
      </c>
      <c r="C167" s="240" t="s">
        <v>1956</v>
      </c>
      <c r="D167" s="240" t="s">
        <v>1957</v>
      </c>
      <c r="E167" s="241">
        <v>814</v>
      </c>
      <c r="F167" s="241">
        <v>0</v>
      </c>
      <c r="G167" s="241">
        <v>0</v>
      </c>
      <c r="H167" s="241">
        <v>0</v>
      </c>
      <c r="I167" s="241">
        <v>0</v>
      </c>
      <c r="J167" s="241">
        <v>0</v>
      </c>
      <c r="K167" s="241">
        <v>814</v>
      </c>
    </row>
    <row r="168" spans="1:11" x14ac:dyDescent="0.25">
      <c r="A168" s="239">
        <v>44673</v>
      </c>
      <c r="B168" s="239">
        <v>44698</v>
      </c>
      <c r="C168" s="240" t="s">
        <v>1958</v>
      </c>
      <c r="D168" s="240" t="s">
        <v>1959</v>
      </c>
      <c r="E168" s="241">
        <v>1628</v>
      </c>
      <c r="F168" s="241">
        <v>0</v>
      </c>
      <c r="G168" s="241">
        <v>0</v>
      </c>
      <c r="H168" s="241">
        <v>0</v>
      </c>
      <c r="I168" s="241">
        <v>0</v>
      </c>
      <c r="J168" s="241">
        <v>0</v>
      </c>
      <c r="K168" s="241">
        <v>1628</v>
      </c>
    </row>
    <row r="169" spans="1:11" x14ac:dyDescent="0.25">
      <c r="A169" s="239">
        <v>44678</v>
      </c>
      <c r="B169" s="239">
        <v>44704</v>
      </c>
      <c r="C169" s="240" t="s">
        <v>1960</v>
      </c>
      <c r="D169" s="240" t="s">
        <v>1961</v>
      </c>
      <c r="E169" s="241">
        <v>2442</v>
      </c>
      <c r="F169" s="241">
        <v>0</v>
      </c>
      <c r="G169" s="241">
        <v>0</v>
      </c>
      <c r="H169" s="241">
        <v>0</v>
      </c>
      <c r="I169" s="241">
        <v>0</v>
      </c>
      <c r="J169" s="241">
        <v>0</v>
      </c>
      <c r="K169" s="241">
        <v>2442</v>
      </c>
    </row>
    <row r="170" spans="1:11" x14ac:dyDescent="0.25">
      <c r="A170" s="239">
        <v>44682</v>
      </c>
      <c r="B170" s="239">
        <v>44707</v>
      </c>
      <c r="C170" s="240" t="s">
        <v>1962</v>
      </c>
      <c r="D170" s="240" t="s">
        <v>1813</v>
      </c>
      <c r="E170" s="241">
        <v>4163.5</v>
      </c>
      <c r="F170" s="241">
        <v>0</v>
      </c>
      <c r="G170" s="241">
        <v>0</v>
      </c>
      <c r="H170" s="241">
        <v>0</v>
      </c>
      <c r="I170" s="241">
        <v>0</v>
      </c>
      <c r="J170" s="241">
        <v>0</v>
      </c>
      <c r="K170" s="241">
        <v>4163.5</v>
      </c>
    </row>
    <row r="171" spans="1:11" x14ac:dyDescent="0.25">
      <c r="A171" s="242" t="s">
        <v>1963</v>
      </c>
      <c r="B171" s="242"/>
      <c r="C171" s="242"/>
      <c r="D171" s="242"/>
      <c r="E171" s="243">
        <f t="shared" ref="E171:K171" si="39">SUM(E167:E170)</f>
        <v>9047.5</v>
      </c>
      <c r="F171" s="243">
        <f t="shared" si="39"/>
        <v>0</v>
      </c>
      <c r="G171" s="243">
        <f t="shared" si="39"/>
        <v>0</v>
      </c>
      <c r="H171" s="243">
        <f t="shared" si="39"/>
        <v>0</v>
      </c>
      <c r="I171" s="243">
        <f t="shared" si="39"/>
        <v>0</v>
      </c>
      <c r="J171" s="243">
        <f t="shared" si="39"/>
        <v>0</v>
      </c>
      <c r="K171" s="243">
        <f t="shared" si="39"/>
        <v>9047.5</v>
      </c>
    </row>
    <row r="173" spans="1:11" ht="13" x14ac:dyDescent="0.25">
      <c r="A173" s="249" t="s">
        <v>1964</v>
      </c>
      <c r="B173" s="249"/>
      <c r="C173" s="249"/>
      <c r="D173" s="249"/>
      <c r="E173" s="249"/>
      <c r="F173" s="249"/>
      <c r="G173" s="249"/>
      <c r="H173" s="249"/>
      <c r="I173" s="249"/>
      <c r="J173" s="249"/>
      <c r="K173" s="249"/>
    </row>
    <row r="174" spans="1:11" x14ac:dyDescent="0.25">
      <c r="A174" s="239">
        <v>44652</v>
      </c>
      <c r="B174" s="239">
        <v>44677</v>
      </c>
      <c r="C174" s="240" t="s">
        <v>1965</v>
      </c>
      <c r="D174" s="240" t="s">
        <v>1966</v>
      </c>
      <c r="E174" s="241">
        <v>0</v>
      </c>
      <c r="F174" s="241">
        <v>495</v>
      </c>
      <c r="G174" s="241">
        <v>0</v>
      </c>
      <c r="H174" s="241">
        <v>0</v>
      </c>
      <c r="I174" s="241">
        <v>0</v>
      </c>
      <c r="J174" s="241">
        <v>0</v>
      </c>
      <c r="K174" s="241">
        <v>495</v>
      </c>
    </row>
    <row r="175" spans="1:11" x14ac:dyDescent="0.25">
      <c r="A175" s="242" t="s">
        <v>1967</v>
      </c>
      <c r="B175" s="242"/>
      <c r="C175" s="242"/>
      <c r="D175" s="242"/>
      <c r="E175" s="243">
        <f t="shared" ref="E175:K175" si="40">E174</f>
        <v>0</v>
      </c>
      <c r="F175" s="243">
        <f t="shared" si="40"/>
        <v>495</v>
      </c>
      <c r="G175" s="243">
        <f t="shared" si="40"/>
        <v>0</v>
      </c>
      <c r="H175" s="243">
        <f t="shared" si="40"/>
        <v>0</v>
      </c>
      <c r="I175" s="243">
        <f t="shared" si="40"/>
        <v>0</v>
      </c>
      <c r="J175" s="243">
        <f t="shared" si="40"/>
        <v>0</v>
      </c>
      <c r="K175" s="243">
        <f t="shared" si="40"/>
        <v>495</v>
      </c>
    </row>
    <row r="177" spans="1:11" ht="13" x14ac:dyDescent="0.25">
      <c r="A177" s="249" t="s">
        <v>1968</v>
      </c>
      <c r="B177" s="249"/>
      <c r="C177" s="249"/>
      <c r="D177" s="249"/>
      <c r="E177" s="249"/>
      <c r="F177" s="249"/>
      <c r="G177" s="249"/>
      <c r="H177" s="249"/>
      <c r="I177" s="249"/>
      <c r="J177" s="249"/>
      <c r="K177" s="249"/>
    </row>
    <row r="178" spans="1:11" x14ac:dyDescent="0.25">
      <c r="A178" s="239">
        <v>44651</v>
      </c>
      <c r="B178" s="239">
        <v>44665</v>
      </c>
      <c r="C178" s="240" t="s">
        <v>1969</v>
      </c>
      <c r="D178" s="240" t="s">
        <v>899</v>
      </c>
      <c r="E178" s="241">
        <v>0</v>
      </c>
      <c r="F178" s="241">
        <v>2626.8</v>
      </c>
      <c r="G178" s="241">
        <v>0</v>
      </c>
      <c r="H178" s="241">
        <v>0</v>
      </c>
      <c r="I178" s="241">
        <v>0</v>
      </c>
      <c r="J178" s="241">
        <v>0</v>
      </c>
      <c r="K178" s="241">
        <v>2626.8</v>
      </c>
    </row>
    <row r="179" spans="1:11" x14ac:dyDescent="0.25">
      <c r="A179" s="242" t="s">
        <v>1970</v>
      </c>
      <c r="B179" s="242"/>
      <c r="C179" s="242"/>
      <c r="D179" s="242"/>
      <c r="E179" s="243">
        <f t="shared" ref="E179:K179" si="41">E178</f>
        <v>0</v>
      </c>
      <c r="F179" s="243">
        <f t="shared" si="41"/>
        <v>2626.8</v>
      </c>
      <c r="G179" s="243">
        <f t="shared" si="41"/>
        <v>0</v>
      </c>
      <c r="H179" s="243">
        <f t="shared" si="41"/>
        <v>0</v>
      </c>
      <c r="I179" s="243">
        <f t="shared" si="41"/>
        <v>0</v>
      </c>
      <c r="J179" s="243">
        <f t="shared" si="41"/>
        <v>0</v>
      </c>
      <c r="K179" s="243">
        <f t="shared" si="41"/>
        <v>2626.8</v>
      </c>
    </row>
    <row r="181" spans="1:11" ht="13" x14ac:dyDescent="0.25">
      <c r="A181" s="249" t="s">
        <v>1971</v>
      </c>
      <c r="B181" s="249"/>
      <c r="C181" s="249"/>
      <c r="D181" s="249"/>
      <c r="E181" s="249"/>
      <c r="F181" s="249"/>
      <c r="G181" s="249"/>
      <c r="H181" s="249"/>
      <c r="I181" s="249"/>
      <c r="J181" s="249"/>
      <c r="K181" s="249"/>
    </row>
    <row r="182" spans="1:11" x14ac:dyDescent="0.25">
      <c r="A182" s="239">
        <v>44682</v>
      </c>
      <c r="B182" s="239">
        <v>44707</v>
      </c>
      <c r="C182" s="240" t="s">
        <v>1972</v>
      </c>
      <c r="D182" s="240" t="s">
        <v>1973</v>
      </c>
      <c r="E182" s="241">
        <v>280.5</v>
      </c>
      <c r="F182" s="241">
        <v>0</v>
      </c>
      <c r="G182" s="241">
        <v>0</v>
      </c>
      <c r="H182" s="241">
        <v>0</v>
      </c>
      <c r="I182" s="241">
        <v>0</v>
      </c>
      <c r="J182" s="241">
        <v>0</v>
      </c>
      <c r="K182" s="241">
        <v>280.5</v>
      </c>
    </row>
    <row r="183" spans="1:11" x14ac:dyDescent="0.25">
      <c r="A183" s="242" t="s">
        <v>1974</v>
      </c>
      <c r="B183" s="242"/>
      <c r="C183" s="242"/>
      <c r="D183" s="242"/>
      <c r="E183" s="243">
        <f t="shared" ref="E183:K183" si="42">E182</f>
        <v>280.5</v>
      </c>
      <c r="F183" s="243">
        <f t="shared" si="42"/>
        <v>0</v>
      </c>
      <c r="G183" s="243">
        <f t="shared" si="42"/>
        <v>0</v>
      </c>
      <c r="H183" s="243">
        <f t="shared" si="42"/>
        <v>0</v>
      </c>
      <c r="I183" s="243">
        <f t="shared" si="42"/>
        <v>0</v>
      </c>
      <c r="J183" s="243">
        <f t="shared" si="42"/>
        <v>0</v>
      </c>
      <c r="K183" s="243">
        <f t="shared" si="42"/>
        <v>280.5</v>
      </c>
    </row>
    <row r="185" spans="1:11" ht="13" x14ac:dyDescent="0.25">
      <c r="A185" s="249" t="s">
        <v>1975</v>
      </c>
      <c r="B185" s="249"/>
      <c r="C185" s="249"/>
      <c r="D185" s="249"/>
      <c r="E185" s="249"/>
      <c r="F185" s="249"/>
      <c r="G185" s="249"/>
      <c r="H185" s="249"/>
      <c r="I185" s="249"/>
      <c r="J185" s="249"/>
      <c r="K185" s="249"/>
    </row>
    <row r="186" spans="1:11" x14ac:dyDescent="0.25">
      <c r="A186" s="239">
        <v>44678</v>
      </c>
      <c r="B186" s="239">
        <v>44708</v>
      </c>
      <c r="C186" s="240" t="s">
        <v>1976</v>
      </c>
      <c r="D186" s="240" t="s">
        <v>1977</v>
      </c>
      <c r="E186" s="241">
        <v>609.4</v>
      </c>
      <c r="F186" s="241">
        <v>0</v>
      </c>
      <c r="G186" s="241">
        <v>0</v>
      </c>
      <c r="H186" s="241">
        <v>0</v>
      </c>
      <c r="I186" s="241">
        <v>0</v>
      </c>
      <c r="J186" s="241">
        <v>0</v>
      </c>
      <c r="K186" s="241">
        <v>609.4</v>
      </c>
    </row>
    <row r="187" spans="1:11" x14ac:dyDescent="0.25">
      <c r="A187" s="239">
        <v>44682</v>
      </c>
      <c r="B187" s="239">
        <v>44707</v>
      </c>
      <c r="C187" s="240" t="s">
        <v>1978</v>
      </c>
      <c r="D187" s="240" t="s">
        <v>1979</v>
      </c>
      <c r="E187" s="241">
        <v>4342.8</v>
      </c>
      <c r="F187" s="241">
        <v>0</v>
      </c>
      <c r="G187" s="241">
        <v>0</v>
      </c>
      <c r="H187" s="241">
        <v>0</v>
      </c>
      <c r="I187" s="241">
        <v>0</v>
      </c>
      <c r="J187" s="241">
        <v>0</v>
      </c>
      <c r="K187" s="241">
        <v>4342.8</v>
      </c>
    </row>
    <row r="188" spans="1:11" x14ac:dyDescent="0.25">
      <c r="A188" s="242" t="s">
        <v>1980</v>
      </c>
      <c r="B188" s="242"/>
      <c r="C188" s="242"/>
      <c r="D188" s="242"/>
      <c r="E188" s="243">
        <f t="shared" ref="E188:K188" si="43">SUM(E186:E187)</f>
        <v>4952.2</v>
      </c>
      <c r="F188" s="243">
        <f t="shared" si="43"/>
        <v>0</v>
      </c>
      <c r="G188" s="243">
        <f t="shared" si="43"/>
        <v>0</v>
      </c>
      <c r="H188" s="243">
        <f t="shared" si="43"/>
        <v>0</v>
      </c>
      <c r="I188" s="243">
        <f t="shared" si="43"/>
        <v>0</v>
      </c>
      <c r="J188" s="243">
        <f t="shared" si="43"/>
        <v>0</v>
      </c>
      <c r="K188" s="243">
        <f t="shared" si="43"/>
        <v>4952.2</v>
      </c>
    </row>
    <row r="190" spans="1:11" ht="13" x14ac:dyDescent="0.25">
      <c r="A190" s="249" t="s">
        <v>1981</v>
      </c>
      <c r="B190" s="249"/>
      <c r="C190" s="249"/>
      <c r="D190" s="249"/>
      <c r="E190" s="249"/>
      <c r="F190" s="249"/>
      <c r="G190" s="249"/>
      <c r="H190" s="249"/>
      <c r="I190" s="249"/>
      <c r="J190" s="249"/>
      <c r="K190" s="249"/>
    </row>
    <row r="191" spans="1:11" x14ac:dyDescent="0.25">
      <c r="A191" s="239">
        <v>44682</v>
      </c>
      <c r="B191" s="239">
        <v>44707</v>
      </c>
      <c r="C191" s="240" t="s">
        <v>1982</v>
      </c>
      <c r="D191" s="240" t="s">
        <v>1837</v>
      </c>
      <c r="E191" s="241">
        <v>330</v>
      </c>
      <c r="F191" s="241">
        <v>0</v>
      </c>
      <c r="G191" s="241">
        <v>0</v>
      </c>
      <c r="H191" s="241">
        <v>0</v>
      </c>
      <c r="I191" s="241">
        <v>0</v>
      </c>
      <c r="J191" s="241">
        <v>0</v>
      </c>
      <c r="K191" s="241">
        <v>330</v>
      </c>
    </row>
    <row r="192" spans="1:11" x14ac:dyDescent="0.25">
      <c r="A192" s="242" t="s">
        <v>1983</v>
      </c>
      <c r="B192" s="242"/>
      <c r="C192" s="242"/>
      <c r="D192" s="242"/>
      <c r="E192" s="243">
        <f t="shared" ref="E192:K192" si="44">E191</f>
        <v>330</v>
      </c>
      <c r="F192" s="243">
        <f t="shared" si="44"/>
        <v>0</v>
      </c>
      <c r="G192" s="243">
        <f t="shared" si="44"/>
        <v>0</v>
      </c>
      <c r="H192" s="243">
        <f t="shared" si="44"/>
        <v>0</v>
      </c>
      <c r="I192" s="243">
        <f t="shared" si="44"/>
        <v>0</v>
      </c>
      <c r="J192" s="243">
        <f t="shared" si="44"/>
        <v>0</v>
      </c>
      <c r="K192" s="243">
        <f t="shared" si="44"/>
        <v>330</v>
      </c>
    </row>
    <row r="194" spans="1:11" ht="13" x14ac:dyDescent="0.25">
      <c r="A194" s="249" t="s">
        <v>1984</v>
      </c>
      <c r="B194" s="249"/>
      <c r="C194" s="249"/>
      <c r="D194" s="249"/>
      <c r="E194" s="249"/>
      <c r="F194" s="249"/>
      <c r="G194" s="249"/>
      <c r="H194" s="249"/>
      <c r="I194" s="249"/>
      <c r="J194" s="249"/>
      <c r="K194" s="249"/>
    </row>
    <row r="195" spans="1:11" x14ac:dyDescent="0.25">
      <c r="A195" s="239">
        <v>44652</v>
      </c>
      <c r="B195" s="239">
        <v>44667</v>
      </c>
      <c r="C195" s="240" t="s">
        <v>1985</v>
      </c>
      <c r="D195" s="240" t="s">
        <v>1986</v>
      </c>
      <c r="E195" s="241">
        <v>0</v>
      </c>
      <c r="F195" s="241">
        <v>994.4</v>
      </c>
      <c r="G195" s="241">
        <v>0</v>
      </c>
      <c r="H195" s="241">
        <v>0</v>
      </c>
      <c r="I195" s="241">
        <v>0</v>
      </c>
      <c r="J195" s="241">
        <v>0</v>
      </c>
      <c r="K195" s="241">
        <v>994.4</v>
      </c>
    </row>
    <row r="196" spans="1:11" x14ac:dyDescent="0.25">
      <c r="A196" s="239">
        <v>44682</v>
      </c>
      <c r="B196" s="239">
        <v>44697</v>
      </c>
      <c r="C196" s="240" t="s">
        <v>1987</v>
      </c>
      <c r="D196" s="240" t="s">
        <v>1988</v>
      </c>
      <c r="E196" s="241">
        <v>994.4</v>
      </c>
      <c r="F196" s="241">
        <v>0</v>
      </c>
      <c r="G196" s="241">
        <v>0</v>
      </c>
      <c r="H196" s="241">
        <v>0</v>
      </c>
      <c r="I196" s="241">
        <v>0</v>
      </c>
      <c r="J196" s="241">
        <v>0</v>
      </c>
      <c r="K196" s="241">
        <v>994.4</v>
      </c>
    </row>
    <row r="197" spans="1:11" x14ac:dyDescent="0.25">
      <c r="A197" s="242" t="s">
        <v>1989</v>
      </c>
      <c r="B197" s="242"/>
      <c r="C197" s="242"/>
      <c r="D197" s="242"/>
      <c r="E197" s="243">
        <f t="shared" ref="E197:K197" si="45">SUM(E195:E196)</f>
        <v>994.4</v>
      </c>
      <c r="F197" s="243">
        <f t="shared" si="45"/>
        <v>994.4</v>
      </c>
      <c r="G197" s="243">
        <f t="shared" si="45"/>
        <v>0</v>
      </c>
      <c r="H197" s="243">
        <f t="shared" si="45"/>
        <v>0</v>
      </c>
      <c r="I197" s="243">
        <f t="shared" si="45"/>
        <v>0</v>
      </c>
      <c r="J197" s="243">
        <f t="shared" si="45"/>
        <v>0</v>
      </c>
      <c r="K197" s="243">
        <f t="shared" si="45"/>
        <v>1988.8</v>
      </c>
    </row>
    <row r="199" spans="1:11" ht="13" x14ac:dyDescent="0.25">
      <c r="A199" s="249" t="s">
        <v>1990</v>
      </c>
      <c r="B199" s="249"/>
      <c r="C199" s="249"/>
      <c r="D199" s="249"/>
      <c r="E199" s="249"/>
      <c r="F199" s="249"/>
      <c r="G199" s="249"/>
      <c r="H199" s="249"/>
      <c r="I199" s="249"/>
      <c r="J199" s="249"/>
      <c r="K199" s="249"/>
    </row>
    <row r="200" spans="1:11" x14ac:dyDescent="0.25">
      <c r="A200" s="239">
        <v>44652</v>
      </c>
      <c r="B200" s="239">
        <v>44677</v>
      </c>
      <c r="C200" s="240" t="s">
        <v>1991</v>
      </c>
      <c r="D200" s="240" t="s">
        <v>1992</v>
      </c>
      <c r="E200" s="241">
        <v>0</v>
      </c>
      <c r="F200" s="241">
        <v>173.84</v>
      </c>
      <c r="G200" s="241">
        <v>0</v>
      </c>
      <c r="H200" s="241">
        <v>0</v>
      </c>
      <c r="I200" s="241">
        <v>0</v>
      </c>
      <c r="J200" s="241">
        <v>0</v>
      </c>
      <c r="K200" s="241">
        <v>173.84</v>
      </c>
    </row>
    <row r="201" spans="1:11" x14ac:dyDescent="0.25">
      <c r="A201" s="242" t="s">
        <v>1993</v>
      </c>
      <c r="B201" s="242"/>
      <c r="C201" s="242"/>
      <c r="D201" s="242"/>
      <c r="E201" s="243">
        <f t="shared" ref="E201:K201" si="46">E200</f>
        <v>0</v>
      </c>
      <c r="F201" s="243">
        <f t="shared" si="46"/>
        <v>173.84</v>
      </c>
      <c r="G201" s="243">
        <f t="shared" si="46"/>
        <v>0</v>
      </c>
      <c r="H201" s="243">
        <f t="shared" si="46"/>
        <v>0</v>
      </c>
      <c r="I201" s="243">
        <f t="shared" si="46"/>
        <v>0</v>
      </c>
      <c r="J201" s="243">
        <f t="shared" si="46"/>
        <v>0</v>
      </c>
      <c r="K201" s="243">
        <f t="shared" si="46"/>
        <v>173.84</v>
      </c>
    </row>
    <row r="203" spans="1:11" ht="13" x14ac:dyDescent="0.25">
      <c r="A203" s="249" t="s">
        <v>1994</v>
      </c>
      <c r="B203" s="249"/>
      <c r="C203" s="249"/>
      <c r="D203" s="249"/>
      <c r="E203" s="249"/>
      <c r="F203" s="249"/>
      <c r="G203" s="249"/>
      <c r="H203" s="249"/>
      <c r="I203" s="249"/>
      <c r="J203" s="249"/>
      <c r="K203" s="249"/>
    </row>
    <row r="204" spans="1:11" x14ac:dyDescent="0.25">
      <c r="A204" s="239">
        <v>44682</v>
      </c>
      <c r="B204" s="239">
        <v>44707</v>
      </c>
      <c r="C204" s="240" t="s">
        <v>1995</v>
      </c>
      <c r="D204" s="240" t="s">
        <v>1996</v>
      </c>
      <c r="E204" s="241">
        <v>2290.1999999999998</v>
      </c>
      <c r="F204" s="241">
        <v>0</v>
      </c>
      <c r="G204" s="241">
        <v>0</v>
      </c>
      <c r="H204" s="241">
        <v>0</v>
      </c>
      <c r="I204" s="241">
        <v>0</v>
      </c>
      <c r="J204" s="241">
        <v>0</v>
      </c>
      <c r="K204" s="241">
        <v>2290.1999999999998</v>
      </c>
    </row>
    <row r="205" spans="1:11" x14ac:dyDescent="0.25">
      <c r="A205" s="242" t="s">
        <v>1997</v>
      </c>
      <c r="B205" s="242"/>
      <c r="C205" s="242"/>
      <c r="D205" s="242"/>
      <c r="E205" s="243">
        <f t="shared" ref="E205:K205" si="47">E204</f>
        <v>2290.1999999999998</v>
      </c>
      <c r="F205" s="243">
        <f t="shared" si="47"/>
        <v>0</v>
      </c>
      <c r="G205" s="243">
        <f t="shared" si="47"/>
        <v>0</v>
      </c>
      <c r="H205" s="243">
        <f t="shared" si="47"/>
        <v>0</v>
      </c>
      <c r="I205" s="243">
        <f t="shared" si="47"/>
        <v>0</v>
      </c>
      <c r="J205" s="243">
        <f t="shared" si="47"/>
        <v>0</v>
      </c>
      <c r="K205" s="243">
        <f t="shared" si="47"/>
        <v>2290.1999999999998</v>
      </c>
    </row>
    <row r="207" spans="1:11" ht="13" x14ac:dyDescent="0.25">
      <c r="A207" s="249" t="s">
        <v>1998</v>
      </c>
      <c r="B207" s="249"/>
      <c r="C207" s="249"/>
      <c r="D207" s="249"/>
      <c r="E207" s="249"/>
      <c r="F207" s="249"/>
      <c r="G207" s="249"/>
      <c r="H207" s="249"/>
      <c r="I207" s="249"/>
      <c r="J207" s="249"/>
      <c r="K207" s="249"/>
    </row>
    <row r="208" spans="1:11" x14ac:dyDescent="0.25">
      <c r="A208" s="239">
        <v>44682</v>
      </c>
      <c r="B208" s="239">
        <v>44707</v>
      </c>
      <c r="C208" s="240" t="s">
        <v>1999</v>
      </c>
      <c r="D208" s="240" t="s">
        <v>2000</v>
      </c>
      <c r="E208" s="241">
        <v>3999.05</v>
      </c>
      <c r="F208" s="241">
        <v>0</v>
      </c>
      <c r="G208" s="241">
        <v>0</v>
      </c>
      <c r="H208" s="241">
        <v>0</v>
      </c>
      <c r="I208" s="241">
        <v>0</v>
      </c>
      <c r="J208" s="241">
        <v>0</v>
      </c>
      <c r="K208" s="241">
        <v>3999.05</v>
      </c>
    </row>
    <row r="209" spans="1:11" x14ac:dyDescent="0.25">
      <c r="A209" s="242" t="s">
        <v>2001</v>
      </c>
      <c r="B209" s="242"/>
      <c r="C209" s="242"/>
      <c r="D209" s="242"/>
      <c r="E209" s="243">
        <f t="shared" ref="E209:K209" si="48">E208</f>
        <v>3999.05</v>
      </c>
      <c r="F209" s="243">
        <f t="shared" si="48"/>
        <v>0</v>
      </c>
      <c r="G209" s="243">
        <f t="shared" si="48"/>
        <v>0</v>
      </c>
      <c r="H209" s="243">
        <f t="shared" si="48"/>
        <v>0</v>
      </c>
      <c r="I209" s="243">
        <f t="shared" si="48"/>
        <v>0</v>
      </c>
      <c r="J209" s="243">
        <f t="shared" si="48"/>
        <v>0</v>
      </c>
      <c r="K209" s="243">
        <f t="shared" si="48"/>
        <v>3999.05</v>
      </c>
    </row>
    <row r="211" spans="1:11" ht="13" x14ac:dyDescent="0.25">
      <c r="A211" s="249" t="s">
        <v>2002</v>
      </c>
      <c r="B211" s="249"/>
      <c r="C211" s="249"/>
      <c r="D211" s="249"/>
      <c r="E211" s="249"/>
      <c r="F211" s="249"/>
      <c r="G211" s="249"/>
      <c r="H211" s="249"/>
      <c r="I211" s="249"/>
      <c r="J211" s="249"/>
      <c r="K211" s="249"/>
    </row>
    <row r="212" spans="1:11" x14ac:dyDescent="0.25">
      <c r="A212" s="239">
        <v>44682</v>
      </c>
      <c r="B212" s="239">
        <v>44707</v>
      </c>
      <c r="C212" s="240" t="s">
        <v>2003</v>
      </c>
      <c r="D212" s="240" t="s">
        <v>2004</v>
      </c>
      <c r="E212" s="241">
        <v>264.33</v>
      </c>
      <c r="F212" s="241">
        <v>0</v>
      </c>
      <c r="G212" s="241">
        <v>0</v>
      </c>
      <c r="H212" s="241">
        <v>0</v>
      </c>
      <c r="I212" s="241">
        <v>0</v>
      </c>
      <c r="J212" s="241">
        <v>0</v>
      </c>
      <c r="K212" s="241">
        <v>264.33</v>
      </c>
    </row>
    <row r="213" spans="1:11" x14ac:dyDescent="0.25">
      <c r="A213" s="242" t="s">
        <v>2005</v>
      </c>
      <c r="B213" s="242"/>
      <c r="C213" s="242"/>
      <c r="D213" s="242"/>
      <c r="E213" s="243">
        <f t="shared" ref="E213:K213" si="49">E212</f>
        <v>264.33</v>
      </c>
      <c r="F213" s="243">
        <f t="shared" si="49"/>
        <v>0</v>
      </c>
      <c r="G213" s="243">
        <f t="shared" si="49"/>
        <v>0</v>
      </c>
      <c r="H213" s="243">
        <f t="shared" si="49"/>
        <v>0</v>
      </c>
      <c r="I213" s="243">
        <f t="shared" si="49"/>
        <v>0</v>
      </c>
      <c r="J213" s="243">
        <f t="shared" si="49"/>
        <v>0</v>
      </c>
      <c r="K213" s="243">
        <f t="shared" si="49"/>
        <v>264.33</v>
      </c>
    </row>
    <row r="215" spans="1:11" ht="13" x14ac:dyDescent="0.25">
      <c r="A215" s="249" t="s">
        <v>2006</v>
      </c>
      <c r="B215" s="249"/>
      <c r="C215" s="249"/>
      <c r="D215" s="249"/>
      <c r="E215" s="249"/>
      <c r="F215" s="249"/>
      <c r="G215" s="249"/>
      <c r="H215" s="249"/>
      <c r="I215" s="249"/>
      <c r="J215" s="249"/>
      <c r="K215" s="249"/>
    </row>
    <row r="216" spans="1:11" x14ac:dyDescent="0.25">
      <c r="A216" s="239">
        <v>44682</v>
      </c>
      <c r="B216" s="239">
        <v>44707</v>
      </c>
      <c r="C216" s="240" t="s">
        <v>2007</v>
      </c>
      <c r="D216" s="240" t="s">
        <v>2008</v>
      </c>
      <c r="E216" s="241">
        <v>342.5</v>
      </c>
      <c r="F216" s="241">
        <v>0</v>
      </c>
      <c r="G216" s="241">
        <v>0</v>
      </c>
      <c r="H216" s="241">
        <v>0</v>
      </c>
      <c r="I216" s="241">
        <v>0</v>
      </c>
      <c r="J216" s="241">
        <v>0</v>
      </c>
      <c r="K216" s="241">
        <v>342.5</v>
      </c>
    </row>
    <row r="217" spans="1:11" x14ac:dyDescent="0.25">
      <c r="A217" s="242" t="s">
        <v>2009</v>
      </c>
      <c r="B217" s="242"/>
      <c r="C217" s="242"/>
      <c r="D217" s="242"/>
      <c r="E217" s="243">
        <f t="shared" ref="E217:K217" si="50">E216</f>
        <v>342.5</v>
      </c>
      <c r="F217" s="243">
        <f t="shared" si="50"/>
        <v>0</v>
      </c>
      <c r="G217" s="243">
        <f t="shared" si="50"/>
        <v>0</v>
      </c>
      <c r="H217" s="243">
        <f t="shared" si="50"/>
        <v>0</v>
      </c>
      <c r="I217" s="243">
        <f t="shared" si="50"/>
        <v>0</v>
      </c>
      <c r="J217" s="243">
        <f t="shared" si="50"/>
        <v>0</v>
      </c>
      <c r="K217" s="243">
        <f t="shared" si="50"/>
        <v>342.5</v>
      </c>
    </row>
    <row r="219" spans="1:11" ht="13" x14ac:dyDescent="0.25">
      <c r="A219" s="249" t="s">
        <v>2010</v>
      </c>
      <c r="B219" s="249"/>
      <c r="C219" s="249"/>
      <c r="D219" s="249"/>
      <c r="E219" s="249"/>
      <c r="F219" s="249"/>
      <c r="G219" s="249"/>
      <c r="H219" s="249"/>
      <c r="I219" s="249"/>
      <c r="J219" s="249"/>
      <c r="K219" s="249"/>
    </row>
    <row r="220" spans="1:11" x14ac:dyDescent="0.25">
      <c r="A220" s="239">
        <v>44664</v>
      </c>
      <c r="B220" s="239">
        <v>44689</v>
      </c>
      <c r="C220" s="240" t="s">
        <v>2011</v>
      </c>
      <c r="D220" s="240" t="s">
        <v>357</v>
      </c>
      <c r="E220" s="241">
        <v>3052.5</v>
      </c>
      <c r="F220" s="241">
        <v>0</v>
      </c>
      <c r="G220" s="241">
        <v>0</v>
      </c>
      <c r="H220" s="241">
        <v>0</v>
      </c>
      <c r="I220" s="241">
        <v>0</v>
      </c>
      <c r="J220" s="241">
        <v>0</v>
      </c>
      <c r="K220" s="241">
        <v>3052.5</v>
      </c>
    </row>
    <row r="221" spans="1:11" x14ac:dyDescent="0.25">
      <c r="A221" s="239">
        <v>44680</v>
      </c>
      <c r="B221" s="239">
        <v>44705</v>
      </c>
      <c r="C221" s="240" t="s">
        <v>2012</v>
      </c>
      <c r="D221" s="240" t="s">
        <v>357</v>
      </c>
      <c r="E221" s="241">
        <v>2035</v>
      </c>
      <c r="F221" s="241">
        <v>0</v>
      </c>
      <c r="G221" s="241">
        <v>0</v>
      </c>
      <c r="H221" s="241">
        <v>0</v>
      </c>
      <c r="I221" s="241">
        <v>0</v>
      </c>
      <c r="J221" s="241">
        <v>0</v>
      </c>
      <c r="K221" s="241">
        <v>2035</v>
      </c>
    </row>
    <row r="222" spans="1:11" x14ac:dyDescent="0.25">
      <c r="A222" s="239">
        <v>44682</v>
      </c>
      <c r="B222" s="239">
        <v>44707</v>
      </c>
      <c r="C222" s="240" t="s">
        <v>2013</v>
      </c>
      <c r="D222" s="240" t="s">
        <v>1837</v>
      </c>
      <c r="E222" s="241">
        <v>52305</v>
      </c>
      <c r="F222" s="241">
        <v>0</v>
      </c>
      <c r="G222" s="241">
        <v>0</v>
      </c>
      <c r="H222" s="241">
        <v>0</v>
      </c>
      <c r="I222" s="241">
        <v>0</v>
      </c>
      <c r="J222" s="241">
        <v>0</v>
      </c>
      <c r="K222" s="241">
        <v>52305</v>
      </c>
    </row>
    <row r="223" spans="1:11" x14ac:dyDescent="0.25">
      <c r="A223" s="242" t="s">
        <v>2014</v>
      </c>
      <c r="B223" s="242"/>
      <c r="C223" s="242"/>
      <c r="D223" s="242"/>
      <c r="E223" s="243">
        <f t="shared" ref="E223:K223" si="51">SUM(E220:E222)</f>
        <v>57392.5</v>
      </c>
      <c r="F223" s="243">
        <f t="shared" si="51"/>
        <v>0</v>
      </c>
      <c r="G223" s="243">
        <f t="shared" si="51"/>
        <v>0</v>
      </c>
      <c r="H223" s="243">
        <f t="shared" si="51"/>
        <v>0</v>
      </c>
      <c r="I223" s="243">
        <f t="shared" si="51"/>
        <v>0</v>
      </c>
      <c r="J223" s="243">
        <f t="shared" si="51"/>
        <v>0</v>
      </c>
      <c r="K223" s="243">
        <f t="shared" si="51"/>
        <v>57392.5</v>
      </c>
    </row>
    <row r="225" spans="1:11" ht="13" x14ac:dyDescent="0.25">
      <c r="A225" s="249" t="s">
        <v>2015</v>
      </c>
      <c r="B225" s="249"/>
      <c r="C225" s="249"/>
      <c r="D225" s="249"/>
      <c r="E225" s="249"/>
      <c r="F225" s="249"/>
      <c r="G225" s="249"/>
      <c r="H225" s="249"/>
      <c r="I225" s="249"/>
      <c r="J225" s="249"/>
      <c r="K225" s="249"/>
    </row>
    <row r="226" spans="1:11" x14ac:dyDescent="0.25">
      <c r="A226" s="239">
        <v>44684</v>
      </c>
      <c r="B226" s="239">
        <v>44698</v>
      </c>
      <c r="C226" s="240" t="s">
        <v>2016</v>
      </c>
      <c r="D226" s="240" t="s">
        <v>2017</v>
      </c>
      <c r="E226" s="241">
        <v>204.05</v>
      </c>
      <c r="F226" s="241">
        <v>0</v>
      </c>
      <c r="G226" s="241">
        <v>0</v>
      </c>
      <c r="H226" s="241">
        <v>0</v>
      </c>
      <c r="I226" s="241">
        <v>0</v>
      </c>
      <c r="J226" s="241">
        <v>0</v>
      </c>
      <c r="K226" s="241">
        <v>204.05</v>
      </c>
    </row>
    <row r="227" spans="1:11" x14ac:dyDescent="0.25">
      <c r="A227" s="242" t="s">
        <v>2018</v>
      </c>
      <c r="B227" s="242"/>
      <c r="C227" s="242"/>
      <c r="D227" s="242"/>
      <c r="E227" s="243">
        <f t="shared" ref="E227:K227" si="52">E226</f>
        <v>204.05</v>
      </c>
      <c r="F227" s="243">
        <f t="shared" si="52"/>
        <v>0</v>
      </c>
      <c r="G227" s="243">
        <f t="shared" si="52"/>
        <v>0</v>
      </c>
      <c r="H227" s="243">
        <f t="shared" si="52"/>
        <v>0</v>
      </c>
      <c r="I227" s="243">
        <f t="shared" si="52"/>
        <v>0</v>
      </c>
      <c r="J227" s="243">
        <f t="shared" si="52"/>
        <v>0</v>
      </c>
      <c r="K227" s="243">
        <f t="shared" si="52"/>
        <v>204.05</v>
      </c>
    </row>
    <row r="229" spans="1:11" ht="13" x14ac:dyDescent="0.25">
      <c r="A229" s="249" t="s">
        <v>2019</v>
      </c>
      <c r="B229" s="249"/>
      <c r="C229" s="249"/>
      <c r="D229" s="249"/>
      <c r="E229" s="249"/>
      <c r="F229" s="249"/>
      <c r="G229" s="249"/>
      <c r="H229" s="249"/>
      <c r="I229" s="249"/>
      <c r="J229" s="249"/>
      <c r="K229" s="249"/>
    </row>
    <row r="230" spans="1:11" x14ac:dyDescent="0.25">
      <c r="A230" s="239">
        <v>44682</v>
      </c>
      <c r="B230" s="239">
        <v>44697</v>
      </c>
      <c r="C230" s="240" t="s">
        <v>2020</v>
      </c>
      <c r="D230" s="240" t="s">
        <v>2021</v>
      </c>
      <c r="E230" s="241">
        <v>378.4</v>
      </c>
      <c r="F230" s="241">
        <v>0</v>
      </c>
      <c r="G230" s="241">
        <v>0</v>
      </c>
      <c r="H230" s="241">
        <v>0</v>
      </c>
      <c r="I230" s="241">
        <v>0</v>
      </c>
      <c r="J230" s="241">
        <v>0</v>
      </c>
      <c r="K230" s="241">
        <v>378.4</v>
      </c>
    </row>
    <row r="231" spans="1:11" x14ac:dyDescent="0.25">
      <c r="A231" s="239">
        <v>44685</v>
      </c>
      <c r="B231" s="239">
        <v>44685</v>
      </c>
      <c r="C231" s="240" t="s">
        <v>2022</v>
      </c>
      <c r="D231" s="240" t="s">
        <v>2023</v>
      </c>
      <c r="E231" s="241">
        <v>0</v>
      </c>
      <c r="F231" s="241">
        <v>-1500</v>
      </c>
      <c r="G231" s="241">
        <v>0</v>
      </c>
      <c r="H231" s="241">
        <v>0</v>
      </c>
      <c r="I231" s="241">
        <v>0</v>
      </c>
      <c r="J231" s="241">
        <v>0</v>
      </c>
      <c r="K231" s="241">
        <v>-1500</v>
      </c>
    </row>
    <row r="232" spans="1:11" x14ac:dyDescent="0.25">
      <c r="A232" s="242" t="s">
        <v>2024</v>
      </c>
      <c r="B232" s="242"/>
      <c r="C232" s="242"/>
      <c r="D232" s="242"/>
      <c r="E232" s="243">
        <f t="shared" ref="E232:K232" si="53">SUM(E230:E231)</f>
        <v>378.4</v>
      </c>
      <c r="F232" s="243">
        <f t="shared" si="53"/>
        <v>-1500</v>
      </c>
      <c r="G232" s="243">
        <f t="shared" si="53"/>
        <v>0</v>
      </c>
      <c r="H232" s="243">
        <f t="shared" si="53"/>
        <v>0</v>
      </c>
      <c r="I232" s="243">
        <f t="shared" si="53"/>
        <v>0</v>
      </c>
      <c r="J232" s="243">
        <f t="shared" si="53"/>
        <v>0</v>
      </c>
      <c r="K232" s="243">
        <f t="shared" si="53"/>
        <v>-1121.5999999999999</v>
      </c>
    </row>
    <row r="234" spans="1:11" ht="13" x14ac:dyDescent="0.25">
      <c r="A234" s="249" t="s">
        <v>2025</v>
      </c>
      <c r="B234" s="249"/>
      <c r="C234" s="249"/>
      <c r="D234" s="249"/>
      <c r="E234" s="249"/>
      <c r="F234" s="249"/>
      <c r="G234" s="249"/>
      <c r="H234" s="249"/>
      <c r="I234" s="249"/>
      <c r="J234" s="249"/>
      <c r="K234" s="249"/>
    </row>
    <row r="235" spans="1:11" x14ac:dyDescent="0.25">
      <c r="A235" s="239">
        <v>44673</v>
      </c>
      <c r="B235" s="239">
        <v>44698</v>
      </c>
      <c r="C235" s="240" t="s">
        <v>2026</v>
      </c>
      <c r="D235" s="240" t="s">
        <v>2027</v>
      </c>
      <c r="E235" s="241">
        <v>1424.5</v>
      </c>
      <c r="F235" s="241">
        <v>0</v>
      </c>
      <c r="G235" s="241">
        <v>0</v>
      </c>
      <c r="H235" s="241">
        <v>0</v>
      </c>
      <c r="I235" s="241">
        <v>0</v>
      </c>
      <c r="J235" s="241">
        <v>0</v>
      </c>
      <c r="K235" s="241">
        <v>1424.5</v>
      </c>
    </row>
    <row r="236" spans="1:11" x14ac:dyDescent="0.25">
      <c r="A236" s="242" t="s">
        <v>2028</v>
      </c>
      <c r="B236" s="242"/>
      <c r="C236" s="242"/>
      <c r="D236" s="242"/>
      <c r="E236" s="243">
        <f t="shared" ref="E236:K236" si="54">E235</f>
        <v>1424.5</v>
      </c>
      <c r="F236" s="243">
        <f t="shared" si="54"/>
        <v>0</v>
      </c>
      <c r="G236" s="243">
        <f t="shared" si="54"/>
        <v>0</v>
      </c>
      <c r="H236" s="243">
        <f t="shared" si="54"/>
        <v>0</v>
      </c>
      <c r="I236" s="243">
        <f t="shared" si="54"/>
        <v>0</v>
      </c>
      <c r="J236" s="243">
        <f t="shared" si="54"/>
        <v>0</v>
      </c>
      <c r="K236" s="243">
        <f t="shared" si="54"/>
        <v>1424.5</v>
      </c>
    </row>
    <row r="238" spans="1:11" ht="13" x14ac:dyDescent="0.25">
      <c r="A238" s="249" t="s">
        <v>2029</v>
      </c>
      <c r="B238" s="249"/>
      <c r="C238" s="249"/>
      <c r="D238" s="249"/>
      <c r="E238" s="249"/>
      <c r="F238" s="249"/>
      <c r="G238" s="249"/>
      <c r="H238" s="249"/>
      <c r="I238" s="249"/>
      <c r="J238" s="249"/>
      <c r="K238" s="249"/>
    </row>
    <row r="239" spans="1:11" x14ac:dyDescent="0.25">
      <c r="A239" s="239">
        <v>44682</v>
      </c>
      <c r="B239" s="239">
        <v>44707</v>
      </c>
      <c r="C239" s="240" t="s">
        <v>2030</v>
      </c>
      <c r="D239" s="240" t="s">
        <v>2031</v>
      </c>
      <c r="E239" s="241">
        <v>1857.9</v>
      </c>
      <c r="F239" s="241">
        <v>0</v>
      </c>
      <c r="G239" s="241">
        <v>0</v>
      </c>
      <c r="H239" s="241">
        <v>0</v>
      </c>
      <c r="I239" s="241">
        <v>0</v>
      </c>
      <c r="J239" s="241">
        <v>0</v>
      </c>
      <c r="K239" s="241">
        <v>1857.9</v>
      </c>
    </row>
    <row r="240" spans="1:11" x14ac:dyDescent="0.25">
      <c r="A240" s="242" t="s">
        <v>2032</v>
      </c>
      <c r="B240" s="242"/>
      <c r="C240" s="242"/>
      <c r="D240" s="242"/>
      <c r="E240" s="243">
        <f t="shared" ref="E240:K240" si="55">E239</f>
        <v>1857.9</v>
      </c>
      <c r="F240" s="243">
        <f t="shared" si="55"/>
        <v>0</v>
      </c>
      <c r="G240" s="243">
        <f t="shared" si="55"/>
        <v>0</v>
      </c>
      <c r="H240" s="243">
        <f t="shared" si="55"/>
        <v>0</v>
      </c>
      <c r="I240" s="243">
        <f t="shared" si="55"/>
        <v>0</v>
      </c>
      <c r="J240" s="243">
        <f t="shared" si="55"/>
        <v>0</v>
      </c>
      <c r="K240" s="243">
        <f t="shared" si="55"/>
        <v>1857.9</v>
      </c>
    </row>
    <row r="242" spans="1:11" ht="13" x14ac:dyDescent="0.25">
      <c r="A242" s="249" t="s">
        <v>2033</v>
      </c>
      <c r="B242" s="249"/>
      <c r="C242" s="249"/>
      <c r="D242" s="249"/>
      <c r="E242" s="249"/>
      <c r="F242" s="249"/>
      <c r="G242" s="249"/>
      <c r="H242" s="249"/>
      <c r="I242" s="249"/>
      <c r="J242" s="249"/>
      <c r="K242" s="249"/>
    </row>
    <row r="243" spans="1:11" x14ac:dyDescent="0.25">
      <c r="A243" s="239">
        <v>44682</v>
      </c>
      <c r="B243" s="239">
        <v>44707</v>
      </c>
      <c r="C243" s="240" t="s">
        <v>2034</v>
      </c>
      <c r="D243" s="240" t="s">
        <v>2035</v>
      </c>
      <c r="E243" s="241">
        <v>937.49</v>
      </c>
      <c r="F243" s="241">
        <v>0</v>
      </c>
      <c r="G243" s="241">
        <v>0</v>
      </c>
      <c r="H243" s="241">
        <v>0</v>
      </c>
      <c r="I243" s="241">
        <v>0</v>
      </c>
      <c r="J243" s="241">
        <v>0</v>
      </c>
      <c r="K243" s="241">
        <v>937.49</v>
      </c>
    </row>
    <row r="244" spans="1:11" x14ac:dyDescent="0.25">
      <c r="A244" s="242" t="s">
        <v>2036</v>
      </c>
      <c r="B244" s="242"/>
      <c r="C244" s="242"/>
      <c r="D244" s="242"/>
      <c r="E244" s="243">
        <f t="shared" ref="E244:K244" si="56">E243</f>
        <v>937.49</v>
      </c>
      <c r="F244" s="243">
        <f t="shared" si="56"/>
        <v>0</v>
      </c>
      <c r="G244" s="243">
        <f t="shared" si="56"/>
        <v>0</v>
      </c>
      <c r="H244" s="243">
        <f t="shared" si="56"/>
        <v>0</v>
      </c>
      <c r="I244" s="243">
        <f t="shared" si="56"/>
        <v>0</v>
      </c>
      <c r="J244" s="243">
        <f t="shared" si="56"/>
        <v>0</v>
      </c>
      <c r="K244" s="243">
        <f t="shared" si="56"/>
        <v>937.49</v>
      </c>
    </row>
    <row r="246" spans="1:11" ht="13" x14ac:dyDescent="0.25">
      <c r="A246" s="249" t="s">
        <v>2037</v>
      </c>
      <c r="B246" s="249"/>
      <c r="C246" s="249"/>
      <c r="D246" s="249"/>
      <c r="E246" s="249"/>
      <c r="F246" s="249"/>
      <c r="G246" s="249"/>
      <c r="H246" s="249"/>
      <c r="I246" s="249"/>
      <c r="J246" s="249"/>
      <c r="K246" s="249"/>
    </row>
    <row r="247" spans="1:11" x14ac:dyDescent="0.25">
      <c r="A247" s="239">
        <v>44652</v>
      </c>
      <c r="B247" s="239">
        <v>44677</v>
      </c>
      <c r="C247" s="240" t="s">
        <v>2038</v>
      </c>
      <c r="D247" s="240" t="s">
        <v>2039</v>
      </c>
      <c r="E247" s="241">
        <v>0</v>
      </c>
      <c r="F247" s="241">
        <v>4798.2</v>
      </c>
      <c r="G247" s="241">
        <v>0</v>
      </c>
      <c r="H247" s="241">
        <v>0</v>
      </c>
      <c r="I247" s="241">
        <v>0</v>
      </c>
      <c r="J247" s="241">
        <v>0</v>
      </c>
      <c r="K247" s="241">
        <v>4798.2</v>
      </c>
    </row>
    <row r="248" spans="1:11" x14ac:dyDescent="0.25">
      <c r="A248" s="242" t="s">
        <v>2040</v>
      </c>
      <c r="B248" s="242"/>
      <c r="C248" s="242"/>
      <c r="D248" s="242"/>
      <c r="E248" s="243">
        <f t="shared" ref="E248:K248" si="57">E247</f>
        <v>0</v>
      </c>
      <c r="F248" s="243">
        <f t="shared" si="57"/>
        <v>4798.2</v>
      </c>
      <c r="G248" s="243">
        <f t="shared" si="57"/>
        <v>0</v>
      </c>
      <c r="H248" s="243">
        <f t="shared" si="57"/>
        <v>0</v>
      </c>
      <c r="I248" s="243">
        <f t="shared" si="57"/>
        <v>0</v>
      </c>
      <c r="J248" s="243">
        <f t="shared" si="57"/>
        <v>0</v>
      </c>
      <c r="K248" s="243">
        <f t="shared" si="57"/>
        <v>4798.2</v>
      </c>
    </row>
    <row r="250" spans="1:11" ht="13" x14ac:dyDescent="0.25">
      <c r="A250" s="249" t="s">
        <v>2041</v>
      </c>
      <c r="B250" s="249"/>
      <c r="C250" s="249"/>
      <c r="D250" s="249"/>
      <c r="E250" s="249"/>
      <c r="F250" s="249"/>
      <c r="G250" s="249"/>
      <c r="H250" s="249"/>
      <c r="I250" s="249"/>
      <c r="J250" s="249"/>
      <c r="K250" s="249"/>
    </row>
    <row r="251" spans="1:11" x14ac:dyDescent="0.25">
      <c r="A251" s="239">
        <v>44682</v>
      </c>
      <c r="B251" s="239">
        <v>44696</v>
      </c>
      <c r="C251" s="240" t="s">
        <v>2042</v>
      </c>
      <c r="D251" s="240" t="s">
        <v>2043</v>
      </c>
      <c r="E251" s="241">
        <v>687.5</v>
      </c>
      <c r="F251" s="241">
        <v>0</v>
      </c>
      <c r="G251" s="241">
        <v>0</v>
      </c>
      <c r="H251" s="241">
        <v>0</v>
      </c>
      <c r="I251" s="241">
        <v>0</v>
      </c>
      <c r="J251" s="241">
        <v>0</v>
      </c>
      <c r="K251" s="241">
        <v>687.5</v>
      </c>
    </row>
    <row r="252" spans="1:11" x14ac:dyDescent="0.25">
      <c r="A252" s="242" t="s">
        <v>2044</v>
      </c>
      <c r="B252" s="242"/>
      <c r="C252" s="242"/>
      <c r="D252" s="242"/>
      <c r="E252" s="243">
        <f t="shared" ref="E252:K252" si="58">E251</f>
        <v>687.5</v>
      </c>
      <c r="F252" s="243">
        <f t="shared" si="58"/>
        <v>0</v>
      </c>
      <c r="G252" s="243">
        <f t="shared" si="58"/>
        <v>0</v>
      </c>
      <c r="H252" s="243">
        <f t="shared" si="58"/>
        <v>0</v>
      </c>
      <c r="I252" s="243">
        <f t="shared" si="58"/>
        <v>0</v>
      </c>
      <c r="J252" s="243">
        <f t="shared" si="58"/>
        <v>0</v>
      </c>
      <c r="K252" s="243">
        <f t="shared" si="58"/>
        <v>687.5</v>
      </c>
    </row>
    <row r="254" spans="1:11" ht="13" x14ac:dyDescent="0.25">
      <c r="A254" s="249" t="s">
        <v>2045</v>
      </c>
      <c r="B254" s="249"/>
      <c r="C254" s="249"/>
      <c r="D254" s="249"/>
      <c r="E254" s="249"/>
      <c r="F254" s="249"/>
      <c r="G254" s="249"/>
      <c r="H254" s="249"/>
      <c r="I254" s="249"/>
      <c r="J254" s="249"/>
      <c r="K254" s="249"/>
    </row>
    <row r="255" spans="1:11" x14ac:dyDescent="0.25">
      <c r="A255" s="239">
        <v>44684</v>
      </c>
      <c r="B255" s="239">
        <v>44691</v>
      </c>
      <c r="C255" s="240" t="s">
        <v>2046</v>
      </c>
      <c r="D255" s="240" t="s">
        <v>2047</v>
      </c>
      <c r="E255" s="241">
        <v>974.6</v>
      </c>
      <c r="F255" s="241">
        <v>0</v>
      </c>
      <c r="G255" s="241">
        <v>0</v>
      </c>
      <c r="H255" s="241">
        <v>0</v>
      </c>
      <c r="I255" s="241">
        <v>0</v>
      </c>
      <c r="J255" s="241">
        <v>0</v>
      </c>
      <c r="K255" s="241">
        <v>974.6</v>
      </c>
    </row>
    <row r="256" spans="1:11" x14ac:dyDescent="0.25">
      <c r="A256" s="242" t="s">
        <v>2048</v>
      </c>
      <c r="B256" s="242"/>
      <c r="C256" s="242"/>
      <c r="D256" s="242"/>
      <c r="E256" s="243">
        <f t="shared" ref="E256:K256" si="59">E255</f>
        <v>974.6</v>
      </c>
      <c r="F256" s="243">
        <f t="shared" si="59"/>
        <v>0</v>
      </c>
      <c r="G256" s="243">
        <f t="shared" si="59"/>
        <v>0</v>
      </c>
      <c r="H256" s="243">
        <f t="shared" si="59"/>
        <v>0</v>
      </c>
      <c r="I256" s="243">
        <f t="shared" si="59"/>
        <v>0</v>
      </c>
      <c r="J256" s="243">
        <f t="shared" si="59"/>
        <v>0</v>
      </c>
      <c r="K256" s="243">
        <f t="shared" si="59"/>
        <v>974.6</v>
      </c>
    </row>
    <row r="258" spans="1:11" ht="13" x14ac:dyDescent="0.25">
      <c r="A258" s="249" t="s">
        <v>2049</v>
      </c>
      <c r="B258" s="249"/>
      <c r="C258" s="249"/>
      <c r="D258" s="249"/>
      <c r="E258" s="249"/>
      <c r="F258" s="249"/>
      <c r="G258" s="249"/>
      <c r="H258" s="249"/>
      <c r="I258" s="249"/>
      <c r="J258" s="249"/>
      <c r="K258" s="249"/>
    </row>
    <row r="259" spans="1:11" x14ac:dyDescent="0.25">
      <c r="A259" s="239">
        <v>44682</v>
      </c>
      <c r="B259" s="239">
        <v>44707</v>
      </c>
      <c r="C259" s="240" t="s">
        <v>2050</v>
      </c>
      <c r="D259" s="240" t="s">
        <v>1996</v>
      </c>
      <c r="E259" s="241">
        <v>2290.1999999999998</v>
      </c>
      <c r="F259" s="241">
        <v>0</v>
      </c>
      <c r="G259" s="241">
        <v>0</v>
      </c>
      <c r="H259" s="241">
        <v>0</v>
      </c>
      <c r="I259" s="241">
        <v>0</v>
      </c>
      <c r="J259" s="241">
        <v>0</v>
      </c>
      <c r="K259" s="241">
        <v>2290.1999999999998</v>
      </c>
    </row>
    <row r="260" spans="1:11" x14ac:dyDescent="0.25">
      <c r="A260" s="242" t="s">
        <v>2051</v>
      </c>
      <c r="B260" s="242"/>
      <c r="C260" s="242"/>
      <c r="D260" s="242"/>
      <c r="E260" s="243">
        <f t="shared" ref="E260:K260" si="60">E259</f>
        <v>2290.1999999999998</v>
      </c>
      <c r="F260" s="243">
        <f t="shared" si="60"/>
        <v>0</v>
      </c>
      <c r="G260" s="243">
        <f t="shared" si="60"/>
        <v>0</v>
      </c>
      <c r="H260" s="243">
        <f t="shared" si="60"/>
        <v>0</v>
      </c>
      <c r="I260" s="243">
        <f t="shared" si="60"/>
        <v>0</v>
      </c>
      <c r="J260" s="243">
        <f t="shared" si="60"/>
        <v>0</v>
      </c>
      <c r="K260" s="243">
        <f t="shared" si="60"/>
        <v>2290.1999999999998</v>
      </c>
    </row>
    <row r="262" spans="1:11" ht="13" x14ac:dyDescent="0.25">
      <c r="A262" s="249" t="s">
        <v>2052</v>
      </c>
      <c r="B262" s="249"/>
      <c r="C262" s="249"/>
      <c r="D262" s="249"/>
      <c r="E262" s="249"/>
      <c r="F262" s="249"/>
      <c r="G262" s="249"/>
      <c r="H262" s="249"/>
      <c r="I262" s="249"/>
      <c r="J262" s="249"/>
      <c r="K262" s="249"/>
    </row>
    <row r="263" spans="1:11" x14ac:dyDescent="0.25">
      <c r="A263" s="239">
        <v>44682</v>
      </c>
      <c r="B263" s="239">
        <v>44707</v>
      </c>
      <c r="C263" s="240" t="s">
        <v>2053</v>
      </c>
      <c r="D263" s="240" t="s">
        <v>2054</v>
      </c>
      <c r="E263" s="241">
        <v>1815</v>
      </c>
      <c r="F263" s="241">
        <v>0</v>
      </c>
      <c r="G263" s="241">
        <v>0</v>
      </c>
      <c r="H263" s="241">
        <v>0</v>
      </c>
      <c r="I263" s="241">
        <v>0</v>
      </c>
      <c r="J263" s="241">
        <v>0</v>
      </c>
      <c r="K263" s="241">
        <v>1815</v>
      </c>
    </row>
    <row r="264" spans="1:11" x14ac:dyDescent="0.25">
      <c r="A264" s="242" t="s">
        <v>2055</v>
      </c>
      <c r="B264" s="242"/>
      <c r="C264" s="242"/>
      <c r="D264" s="242"/>
      <c r="E264" s="243">
        <f t="shared" ref="E264:K264" si="61">E263</f>
        <v>1815</v>
      </c>
      <c r="F264" s="243">
        <f t="shared" si="61"/>
        <v>0</v>
      </c>
      <c r="G264" s="243">
        <f t="shared" si="61"/>
        <v>0</v>
      </c>
      <c r="H264" s="243">
        <f t="shared" si="61"/>
        <v>0</v>
      </c>
      <c r="I264" s="243">
        <f t="shared" si="61"/>
        <v>0</v>
      </c>
      <c r="J264" s="243">
        <f t="shared" si="61"/>
        <v>0</v>
      </c>
      <c r="K264" s="243">
        <f t="shared" si="61"/>
        <v>1815</v>
      </c>
    </row>
    <row r="266" spans="1:11" ht="13" x14ac:dyDescent="0.25">
      <c r="A266" s="249" t="s">
        <v>2056</v>
      </c>
      <c r="B266" s="249"/>
      <c r="C266" s="249"/>
      <c r="D266" s="249"/>
      <c r="E266" s="249"/>
      <c r="F266" s="249"/>
      <c r="G266" s="249"/>
      <c r="H266" s="249"/>
      <c r="I266" s="249"/>
      <c r="J266" s="249"/>
      <c r="K266" s="249"/>
    </row>
    <row r="267" spans="1:11" x14ac:dyDescent="0.25">
      <c r="A267" s="239">
        <v>44682</v>
      </c>
      <c r="B267" s="239">
        <v>44707</v>
      </c>
      <c r="C267" s="240" t="s">
        <v>2057</v>
      </c>
      <c r="D267" s="240" t="s">
        <v>2058</v>
      </c>
      <c r="E267" s="241">
        <v>577.5</v>
      </c>
      <c r="F267" s="241">
        <v>0</v>
      </c>
      <c r="G267" s="241">
        <v>0</v>
      </c>
      <c r="H267" s="241">
        <v>0</v>
      </c>
      <c r="I267" s="241">
        <v>0</v>
      </c>
      <c r="J267" s="241">
        <v>0</v>
      </c>
      <c r="K267" s="241">
        <v>577.5</v>
      </c>
    </row>
    <row r="268" spans="1:11" x14ac:dyDescent="0.25">
      <c r="A268" s="242" t="s">
        <v>2059</v>
      </c>
      <c r="B268" s="242"/>
      <c r="C268" s="242"/>
      <c r="D268" s="242"/>
      <c r="E268" s="243">
        <f t="shared" ref="E268:K268" si="62">E267</f>
        <v>577.5</v>
      </c>
      <c r="F268" s="243">
        <f t="shared" si="62"/>
        <v>0</v>
      </c>
      <c r="G268" s="243">
        <f t="shared" si="62"/>
        <v>0</v>
      </c>
      <c r="H268" s="243">
        <f t="shared" si="62"/>
        <v>0</v>
      </c>
      <c r="I268" s="243">
        <f t="shared" si="62"/>
        <v>0</v>
      </c>
      <c r="J268" s="243">
        <f t="shared" si="62"/>
        <v>0</v>
      </c>
      <c r="K268" s="243">
        <f t="shared" si="62"/>
        <v>577.5</v>
      </c>
    </row>
    <row r="270" spans="1:11" ht="13" x14ac:dyDescent="0.25">
      <c r="A270" s="249" t="s">
        <v>2060</v>
      </c>
      <c r="B270" s="249"/>
      <c r="C270" s="249"/>
      <c r="D270" s="249"/>
      <c r="E270" s="249"/>
      <c r="F270" s="249"/>
      <c r="G270" s="249"/>
      <c r="H270" s="249"/>
      <c r="I270" s="249"/>
      <c r="J270" s="249"/>
      <c r="K270" s="249"/>
    </row>
    <row r="271" spans="1:11" x14ac:dyDescent="0.25">
      <c r="A271" s="239">
        <v>44682</v>
      </c>
      <c r="B271" s="239">
        <v>44707</v>
      </c>
      <c r="C271" s="240" t="s">
        <v>2061</v>
      </c>
      <c r="D271" s="240" t="s">
        <v>2062</v>
      </c>
      <c r="E271" s="241">
        <v>330</v>
      </c>
      <c r="F271" s="241">
        <v>0</v>
      </c>
      <c r="G271" s="241">
        <v>0</v>
      </c>
      <c r="H271" s="241">
        <v>0</v>
      </c>
      <c r="I271" s="241">
        <v>0</v>
      </c>
      <c r="J271" s="241">
        <v>0</v>
      </c>
      <c r="K271" s="241">
        <v>330</v>
      </c>
    </row>
    <row r="272" spans="1:11" x14ac:dyDescent="0.25">
      <c r="A272" s="242" t="s">
        <v>2063</v>
      </c>
      <c r="B272" s="242"/>
      <c r="C272" s="242"/>
      <c r="D272" s="242"/>
      <c r="E272" s="243">
        <f t="shared" ref="E272:K272" si="63">E271</f>
        <v>330</v>
      </c>
      <c r="F272" s="243">
        <f t="shared" si="63"/>
        <v>0</v>
      </c>
      <c r="G272" s="243">
        <f t="shared" si="63"/>
        <v>0</v>
      </c>
      <c r="H272" s="243">
        <f t="shared" si="63"/>
        <v>0</v>
      </c>
      <c r="I272" s="243">
        <f t="shared" si="63"/>
        <v>0</v>
      </c>
      <c r="J272" s="243">
        <f t="shared" si="63"/>
        <v>0</v>
      </c>
      <c r="K272" s="243">
        <f t="shared" si="63"/>
        <v>330</v>
      </c>
    </row>
    <row r="274" spans="1:11" ht="13" x14ac:dyDescent="0.25">
      <c r="A274" s="249" t="s">
        <v>2064</v>
      </c>
      <c r="B274" s="249"/>
      <c r="C274" s="249"/>
      <c r="D274" s="249"/>
      <c r="E274" s="249"/>
      <c r="F274" s="249"/>
      <c r="G274" s="249"/>
      <c r="H274" s="249"/>
      <c r="I274" s="249"/>
      <c r="J274" s="249"/>
      <c r="K274" s="249"/>
    </row>
    <row r="275" spans="1:11" x14ac:dyDescent="0.25">
      <c r="A275" s="239">
        <v>44682</v>
      </c>
      <c r="B275" s="239">
        <v>44707</v>
      </c>
      <c r="C275" s="240" t="s">
        <v>2065</v>
      </c>
      <c r="D275" s="240" t="s">
        <v>2066</v>
      </c>
      <c r="E275" s="241">
        <v>2686.2</v>
      </c>
      <c r="F275" s="241">
        <v>0</v>
      </c>
      <c r="G275" s="241">
        <v>0</v>
      </c>
      <c r="H275" s="241">
        <v>0</v>
      </c>
      <c r="I275" s="241">
        <v>0</v>
      </c>
      <c r="J275" s="241">
        <v>0</v>
      </c>
      <c r="K275" s="241">
        <v>2686.2</v>
      </c>
    </row>
    <row r="276" spans="1:11" x14ac:dyDescent="0.25">
      <c r="A276" s="242" t="s">
        <v>2067</v>
      </c>
      <c r="B276" s="242"/>
      <c r="C276" s="242"/>
      <c r="D276" s="242"/>
      <c r="E276" s="243">
        <f t="shared" ref="E276:K276" si="64">E275</f>
        <v>2686.2</v>
      </c>
      <c r="F276" s="243">
        <f t="shared" si="64"/>
        <v>0</v>
      </c>
      <c r="G276" s="243">
        <f t="shared" si="64"/>
        <v>0</v>
      </c>
      <c r="H276" s="243">
        <f t="shared" si="64"/>
        <v>0</v>
      </c>
      <c r="I276" s="243">
        <f t="shared" si="64"/>
        <v>0</v>
      </c>
      <c r="J276" s="243">
        <f t="shared" si="64"/>
        <v>0</v>
      </c>
      <c r="K276" s="243">
        <f t="shared" si="64"/>
        <v>2686.2</v>
      </c>
    </row>
    <row r="278" spans="1:11" ht="13" x14ac:dyDescent="0.25">
      <c r="A278" s="249" t="s">
        <v>2068</v>
      </c>
      <c r="B278" s="249"/>
      <c r="C278" s="249"/>
      <c r="D278" s="249"/>
      <c r="E278" s="249"/>
      <c r="F278" s="249"/>
      <c r="G278" s="249"/>
      <c r="H278" s="249"/>
      <c r="I278" s="249"/>
      <c r="J278" s="249"/>
      <c r="K278" s="249"/>
    </row>
    <row r="279" spans="1:11" x14ac:dyDescent="0.25">
      <c r="A279" s="239">
        <v>44292</v>
      </c>
      <c r="B279" s="239">
        <v>44292</v>
      </c>
      <c r="C279" s="240" t="s">
        <v>2069</v>
      </c>
      <c r="D279" s="240" t="s">
        <v>2070</v>
      </c>
      <c r="E279" s="241">
        <v>0</v>
      </c>
      <c r="F279" s="241">
        <v>0</v>
      </c>
      <c r="G279" s="241">
        <v>0</v>
      </c>
      <c r="H279" s="241">
        <v>0</v>
      </c>
      <c r="I279" s="241">
        <v>0</v>
      </c>
      <c r="J279" s="241">
        <v>-1887.6</v>
      </c>
      <c r="K279" s="241">
        <v>-1887.6</v>
      </c>
    </row>
    <row r="280" spans="1:11" x14ac:dyDescent="0.25">
      <c r="A280" s="239">
        <v>44682</v>
      </c>
      <c r="B280" s="239">
        <v>44707</v>
      </c>
      <c r="C280" s="240" t="s">
        <v>2071</v>
      </c>
      <c r="D280" s="240" t="s">
        <v>2072</v>
      </c>
      <c r="E280" s="241">
        <v>680.35</v>
      </c>
      <c r="F280" s="241">
        <v>0</v>
      </c>
      <c r="G280" s="241">
        <v>0</v>
      </c>
      <c r="H280" s="241">
        <v>0</v>
      </c>
      <c r="I280" s="241">
        <v>0</v>
      </c>
      <c r="J280" s="241">
        <v>0</v>
      </c>
      <c r="K280" s="241">
        <v>680.35</v>
      </c>
    </row>
    <row r="281" spans="1:11" x14ac:dyDescent="0.25">
      <c r="A281" s="242" t="s">
        <v>2073</v>
      </c>
      <c r="B281" s="242"/>
      <c r="C281" s="242"/>
      <c r="D281" s="242"/>
      <c r="E281" s="243">
        <f t="shared" ref="E281:K281" si="65">SUM(E279:E280)</f>
        <v>680.35</v>
      </c>
      <c r="F281" s="243">
        <f t="shared" si="65"/>
        <v>0</v>
      </c>
      <c r="G281" s="243">
        <f t="shared" si="65"/>
        <v>0</v>
      </c>
      <c r="H281" s="243">
        <f t="shared" si="65"/>
        <v>0</v>
      </c>
      <c r="I281" s="243">
        <f t="shared" si="65"/>
        <v>0</v>
      </c>
      <c r="J281" s="243">
        <f t="shared" si="65"/>
        <v>-1887.6</v>
      </c>
      <c r="K281" s="243">
        <f t="shared" si="65"/>
        <v>-1207.25</v>
      </c>
    </row>
    <row r="283" spans="1:11" ht="13" x14ac:dyDescent="0.25">
      <c r="A283" s="249" t="s">
        <v>2074</v>
      </c>
      <c r="B283" s="249"/>
      <c r="C283" s="249"/>
      <c r="D283" s="249"/>
      <c r="E283" s="249"/>
      <c r="F283" s="249"/>
      <c r="G283" s="249"/>
      <c r="H283" s="249"/>
      <c r="I283" s="249"/>
      <c r="J283" s="249"/>
      <c r="K283" s="249"/>
    </row>
    <row r="284" spans="1:11" x14ac:dyDescent="0.25">
      <c r="A284" s="239">
        <v>44682</v>
      </c>
      <c r="B284" s="239">
        <v>44707</v>
      </c>
      <c r="C284" s="240" t="s">
        <v>2075</v>
      </c>
      <c r="D284" s="240" t="s">
        <v>1817</v>
      </c>
      <c r="E284" s="241">
        <v>337.13</v>
      </c>
      <c r="F284" s="241">
        <v>0</v>
      </c>
      <c r="G284" s="241">
        <v>0</v>
      </c>
      <c r="H284" s="241">
        <v>0</v>
      </c>
      <c r="I284" s="241">
        <v>0</v>
      </c>
      <c r="J284" s="241">
        <v>0</v>
      </c>
      <c r="K284" s="241">
        <v>337.13</v>
      </c>
    </row>
    <row r="285" spans="1:11" x14ac:dyDescent="0.25">
      <c r="A285" s="242" t="s">
        <v>2076</v>
      </c>
      <c r="B285" s="242"/>
      <c r="C285" s="242"/>
      <c r="D285" s="242"/>
      <c r="E285" s="243">
        <f t="shared" ref="E285:K285" si="66">E284</f>
        <v>337.13</v>
      </c>
      <c r="F285" s="243">
        <f t="shared" si="66"/>
        <v>0</v>
      </c>
      <c r="G285" s="243">
        <f t="shared" si="66"/>
        <v>0</v>
      </c>
      <c r="H285" s="243">
        <f t="shared" si="66"/>
        <v>0</v>
      </c>
      <c r="I285" s="243">
        <f t="shared" si="66"/>
        <v>0</v>
      </c>
      <c r="J285" s="243">
        <f t="shared" si="66"/>
        <v>0</v>
      </c>
      <c r="K285" s="243">
        <f t="shared" si="66"/>
        <v>337.13</v>
      </c>
    </row>
    <row r="287" spans="1:11" ht="13" x14ac:dyDescent="0.25">
      <c r="A287" s="249" t="s">
        <v>2077</v>
      </c>
      <c r="B287" s="249"/>
      <c r="C287" s="249"/>
      <c r="D287" s="249"/>
      <c r="E287" s="249"/>
      <c r="F287" s="249"/>
      <c r="G287" s="249"/>
      <c r="H287" s="249"/>
      <c r="I287" s="249"/>
      <c r="J287" s="249"/>
      <c r="K287" s="249"/>
    </row>
    <row r="288" spans="1:11" x14ac:dyDescent="0.25">
      <c r="A288" s="239">
        <v>44682</v>
      </c>
      <c r="B288" s="239">
        <v>44707</v>
      </c>
      <c r="C288" s="240" t="s">
        <v>2078</v>
      </c>
      <c r="D288" s="240" t="s">
        <v>1809</v>
      </c>
      <c r="E288" s="241">
        <v>330</v>
      </c>
      <c r="F288" s="241">
        <v>0</v>
      </c>
      <c r="G288" s="241">
        <v>0</v>
      </c>
      <c r="H288" s="241">
        <v>0</v>
      </c>
      <c r="I288" s="241">
        <v>0</v>
      </c>
      <c r="J288" s="241">
        <v>0</v>
      </c>
      <c r="K288" s="241">
        <v>330</v>
      </c>
    </row>
    <row r="289" spans="1:11" x14ac:dyDescent="0.25">
      <c r="A289" s="242" t="s">
        <v>2079</v>
      </c>
      <c r="B289" s="242"/>
      <c r="C289" s="242"/>
      <c r="D289" s="242"/>
      <c r="E289" s="243">
        <f t="shared" ref="E289:K289" si="67">E288</f>
        <v>330</v>
      </c>
      <c r="F289" s="243">
        <f t="shared" si="67"/>
        <v>0</v>
      </c>
      <c r="G289" s="243">
        <f t="shared" si="67"/>
        <v>0</v>
      </c>
      <c r="H289" s="243">
        <f t="shared" si="67"/>
        <v>0</v>
      </c>
      <c r="I289" s="243">
        <f t="shared" si="67"/>
        <v>0</v>
      </c>
      <c r="J289" s="243">
        <f t="shared" si="67"/>
        <v>0</v>
      </c>
      <c r="K289" s="243">
        <f t="shared" si="67"/>
        <v>330</v>
      </c>
    </row>
    <row r="291" spans="1:11" ht="13" x14ac:dyDescent="0.25">
      <c r="A291" s="249" t="s">
        <v>2080</v>
      </c>
      <c r="B291" s="249"/>
      <c r="C291" s="249"/>
      <c r="D291" s="249"/>
      <c r="E291" s="249"/>
      <c r="F291" s="249"/>
      <c r="G291" s="249"/>
      <c r="H291" s="249"/>
      <c r="I291" s="249"/>
      <c r="J291" s="249"/>
      <c r="K291" s="249"/>
    </row>
    <row r="292" spans="1:11" x14ac:dyDescent="0.25">
      <c r="A292" s="239">
        <v>44682</v>
      </c>
      <c r="B292" s="239">
        <v>44707</v>
      </c>
      <c r="C292" s="240" t="s">
        <v>2081</v>
      </c>
      <c r="D292" s="240" t="s">
        <v>2082</v>
      </c>
      <c r="E292" s="241">
        <v>1652.75</v>
      </c>
      <c r="F292" s="241">
        <v>0</v>
      </c>
      <c r="G292" s="241">
        <v>0</v>
      </c>
      <c r="H292" s="241">
        <v>0</v>
      </c>
      <c r="I292" s="241">
        <v>0</v>
      </c>
      <c r="J292" s="241">
        <v>0</v>
      </c>
      <c r="K292" s="241">
        <v>1652.75</v>
      </c>
    </row>
    <row r="293" spans="1:11" x14ac:dyDescent="0.25">
      <c r="A293" s="242" t="s">
        <v>2083</v>
      </c>
      <c r="B293" s="242"/>
      <c r="C293" s="242"/>
      <c r="D293" s="242"/>
      <c r="E293" s="243">
        <f t="shared" ref="E293:K293" si="68">E292</f>
        <v>1652.75</v>
      </c>
      <c r="F293" s="243">
        <f t="shared" si="68"/>
        <v>0</v>
      </c>
      <c r="G293" s="243">
        <f t="shared" si="68"/>
        <v>0</v>
      </c>
      <c r="H293" s="243">
        <f t="shared" si="68"/>
        <v>0</v>
      </c>
      <c r="I293" s="243">
        <f t="shared" si="68"/>
        <v>0</v>
      </c>
      <c r="J293" s="243">
        <f t="shared" si="68"/>
        <v>0</v>
      </c>
      <c r="K293" s="243">
        <f t="shared" si="68"/>
        <v>1652.75</v>
      </c>
    </row>
    <row r="295" spans="1:11" ht="13" x14ac:dyDescent="0.25">
      <c r="A295" s="249" t="s">
        <v>2084</v>
      </c>
      <c r="B295" s="249"/>
      <c r="C295" s="249"/>
      <c r="D295" s="249"/>
      <c r="E295" s="249"/>
      <c r="F295" s="249"/>
      <c r="G295" s="249"/>
      <c r="H295" s="249"/>
      <c r="I295" s="249"/>
      <c r="J295" s="249"/>
      <c r="K295" s="249"/>
    </row>
    <row r="296" spans="1:11" x14ac:dyDescent="0.25">
      <c r="A296" s="239">
        <v>44384</v>
      </c>
      <c r="B296" s="239">
        <v>44384</v>
      </c>
      <c r="C296" s="240" t="s">
        <v>2085</v>
      </c>
      <c r="D296" s="240" t="s">
        <v>2086</v>
      </c>
      <c r="E296" s="241">
        <v>0</v>
      </c>
      <c r="F296" s="241">
        <v>0</v>
      </c>
      <c r="G296" s="241">
        <v>0</v>
      </c>
      <c r="H296" s="241">
        <v>0</v>
      </c>
      <c r="I296" s="241">
        <v>0</v>
      </c>
      <c r="J296" s="241">
        <v>-1237.5</v>
      </c>
      <c r="K296" s="241">
        <v>-1237.5</v>
      </c>
    </row>
    <row r="297" spans="1:11" x14ac:dyDescent="0.25">
      <c r="A297" s="239">
        <v>44652</v>
      </c>
      <c r="B297" s="239">
        <v>44677</v>
      </c>
      <c r="C297" s="240" t="s">
        <v>2087</v>
      </c>
      <c r="D297" s="240" t="s">
        <v>1966</v>
      </c>
      <c r="E297" s="241">
        <v>0</v>
      </c>
      <c r="F297" s="241">
        <v>990</v>
      </c>
      <c r="G297" s="241">
        <v>0</v>
      </c>
      <c r="H297" s="241">
        <v>0</v>
      </c>
      <c r="I297" s="241">
        <v>0</v>
      </c>
      <c r="J297" s="241">
        <v>0</v>
      </c>
      <c r="K297" s="241">
        <v>990</v>
      </c>
    </row>
    <row r="298" spans="1:11" x14ac:dyDescent="0.25">
      <c r="A298" s="242" t="s">
        <v>2088</v>
      </c>
      <c r="B298" s="242"/>
      <c r="C298" s="242"/>
      <c r="D298" s="242"/>
      <c r="E298" s="243">
        <f t="shared" ref="E298:K298" si="69">SUM(E296:E297)</f>
        <v>0</v>
      </c>
      <c r="F298" s="243">
        <f t="shared" si="69"/>
        <v>990</v>
      </c>
      <c r="G298" s="243">
        <f t="shared" si="69"/>
        <v>0</v>
      </c>
      <c r="H298" s="243">
        <f t="shared" si="69"/>
        <v>0</v>
      </c>
      <c r="I298" s="243">
        <f t="shared" si="69"/>
        <v>0</v>
      </c>
      <c r="J298" s="243">
        <f t="shared" si="69"/>
        <v>-1237.5</v>
      </c>
      <c r="K298" s="243">
        <f t="shared" si="69"/>
        <v>-247.5</v>
      </c>
    </row>
    <row r="300" spans="1:11" ht="13" x14ac:dyDescent="0.25">
      <c r="A300" s="249" t="s">
        <v>2089</v>
      </c>
      <c r="B300" s="249"/>
      <c r="C300" s="249"/>
      <c r="D300" s="249"/>
      <c r="E300" s="249"/>
      <c r="F300" s="249"/>
      <c r="G300" s="249"/>
      <c r="H300" s="249"/>
      <c r="I300" s="249"/>
      <c r="J300" s="249"/>
      <c r="K300" s="249"/>
    </row>
    <row r="301" spans="1:11" x14ac:dyDescent="0.25">
      <c r="A301" s="239">
        <v>44682</v>
      </c>
      <c r="B301" s="239">
        <v>44697</v>
      </c>
      <c r="C301" s="240" t="s">
        <v>2090</v>
      </c>
      <c r="D301" s="240" t="s">
        <v>1854</v>
      </c>
      <c r="E301" s="241">
        <v>526.9</v>
      </c>
      <c r="F301" s="241">
        <v>0</v>
      </c>
      <c r="G301" s="241">
        <v>0</v>
      </c>
      <c r="H301" s="241">
        <v>0</v>
      </c>
      <c r="I301" s="241">
        <v>0</v>
      </c>
      <c r="J301" s="241">
        <v>0</v>
      </c>
      <c r="K301" s="241">
        <v>526.9</v>
      </c>
    </row>
    <row r="302" spans="1:11" x14ac:dyDescent="0.25">
      <c r="A302" s="242" t="s">
        <v>2091</v>
      </c>
      <c r="B302" s="242"/>
      <c r="C302" s="242"/>
      <c r="D302" s="242"/>
      <c r="E302" s="243">
        <f t="shared" ref="E302:K302" si="70">E301</f>
        <v>526.9</v>
      </c>
      <c r="F302" s="243">
        <f t="shared" si="70"/>
        <v>0</v>
      </c>
      <c r="G302" s="243">
        <f t="shared" si="70"/>
        <v>0</v>
      </c>
      <c r="H302" s="243">
        <f t="shared" si="70"/>
        <v>0</v>
      </c>
      <c r="I302" s="243">
        <f t="shared" si="70"/>
        <v>0</v>
      </c>
      <c r="J302" s="243">
        <f t="shared" si="70"/>
        <v>0</v>
      </c>
      <c r="K302" s="243">
        <f t="shared" si="70"/>
        <v>526.9</v>
      </c>
    </row>
    <row r="304" spans="1:11" ht="26" x14ac:dyDescent="0.25">
      <c r="A304" s="249" t="s">
        <v>2092</v>
      </c>
      <c r="B304" s="249"/>
      <c r="C304" s="249"/>
      <c r="D304" s="249"/>
      <c r="E304" s="249"/>
      <c r="F304" s="249"/>
      <c r="G304" s="249"/>
      <c r="H304" s="249"/>
      <c r="I304" s="249"/>
      <c r="J304" s="249"/>
      <c r="K304" s="249"/>
    </row>
    <row r="305" spans="1:11" x14ac:dyDescent="0.25">
      <c r="A305" s="239">
        <v>44682</v>
      </c>
      <c r="B305" s="239">
        <v>44707</v>
      </c>
      <c r="C305" s="240" t="s">
        <v>2093</v>
      </c>
      <c r="D305" s="240" t="s">
        <v>2062</v>
      </c>
      <c r="E305" s="241">
        <v>218.9</v>
      </c>
      <c r="F305" s="241">
        <v>0</v>
      </c>
      <c r="G305" s="241">
        <v>0</v>
      </c>
      <c r="H305" s="241">
        <v>0</v>
      </c>
      <c r="I305" s="241">
        <v>0</v>
      </c>
      <c r="J305" s="241">
        <v>0</v>
      </c>
      <c r="K305" s="241">
        <v>218.9</v>
      </c>
    </row>
    <row r="306" spans="1:11" x14ac:dyDescent="0.25">
      <c r="A306" s="242" t="s">
        <v>2094</v>
      </c>
      <c r="B306" s="242"/>
      <c r="C306" s="242"/>
      <c r="D306" s="242"/>
      <c r="E306" s="243">
        <f t="shared" ref="E306:K306" si="71">E305</f>
        <v>218.9</v>
      </c>
      <c r="F306" s="243">
        <f t="shared" si="71"/>
        <v>0</v>
      </c>
      <c r="G306" s="243">
        <f t="shared" si="71"/>
        <v>0</v>
      </c>
      <c r="H306" s="243">
        <f t="shared" si="71"/>
        <v>0</v>
      </c>
      <c r="I306" s="243">
        <f t="shared" si="71"/>
        <v>0</v>
      </c>
      <c r="J306" s="243">
        <f t="shared" si="71"/>
        <v>0</v>
      </c>
      <c r="K306" s="243">
        <f t="shared" si="71"/>
        <v>218.9</v>
      </c>
    </row>
    <row r="308" spans="1:11" ht="13" x14ac:dyDescent="0.25">
      <c r="A308" s="249" t="s">
        <v>2095</v>
      </c>
      <c r="B308" s="249"/>
      <c r="C308" s="249"/>
      <c r="D308" s="249"/>
      <c r="E308" s="249"/>
      <c r="F308" s="249"/>
      <c r="G308" s="249"/>
      <c r="H308" s="249"/>
      <c r="I308" s="249"/>
      <c r="J308" s="249"/>
      <c r="K308" s="249"/>
    </row>
    <row r="309" spans="1:11" x14ac:dyDescent="0.25">
      <c r="A309" s="239">
        <v>44682</v>
      </c>
      <c r="B309" s="239">
        <v>44707</v>
      </c>
      <c r="C309" s="240" t="s">
        <v>2096</v>
      </c>
      <c r="D309" s="240" t="s">
        <v>2097</v>
      </c>
      <c r="E309" s="241">
        <v>2471.6999999999998</v>
      </c>
      <c r="F309" s="241">
        <v>0</v>
      </c>
      <c r="G309" s="241">
        <v>0</v>
      </c>
      <c r="H309" s="241">
        <v>0</v>
      </c>
      <c r="I309" s="241">
        <v>0</v>
      </c>
      <c r="J309" s="241">
        <v>0</v>
      </c>
      <c r="K309" s="241">
        <v>2471.6999999999998</v>
      </c>
    </row>
    <row r="310" spans="1:11" x14ac:dyDescent="0.25">
      <c r="A310" s="242" t="s">
        <v>2098</v>
      </c>
      <c r="B310" s="242"/>
      <c r="C310" s="242"/>
      <c r="D310" s="242"/>
      <c r="E310" s="243">
        <f t="shared" ref="E310:K310" si="72">E309</f>
        <v>2471.6999999999998</v>
      </c>
      <c r="F310" s="243">
        <f t="shared" si="72"/>
        <v>0</v>
      </c>
      <c r="G310" s="243">
        <f t="shared" si="72"/>
        <v>0</v>
      </c>
      <c r="H310" s="243">
        <f t="shared" si="72"/>
        <v>0</v>
      </c>
      <c r="I310" s="243">
        <f t="shared" si="72"/>
        <v>0</v>
      </c>
      <c r="J310" s="243">
        <f t="shared" si="72"/>
        <v>0</v>
      </c>
      <c r="K310" s="243">
        <f t="shared" si="72"/>
        <v>2471.6999999999998</v>
      </c>
    </row>
    <row r="312" spans="1:11" ht="13" x14ac:dyDescent="0.25">
      <c r="A312" s="249" t="s">
        <v>2099</v>
      </c>
      <c r="B312" s="249"/>
      <c r="C312" s="249"/>
      <c r="D312" s="249"/>
      <c r="E312" s="249"/>
      <c r="F312" s="249"/>
      <c r="G312" s="249"/>
      <c r="H312" s="249"/>
      <c r="I312" s="249"/>
      <c r="J312" s="249"/>
      <c r="K312" s="249"/>
    </row>
    <row r="313" spans="1:11" x14ac:dyDescent="0.25">
      <c r="A313" s="239">
        <v>44652</v>
      </c>
      <c r="B313" s="239">
        <v>44677</v>
      </c>
      <c r="C313" s="240" t="s">
        <v>2100</v>
      </c>
      <c r="D313" s="240" t="s">
        <v>2101</v>
      </c>
      <c r="E313" s="241">
        <v>0</v>
      </c>
      <c r="F313" s="241">
        <v>153.44999999999999</v>
      </c>
      <c r="G313" s="241">
        <v>0</v>
      </c>
      <c r="H313" s="241">
        <v>0</v>
      </c>
      <c r="I313" s="241">
        <v>0</v>
      </c>
      <c r="J313" s="241">
        <v>0</v>
      </c>
      <c r="K313" s="241">
        <v>153.44999999999999</v>
      </c>
    </row>
    <row r="314" spans="1:11" x14ac:dyDescent="0.25">
      <c r="A314" s="239">
        <v>44652</v>
      </c>
      <c r="B314" s="239">
        <v>44677</v>
      </c>
      <c r="C314" s="240" t="s">
        <v>2102</v>
      </c>
      <c r="D314" s="240" t="s">
        <v>2103</v>
      </c>
      <c r="E314" s="241">
        <v>0</v>
      </c>
      <c r="F314" s="241">
        <v>205.77</v>
      </c>
      <c r="G314" s="241">
        <v>0</v>
      </c>
      <c r="H314" s="241">
        <v>0</v>
      </c>
      <c r="I314" s="241">
        <v>0</v>
      </c>
      <c r="J314" s="241">
        <v>0</v>
      </c>
      <c r="K314" s="241">
        <v>205.77</v>
      </c>
    </row>
    <row r="315" spans="1:11" x14ac:dyDescent="0.25">
      <c r="A315" s="239">
        <v>44682</v>
      </c>
      <c r="B315" s="239">
        <v>44707</v>
      </c>
      <c r="C315" s="240" t="s">
        <v>2104</v>
      </c>
      <c r="D315" s="240" t="s">
        <v>2105</v>
      </c>
      <c r="E315" s="241">
        <v>153.44999999999999</v>
      </c>
      <c r="F315" s="241">
        <v>0</v>
      </c>
      <c r="G315" s="241">
        <v>0</v>
      </c>
      <c r="H315" s="241">
        <v>0</v>
      </c>
      <c r="I315" s="241">
        <v>0</v>
      </c>
      <c r="J315" s="241">
        <v>0</v>
      </c>
      <c r="K315" s="241">
        <v>153.44999999999999</v>
      </c>
    </row>
    <row r="316" spans="1:11" x14ac:dyDescent="0.25">
      <c r="A316" s="239">
        <v>44682</v>
      </c>
      <c r="B316" s="239">
        <v>44707</v>
      </c>
      <c r="C316" s="240" t="s">
        <v>2106</v>
      </c>
      <c r="D316" s="240" t="s">
        <v>2107</v>
      </c>
      <c r="E316" s="241">
        <v>205.77</v>
      </c>
      <c r="F316" s="241">
        <v>0</v>
      </c>
      <c r="G316" s="241">
        <v>0</v>
      </c>
      <c r="H316" s="241">
        <v>0</v>
      </c>
      <c r="I316" s="241">
        <v>0</v>
      </c>
      <c r="J316" s="241">
        <v>0</v>
      </c>
      <c r="K316" s="241">
        <v>205.77</v>
      </c>
    </row>
    <row r="317" spans="1:11" x14ac:dyDescent="0.25">
      <c r="A317" s="242" t="s">
        <v>2108</v>
      </c>
      <c r="B317" s="242"/>
      <c r="C317" s="242"/>
      <c r="D317" s="242"/>
      <c r="E317" s="243">
        <f t="shared" ref="E317:K317" si="73">SUM(E313:E316)</f>
        <v>359.22</v>
      </c>
      <c r="F317" s="243">
        <f t="shared" si="73"/>
        <v>359.22</v>
      </c>
      <c r="G317" s="243">
        <f t="shared" si="73"/>
        <v>0</v>
      </c>
      <c r="H317" s="243">
        <f t="shared" si="73"/>
        <v>0</v>
      </c>
      <c r="I317" s="243">
        <f t="shared" si="73"/>
        <v>0</v>
      </c>
      <c r="J317" s="243">
        <f t="shared" si="73"/>
        <v>0</v>
      </c>
      <c r="K317" s="243">
        <f t="shared" si="73"/>
        <v>718.44</v>
      </c>
    </row>
    <row r="319" spans="1:11" ht="13" x14ac:dyDescent="0.25">
      <c r="A319" s="249" t="s">
        <v>2109</v>
      </c>
      <c r="B319" s="249"/>
      <c r="C319" s="249"/>
      <c r="D319" s="249"/>
      <c r="E319" s="249"/>
      <c r="F319" s="249"/>
      <c r="G319" s="249"/>
      <c r="H319" s="249"/>
      <c r="I319" s="249"/>
      <c r="J319" s="249"/>
      <c r="K319" s="249"/>
    </row>
    <row r="320" spans="1:11" x14ac:dyDescent="0.25">
      <c r="A320" s="239">
        <v>44682</v>
      </c>
      <c r="B320" s="239">
        <v>44707</v>
      </c>
      <c r="C320" s="240" t="s">
        <v>2110</v>
      </c>
      <c r="D320" s="240" t="s">
        <v>1813</v>
      </c>
      <c r="E320" s="241">
        <v>1697.3</v>
      </c>
      <c r="F320" s="241">
        <v>0</v>
      </c>
      <c r="G320" s="241">
        <v>0</v>
      </c>
      <c r="H320" s="241">
        <v>0</v>
      </c>
      <c r="I320" s="241">
        <v>0</v>
      </c>
      <c r="J320" s="241">
        <v>0</v>
      </c>
      <c r="K320" s="241">
        <v>1697.3</v>
      </c>
    </row>
    <row r="321" spans="1:11" x14ac:dyDescent="0.25">
      <c r="A321" s="242" t="s">
        <v>2111</v>
      </c>
      <c r="B321" s="242"/>
      <c r="C321" s="242"/>
      <c r="D321" s="242"/>
      <c r="E321" s="243">
        <f t="shared" ref="E321:K321" si="74">E320</f>
        <v>1697.3</v>
      </c>
      <c r="F321" s="243">
        <f t="shared" si="74"/>
        <v>0</v>
      </c>
      <c r="G321" s="243">
        <f t="shared" si="74"/>
        <v>0</v>
      </c>
      <c r="H321" s="243">
        <f t="shared" si="74"/>
        <v>0</v>
      </c>
      <c r="I321" s="243">
        <f t="shared" si="74"/>
        <v>0</v>
      </c>
      <c r="J321" s="243">
        <f t="shared" si="74"/>
        <v>0</v>
      </c>
      <c r="K321" s="243">
        <f t="shared" si="74"/>
        <v>1697.3</v>
      </c>
    </row>
    <row r="323" spans="1:11" ht="13" x14ac:dyDescent="0.25">
      <c r="A323" s="249" t="s">
        <v>2112</v>
      </c>
      <c r="B323" s="249"/>
      <c r="C323" s="249"/>
      <c r="D323" s="249"/>
      <c r="E323" s="249"/>
      <c r="F323" s="249"/>
      <c r="G323" s="249"/>
      <c r="H323" s="249"/>
      <c r="I323" s="249"/>
      <c r="J323" s="249"/>
      <c r="K323" s="249"/>
    </row>
    <row r="324" spans="1:11" x14ac:dyDescent="0.25">
      <c r="A324" s="239">
        <v>44670</v>
      </c>
      <c r="B324" s="239">
        <v>44684</v>
      </c>
      <c r="C324" s="240" t="s">
        <v>2113</v>
      </c>
      <c r="D324" s="240" t="s">
        <v>2114</v>
      </c>
      <c r="E324" s="241">
        <v>0</v>
      </c>
      <c r="F324" s="241">
        <v>177.65</v>
      </c>
      <c r="G324" s="241">
        <v>0</v>
      </c>
      <c r="H324" s="241">
        <v>0</v>
      </c>
      <c r="I324" s="241">
        <v>0</v>
      </c>
      <c r="J324" s="241">
        <v>0</v>
      </c>
      <c r="K324" s="241">
        <v>177.65</v>
      </c>
    </row>
    <row r="325" spans="1:11" x14ac:dyDescent="0.25">
      <c r="A325" s="239">
        <v>44682</v>
      </c>
      <c r="B325" s="239">
        <v>44707</v>
      </c>
      <c r="C325" s="240" t="s">
        <v>2115</v>
      </c>
      <c r="D325" s="240" t="s">
        <v>2062</v>
      </c>
      <c r="E325" s="241">
        <v>1044.51</v>
      </c>
      <c r="F325" s="241">
        <v>0</v>
      </c>
      <c r="G325" s="241">
        <v>0</v>
      </c>
      <c r="H325" s="241">
        <v>0</v>
      </c>
      <c r="I325" s="241">
        <v>0</v>
      </c>
      <c r="J325" s="241">
        <v>0</v>
      </c>
      <c r="K325" s="241">
        <v>1044.51</v>
      </c>
    </row>
    <row r="326" spans="1:11" x14ac:dyDescent="0.25">
      <c r="A326" s="242" t="s">
        <v>2116</v>
      </c>
      <c r="B326" s="242"/>
      <c r="C326" s="242"/>
      <c r="D326" s="242"/>
      <c r="E326" s="243">
        <f t="shared" ref="E326:K326" si="75">SUM(E324:E325)</f>
        <v>1044.51</v>
      </c>
      <c r="F326" s="243">
        <f t="shared" si="75"/>
        <v>177.65</v>
      </c>
      <c r="G326" s="243">
        <f t="shared" si="75"/>
        <v>0</v>
      </c>
      <c r="H326" s="243">
        <f t="shared" si="75"/>
        <v>0</v>
      </c>
      <c r="I326" s="243">
        <f t="shared" si="75"/>
        <v>0</v>
      </c>
      <c r="J326" s="243">
        <f t="shared" si="75"/>
        <v>0</v>
      </c>
      <c r="K326" s="243">
        <f t="shared" si="75"/>
        <v>1222.1600000000001</v>
      </c>
    </row>
    <row r="328" spans="1:11" ht="13" x14ac:dyDescent="0.25">
      <c r="A328" s="249" t="s">
        <v>2117</v>
      </c>
      <c r="B328" s="249"/>
      <c r="C328" s="249"/>
      <c r="D328" s="249"/>
      <c r="E328" s="249"/>
      <c r="F328" s="249"/>
      <c r="G328" s="249"/>
      <c r="H328" s="249"/>
      <c r="I328" s="249"/>
      <c r="J328" s="249"/>
      <c r="K328" s="249"/>
    </row>
    <row r="329" spans="1:11" x14ac:dyDescent="0.25">
      <c r="A329" s="239">
        <v>44050</v>
      </c>
      <c r="B329" s="239">
        <v>44050</v>
      </c>
      <c r="C329" s="240"/>
      <c r="D329" s="240" t="s">
        <v>2118</v>
      </c>
      <c r="E329" s="241">
        <v>0</v>
      </c>
      <c r="F329" s="241">
        <v>0</v>
      </c>
      <c r="G329" s="241">
        <v>0</v>
      </c>
      <c r="H329" s="241">
        <v>0</v>
      </c>
      <c r="I329" s="241">
        <v>0</v>
      </c>
      <c r="J329" s="241">
        <v>-23.22</v>
      </c>
      <c r="K329" s="241">
        <v>-23.22</v>
      </c>
    </row>
    <row r="330" spans="1:11" x14ac:dyDescent="0.25">
      <c r="A330" s="239">
        <v>44682</v>
      </c>
      <c r="B330" s="239">
        <v>44707</v>
      </c>
      <c r="C330" s="240" t="s">
        <v>2119</v>
      </c>
      <c r="D330" s="240" t="s">
        <v>2120</v>
      </c>
      <c r="E330" s="241">
        <v>78.930000000000007</v>
      </c>
      <c r="F330" s="241">
        <v>0</v>
      </c>
      <c r="G330" s="241">
        <v>0</v>
      </c>
      <c r="H330" s="241">
        <v>0</v>
      </c>
      <c r="I330" s="241">
        <v>0</v>
      </c>
      <c r="J330" s="241">
        <v>0</v>
      </c>
      <c r="K330" s="241">
        <v>78.930000000000007</v>
      </c>
    </row>
    <row r="331" spans="1:11" x14ac:dyDescent="0.25">
      <c r="A331" s="242" t="s">
        <v>2121</v>
      </c>
      <c r="B331" s="242"/>
      <c r="C331" s="242"/>
      <c r="D331" s="242"/>
      <c r="E331" s="243">
        <f t="shared" ref="E331:K331" si="76">SUM(E329:E330)</f>
        <v>78.930000000000007</v>
      </c>
      <c r="F331" s="243">
        <f t="shared" si="76"/>
        <v>0</v>
      </c>
      <c r="G331" s="243">
        <f t="shared" si="76"/>
        <v>0</v>
      </c>
      <c r="H331" s="243">
        <f t="shared" si="76"/>
        <v>0</v>
      </c>
      <c r="I331" s="243">
        <f t="shared" si="76"/>
        <v>0</v>
      </c>
      <c r="J331" s="243">
        <f t="shared" si="76"/>
        <v>-23.22</v>
      </c>
      <c r="K331" s="243">
        <f t="shared" si="76"/>
        <v>55.710000000000008</v>
      </c>
    </row>
    <row r="333" spans="1:11" ht="13" x14ac:dyDescent="0.25">
      <c r="A333" s="249" t="s">
        <v>2122</v>
      </c>
      <c r="B333" s="249"/>
      <c r="C333" s="249"/>
      <c r="D333" s="249"/>
      <c r="E333" s="249"/>
      <c r="F333" s="249"/>
      <c r="G333" s="249"/>
      <c r="H333" s="249"/>
      <c r="I333" s="249"/>
      <c r="J333" s="249"/>
      <c r="K333" s="249"/>
    </row>
    <row r="334" spans="1:11" x14ac:dyDescent="0.25">
      <c r="A334" s="239">
        <v>44682</v>
      </c>
      <c r="B334" s="239">
        <v>44707</v>
      </c>
      <c r="C334" s="240" t="s">
        <v>2123</v>
      </c>
      <c r="D334" s="240" t="s">
        <v>2124</v>
      </c>
      <c r="E334" s="241">
        <v>447.62</v>
      </c>
      <c r="F334" s="241">
        <v>0</v>
      </c>
      <c r="G334" s="241">
        <v>0</v>
      </c>
      <c r="H334" s="241">
        <v>0</v>
      </c>
      <c r="I334" s="241">
        <v>0</v>
      </c>
      <c r="J334" s="241">
        <v>0</v>
      </c>
      <c r="K334" s="241">
        <v>447.62</v>
      </c>
    </row>
    <row r="335" spans="1:11" x14ac:dyDescent="0.25">
      <c r="A335" s="242" t="s">
        <v>2125</v>
      </c>
      <c r="B335" s="242"/>
      <c r="C335" s="242"/>
      <c r="D335" s="242"/>
      <c r="E335" s="243">
        <f t="shared" ref="E335:K335" si="77">E334</f>
        <v>447.62</v>
      </c>
      <c r="F335" s="243">
        <f t="shared" si="77"/>
        <v>0</v>
      </c>
      <c r="G335" s="243">
        <f t="shared" si="77"/>
        <v>0</v>
      </c>
      <c r="H335" s="243">
        <f t="shared" si="77"/>
        <v>0</v>
      </c>
      <c r="I335" s="243">
        <f t="shared" si="77"/>
        <v>0</v>
      </c>
      <c r="J335" s="243">
        <f t="shared" si="77"/>
        <v>0</v>
      </c>
      <c r="K335" s="243">
        <f t="shared" si="77"/>
        <v>447.62</v>
      </c>
    </row>
    <row r="337" spans="1:11" ht="13" x14ac:dyDescent="0.25">
      <c r="A337" s="249" t="s">
        <v>2126</v>
      </c>
      <c r="B337" s="249"/>
      <c r="C337" s="249"/>
      <c r="D337" s="249"/>
      <c r="E337" s="249"/>
      <c r="F337" s="249"/>
      <c r="G337" s="249"/>
      <c r="H337" s="249"/>
      <c r="I337" s="249"/>
      <c r="J337" s="249"/>
      <c r="K337" s="249"/>
    </row>
    <row r="338" spans="1:11" x14ac:dyDescent="0.25">
      <c r="A338" s="239">
        <v>44593</v>
      </c>
      <c r="B338" s="239">
        <v>44706</v>
      </c>
      <c r="C338" s="240" t="s">
        <v>2127</v>
      </c>
      <c r="D338" s="240" t="s">
        <v>512</v>
      </c>
      <c r="E338" s="241">
        <v>9000</v>
      </c>
      <c r="F338" s="241">
        <v>0</v>
      </c>
      <c r="G338" s="241">
        <v>0</v>
      </c>
      <c r="H338" s="241">
        <v>0</v>
      </c>
      <c r="I338" s="241">
        <v>0</v>
      </c>
      <c r="J338" s="241">
        <v>0</v>
      </c>
      <c r="K338" s="241">
        <v>9000</v>
      </c>
    </row>
    <row r="339" spans="1:11" x14ac:dyDescent="0.25">
      <c r="A339" s="242" t="s">
        <v>2128</v>
      </c>
      <c r="B339" s="242"/>
      <c r="C339" s="242"/>
      <c r="D339" s="242"/>
      <c r="E339" s="243">
        <f t="shared" ref="E339:K339" si="78">E338</f>
        <v>9000</v>
      </c>
      <c r="F339" s="243">
        <f t="shared" si="78"/>
        <v>0</v>
      </c>
      <c r="G339" s="243">
        <f t="shared" si="78"/>
        <v>0</v>
      </c>
      <c r="H339" s="243">
        <f t="shared" si="78"/>
        <v>0</v>
      </c>
      <c r="I339" s="243">
        <f t="shared" si="78"/>
        <v>0</v>
      </c>
      <c r="J339" s="243">
        <f t="shared" si="78"/>
        <v>0</v>
      </c>
      <c r="K339" s="243">
        <f t="shared" si="78"/>
        <v>9000</v>
      </c>
    </row>
    <row r="341" spans="1:11" ht="26" x14ac:dyDescent="0.25">
      <c r="A341" s="249" t="s">
        <v>2129</v>
      </c>
      <c r="B341" s="249"/>
      <c r="C341" s="249"/>
      <c r="D341" s="249"/>
      <c r="E341" s="249"/>
      <c r="F341" s="249"/>
      <c r="G341" s="249"/>
      <c r="H341" s="249"/>
      <c r="I341" s="249"/>
      <c r="J341" s="249"/>
      <c r="K341" s="249"/>
    </row>
    <row r="342" spans="1:11" x14ac:dyDescent="0.25">
      <c r="A342" s="239">
        <v>44680</v>
      </c>
      <c r="B342" s="239">
        <v>44680</v>
      </c>
      <c r="C342" s="240"/>
      <c r="D342" s="240" t="s">
        <v>2130</v>
      </c>
      <c r="E342" s="241">
        <v>0</v>
      </c>
      <c r="F342" s="241">
        <v>-133.65</v>
      </c>
      <c r="G342" s="241">
        <v>0</v>
      </c>
      <c r="H342" s="241">
        <v>0</v>
      </c>
      <c r="I342" s="241">
        <v>0</v>
      </c>
      <c r="J342" s="241">
        <v>0</v>
      </c>
      <c r="K342" s="241">
        <v>-133.65</v>
      </c>
    </row>
    <row r="343" spans="1:11" x14ac:dyDescent="0.25">
      <c r="A343" s="242" t="s">
        <v>2131</v>
      </c>
      <c r="B343" s="242"/>
      <c r="C343" s="242"/>
      <c r="D343" s="242"/>
      <c r="E343" s="243">
        <f t="shared" ref="E343:K343" si="79">E342</f>
        <v>0</v>
      </c>
      <c r="F343" s="243">
        <f t="shared" si="79"/>
        <v>-133.65</v>
      </c>
      <c r="G343" s="243">
        <f t="shared" si="79"/>
        <v>0</v>
      </c>
      <c r="H343" s="243">
        <f t="shared" si="79"/>
        <v>0</v>
      </c>
      <c r="I343" s="243">
        <f t="shared" si="79"/>
        <v>0</v>
      </c>
      <c r="J343" s="243">
        <f t="shared" si="79"/>
        <v>0</v>
      </c>
      <c r="K343" s="243">
        <f t="shared" si="79"/>
        <v>-133.65</v>
      </c>
    </row>
    <row r="345" spans="1:11" ht="26" x14ac:dyDescent="0.25">
      <c r="A345" s="249" t="s">
        <v>2132</v>
      </c>
      <c r="B345" s="249"/>
      <c r="C345" s="249"/>
      <c r="D345" s="249"/>
      <c r="E345" s="249"/>
      <c r="F345" s="249"/>
      <c r="G345" s="249"/>
      <c r="H345" s="249"/>
      <c r="I345" s="249"/>
      <c r="J345" s="249"/>
      <c r="K345" s="249"/>
    </row>
    <row r="346" spans="1:11" x14ac:dyDescent="0.25">
      <c r="A346" s="239">
        <v>44678</v>
      </c>
      <c r="B346" s="239">
        <v>44692</v>
      </c>
      <c r="C346" s="240" t="s">
        <v>2133</v>
      </c>
      <c r="D346" s="240" t="s">
        <v>2134</v>
      </c>
      <c r="E346" s="241">
        <v>1015.3</v>
      </c>
      <c r="F346" s="241">
        <v>0</v>
      </c>
      <c r="G346" s="241">
        <v>0</v>
      </c>
      <c r="H346" s="241">
        <v>0</v>
      </c>
      <c r="I346" s="241">
        <v>0</v>
      </c>
      <c r="J346" s="241">
        <v>0</v>
      </c>
      <c r="K346" s="241">
        <v>1015.3</v>
      </c>
    </row>
    <row r="347" spans="1:11" x14ac:dyDescent="0.25">
      <c r="A347" s="242" t="s">
        <v>2135</v>
      </c>
      <c r="B347" s="242"/>
      <c r="C347" s="242"/>
      <c r="D347" s="242"/>
      <c r="E347" s="243">
        <f t="shared" ref="E347:K347" si="80">E346</f>
        <v>1015.3</v>
      </c>
      <c r="F347" s="243">
        <f t="shared" si="80"/>
        <v>0</v>
      </c>
      <c r="G347" s="243">
        <f t="shared" si="80"/>
        <v>0</v>
      </c>
      <c r="H347" s="243">
        <f t="shared" si="80"/>
        <v>0</v>
      </c>
      <c r="I347" s="243">
        <f t="shared" si="80"/>
        <v>0</v>
      </c>
      <c r="J347" s="243">
        <f t="shared" si="80"/>
        <v>0</v>
      </c>
      <c r="K347" s="243">
        <f t="shared" si="80"/>
        <v>1015.3</v>
      </c>
    </row>
    <row r="349" spans="1:11" ht="13" x14ac:dyDescent="0.25">
      <c r="A349" s="249" t="s">
        <v>2136</v>
      </c>
      <c r="B349" s="249"/>
      <c r="C349" s="249"/>
      <c r="D349" s="249"/>
      <c r="E349" s="249"/>
      <c r="F349" s="249"/>
      <c r="G349" s="249"/>
      <c r="H349" s="249"/>
      <c r="I349" s="249"/>
      <c r="J349" s="249"/>
      <c r="K349" s="249"/>
    </row>
    <row r="350" spans="1:11" x14ac:dyDescent="0.25">
      <c r="A350" s="239">
        <v>44682</v>
      </c>
      <c r="B350" s="239">
        <v>44707</v>
      </c>
      <c r="C350" s="240" t="s">
        <v>2137</v>
      </c>
      <c r="D350" s="240" t="s">
        <v>2138</v>
      </c>
      <c r="E350" s="241">
        <v>253</v>
      </c>
      <c r="F350" s="241">
        <v>0</v>
      </c>
      <c r="G350" s="241">
        <v>0</v>
      </c>
      <c r="H350" s="241">
        <v>0</v>
      </c>
      <c r="I350" s="241">
        <v>0</v>
      </c>
      <c r="J350" s="241">
        <v>0</v>
      </c>
      <c r="K350" s="241">
        <v>253</v>
      </c>
    </row>
    <row r="351" spans="1:11" x14ac:dyDescent="0.25">
      <c r="A351" s="242" t="s">
        <v>2139</v>
      </c>
      <c r="B351" s="242"/>
      <c r="C351" s="242"/>
      <c r="D351" s="242"/>
      <c r="E351" s="243">
        <f t="shared" ref="E351:K351" si="81">E350</f>
        <v>253</v>
      </c>
      <c r="F351" s="243">
        <f t="shared" si="81"/>
        <v>0</v>
      </c>
      <c r="G351" s="243">
        <f t="shared" si="81"/>
        <v>0</v>
      </c>
      <c r="H351" s="243">
        <f t="shared" si="81"/>
        <v>0</v>
      </c>
      <c r="I351" s="243">
        <f t="shared" si="81"/>
        <v>0</v>
      </c>
      <c r="J351" s="243">
        <f t="shared" si="81"/>
        <v>0</v>
      </c>
      <c r="K351" s="243">
        <f t="shared" si="81"/>
        <v>253</v>
      </c>
    </row>
    <row r="353" spans="1:11" ht="13" x14ac:dyDescent="0.25">
      <c r="A353" s="249" t="s">
        <v>2140</v>
      </c>
      <c r="B353" s="249"/>
      <c r="C353" s="249"/>
      <c r="D353" s="249"/>
      <c r="E353" s="249"/>
      <c r="F353" s="249"/>
      <c r="G353" s="249"/>
      <c r="H353" s="249"/>
      <c r="I353" s="249"/>
      <c r="J353" s="249"/>
      <c r="K353" s="249"/>
    </row>
    <row r="354" spans="1:11" x14ac:dyDescent="0.25">
      <c r="A354" s="239">
        <v>44652</v>
      </c>
      <c r="B354" s="239">
        <v>44677</v>
      </c>
      <c r="C354" s="240" t="s">
        <v>2141</v>
      </c>
      <c r="D354" s="240" t="s">
        <v>2142</v>
      </c>
      <c r="E354" s="241">
        <v>0</v>
      </c>
      <c r="F354" s="241">
        <v>330</v>
      </c>
      <c r="G354" s="241">
        <v>0</v>
      </c>
      <c r="H354" s="241">
        <v>0</v>
      </c>
      <c r="I354" s="241">
        <v>0</v>
      </c>
      <c r="J354" s="241">
        <v>0</v>
      </c>
      <c r="K354" s="241">
        <v>330</v>
      </c>
    </row>
    <row r="355" spans="1:11" x14ac:dyDescent="0.25">
      <c r="A355" s="239">
        <v>44682</v>
      </c>
      <c r="B355" s="239">
        <v>44707</v>
      </c>
      <c r="C355" s="240" t="s">
        <v>2143</v>
      </c>
      <c r="D355" s="240" t="s">
        <v>1817</v>
      </c>
      <c r="E355" s="241">
        <v>330</v>
      </c>
      <c r="F355" s="241">
        <v>0</v>
      </c>
      <c r="G355" s="241">
        <v>0</v>
      </c>
      <c r="H355" s="241">
        <v>0</v>
      </c>
      <c r="I355" s="241">
        <v>0</v>
      </c>
      <c r="J355" s="241">
        <v>0</v>
      </c>
      <c r="K355" s="241">
        <v>330</v>
      </c>
    </row>
    <row r="356" spans="1:11" x14ac:dyDescent="0.25">
      <c r="A356" s="242" t="s">
        <v>2144</v>
      </c>
      <c r="B356" s="242"/>
      <c r="C356" s="242"/>
      <c r="D356" s="242"/>
      <c r="E356" s="243">
        <f t="shared" ref="E356:K356" si="82">SUM(E354:E355)</f>
        <v>330</v>
      </c>
      <c r="F356" s="243">
        <f t="shared" si="82"/>
        <v>330</v>
      </c>
      <c r="G356" s="243">
        <f t="shared" si="82"/>
        <v>0</v>
      </c>
      <c r="H356" s="243">
        <f t="shared" si="82"/>
        <v>0</v>
      </c>
      <c r="I356" s="243">
        <f t="shared" si="82"/>
        <v>0</v>
      </c>
      <c r="J356" s="243">
        <f t="shared" si="82"/>
        <v>0</v>
      </c>
      <c r="K356" s="243">
        <f t="shared" si="82"/>
        <v>660</v>
      </c>
    </row>
    <row r="358" spans="1:11" ht="13" x14ac:dyDescent="0.25">
      <c r="A358" s="249" t="s">
        <v>2145</v>
      </c>
      <c r="B358" s="249"/>
      <c r="C358" s="249"/>
      <c r="D358" s="249"/>
      <c r="E358" s="249"/>
      <c r="F358" s="249"/>
      <c r="G358" s="249"/>
      <c r="H358" s="249"/>
      <c r="I358" s="249"/>
      <c r="J358" s="249"/>
      <c r="K358" s="249"/>
    </row>
    <row r="359" spans="1:11" x14ac:dyDescent="0.25">
      <c r="A359" s="239">
        <v>44652</v>
      </c>
      <c r="B359" s="239">
        <v>44677</v>
      </c>
      <c r="C359" s="240" t="s">
        <v>2146</v>
      </c>
      <c r="D359" s="240" t="s">
        <v>2147</v>
      </c>
      <c r="E359" s="241">
        <v>0</v>
      </c>
      <c r="F359" s="241">
        <v>412.5</v>
      </c>
      <c r="G359" s="241">
        <v>0</v>
      </c>
      <c r="H359" s="241">
        <v>0</v>
      </c>
      <c r="I359" s="241">
        <v>0</v>
      </c>
      <c r="J359" s="241">
        <v>0</v>
      </c>
      <c r="K359" s="241">
        <v>412.5</v>
      </c>
    </row>
    <row r="360" spans="1:11" x14ac:dyDescent="0.25">
      <c r="A360" s="242" t="s">
        <v>2148</v>
      </c>
      <c r="B360" s="242"/>
      <c r="C360" s="242"/>
      <c r="D360" s="242"/>
      <c r="E360" s="243">
        <f t="shared" ref="E360:K360" si="83">E359</f>
        <v>0</v>
      </c>
      <c r="F360" s="243">
        <f t="shared" si="83"/>
        <v>412.5</v>
      </c>
      <c r="G360" s="243">
        <f t="shared" si="83"/>
        <v>0</v>
      </c>
      <c r="H360" s="243">
        <f t="shared" si="83"/>
        <v>0</v>
      </c>
      <c r="I360" s="243">
        <f t="shared" si="83"/>
        <v>0</v>
      </c>
      <c r="J360" s="243">
        <f t="shared" si="83"/>
        <v>0</v>
      </c>
      <c r="K360" s="243">
        <f t="shared" si="83"/>
        <v>412.5</v>
      </c>
    </row>
    <row r="362" spans="1:11" ht="13" x14ac:dyDescent="0.25">
      <c r="A362" s="249" t="s">
        <v>2149</v>
      </c>
      <c r="B362" s="249"/>
      <c r="C362" s="249"/>
      <c r="D362" s="249"/>
      <c r="E362" s="249"/>
      <c r="F362" s="249"/>
      <c r="G362" s="249"/>
      <c r="H362" s="249"/>
      <c r="I362" s="249"/>
      <c r="J362" s="249"/>
      <c r="K362" s="249"/>
    </row>
    <row r="363" spans="1:11" x14ac:dyDescent="0.25">
      <c r="A363" s="239">
        <v>44621</v>
      </c>
      <c r="B363" s="239">
        <v>44646</v>
      </c>
      <c r="C363" s="240" t="s">
        <v>2150</v>
      </c>
      <c r="D363" s="240" t="s">
        <v>783</v>
      </c>
      <c r="E363" s="241">
        <v>0</v>
      </c>
      <c r="F363" s="241">
        <v>0</v>
      </c>
      <c r="G363" s="241">
        <v>2376</v>
      </c>
      <c r="H363" s="241">
        <v>0</v>
      </c>
      <c r="I363" s="241">
        <v>0</v>
      </c>
      <c r="J363" s="241">
        <v>0</v>
      </c>
      <c r="K363" s="241">
        <v>2376</v>
      </c>
    </row>
    <row r="364" spans="1:11" x14ac:dyDescent="0.25">
      <c r="A364" s="242" t="s">
        <v>2151</v>
      </c>
      <c r="B364" s="242"/>
      <c r="C364" s="242"/>
      <c r="D364" s="242"/>
      <c r="E364" s="243">
        <f t="shared" ref="E364:K364" si="84">E363</f>
        <v>0</v>
      </c>
      <c r="F364" s="243">
        <f t="shared" si="84"/>
        <v>0</v>
      </c>
      <c r="G364" s="243">
        <f t="shared" si="84"/>
        <v>2376</v>
      </c>
      <c r="H364" s="243">
        <f t="shared" si="84"/>
        <v>0</v>
      </c>
      <c r="I364" s="243">
        <f t="shared" si="84"/>
        <v>0</v>
      </c>
      <c r="J364" s="243">
        <f t="shared" si="84"/>
        <v>0</v>
      </c>
      <c r="K364" s="243">
        <f t="shared" si="84"/>
        <v>2376</v>
      </c>
    </row>
    <row r="366" spans="1:11" ht="13" x14ac:dyDescent="0.25">
      <c r="A366" s="249" t="s">
        <v>2152</v>
      </c>
      <c r="B366" s="249"/>
      <c r="C366" s="249"/>
      <c r="D366" s="249"/>
      <c r="E366" s="249"/>
      <c r="F366" s="249"/>
      <c r="G366" s="249"/>
      <c r="H366" s="249"/>
      <c r="I366" s="249"/>
      <c r="J366" s="249"/>
      <c r="K366" s="249"/>
    </row>
    <row r="367" spans="1:11" x14ac:dyDescent="0.25">
      <c r="A367" s="239">
        <v>44652</v>
      </c>
      <c r="B367" s="239">
        <v>44677</v>
      </c>
      <c r="C367" s="240" t="s">
        <v>2153</v>
      </c>
      <c r="D367" s="240" t="s">
        <v>1966</v>
      </c>
      <c r="E367" s="241">
        <v>0</v>
      </c>
      <c r="F367" s="241">
        <v>7081.25</v>
      </c>
      <c r="G367" s="241">
        <v>0</v>
      </c>
      <c r="H367" s="241">
        <v>0</v>
      </c>
      <c r="I367" s="241">
        <v>0</v>
      </c>
      <c r="J367" s="241">
        <v>0</v>
      </c>
      <c r="K367" s="241">
        <v>7081.25</v>
      </c>
    </row>
    <row r="368" spans="1:11" x14ac:dyDescent="0.25">
      <c r="A368" s="242" t="s">
        <v>2154</v>
      </c>
      <c r="B368" s="242"/>
      <c r="C368" s="242"/>
      <c r="D368" s="242"/>
      <c r="E368" s="243">
        <f t="shared" ref="E368:K368" si="85">E367</f>
        <v>0</v>
      </c>
      <c r="F368" s="243">
        <f t="shared" si="85"/>
        <v>7081.25</v>
      </c>
      <c r="G368" s="243">
        <f t="shared" si="85"/>
        <v>0</v>
      </c>
      <c r="H368" s="243">
        <f t="shared" si="85"/>
        <v>0</v>
      </c>
      <c r="I368" s="243">
        <f t="shared" si="85"/>
        <v>0</v>
      </c>
      <c r="J368" s="243">
        <f t="shared" si="85"/>
        <v>0</v>
      </c>
      <c r="K368" s="243">
        <f t="shared" si="85"/>
        <v>7081.25</v>
      </c>
    </row>
    <row r="370" spans="1:11" ht="13" x14ac:dyDescent="0.25">
      <c r="A370" s="249" t="s">
        <v>2155</v>
      </c>
      <c r="B370" s="249"/>
      <c r="C370" s="249"/>
      <c r="D370" s="249"/>
      <c r="E370" s="249"/>
      <c r="F370" s="249"/>
      <c r="G370" s="249"/>
      <c r="H370" s="249"/>
      <c r="I370" s="249"/>
      <c r="J370" s="249"/>
      <c r="K370" s="249"/>
    </row>
    <row r="371" spans="1:11" x14ac:dyDescent="0.25">
      <c r="A371" s="239">
        <v>44307</v>
      </c>
      <c r="B371" s="239">
        <v>44307</v>
      </c>
      <c r="C371" s="240" t="s">
        <v>2156</v>
      </c>
      <c r="D371" s="240" t="s">
        <v>2157</v>
      </c>
      <c r="E371" s="241">
        <v>0</v>
      </c>
      <c r="F371" s="241">
        <v>0</v>
      </c>
      <c r="G371" s="241">
        <v>0</v>
      </c>
      <c r="H371" s="241">
        <v>0</v>
      </c>
      <c r="I371" s="241">
        <v>0</v>
      </c>
      <c r="J371" s="241">
        <v>-0.3</v>
      </c>
      <c r="K371" s="241">
        <v>-0.3</v>
      </c>
    </row>
    <row r="372" spans="1:11" x14ac:dyDescent="0.25">
      <c r="A372" s="239">
        <v>44682</v>
      </c>
      <c r="B372" s="239">
        <v>44707</v>
      </c>
      <c r="C372" s="240" t="s">
        <v>2158</v>
      </c>
      <c r="D372" s="240" t="s">
        <v>1837</v>
      </c>
      <c r="E372" s="241">
        <v>825</v>
      </c>
      <c r="F372" s="241">
        <v>0</v>
      </c>
      <c r="G372" s="241">
        <v>0</v>
      </c>
      <c r="H372" s="241">
        <v>0</v>
      </c>
      <c r="I372" s="241">
        <v>0</v>
      </c>
      <c r="J372" s="241">
        <v>0</v>
      </c>
      <c r="K372" s="241">
        <v>825</v>
      </c>
    </row>
    <row r="373" spans="1:11" x14ac:dyDescent="0.25">
      <c r="A373" s="242" t="s">
        <v>2159</v>
      </c>
      <c r="B373" s="242"/>
      <c r="C373" s="242"/>
      <c r="D373" s="242"/>
      <c r="E373" s="243">
        <f t="shared" ref="E373:K373" si="86">SUM(E371:E372)</f>
        <v>825</v>
      </c>
      <c r="F373" s="243">
        <f t="shared" si="86"/>
        <v>0</v>
      </c>
      <c r="G373" s="243">
        <f t="shared" si="86"/>
        <v>0</v>
      </c>
      <c r="H373" s="243">
        <f t="shared" si="86"/>
        <v>0</v>
      </c>
      <c r="I373" s="243">
        <f t="shared" si="86"/>
        <v>0</v>
      </c>
      <c r="J373" s="243">
        <f t="shared" si="86"/>
        <v>-0.3</v>
      </c>
      <c r="K373" s="243">
        <f t="shared" si="86"/>
        <v>824.7</v>
      </c>
    </row>
    <row r="375" spans="1:11" x14ac:dyDescent="0.25">
      <c r="A375" s="244" t="s">
        <v>18</v>
      </c>
      <c r="B375" s="244"/>
      <c r="C375" s="244"/>
      <c r="D375" s="244"/>
      <c r="E375" s="245">
        <f t="shared" ref="E375:K375" si="87">SUM(E11,E15,E19,E23,E27,E31,E35,E39,E43,E48,E52,E56,E60,E64,E68,E72,E76,E80,E84,E88,E92,E96,E100,E104,E108,E112,E116,E120,E124,E128,E132,E136,E140,E144,E148,E152,E156,E160,E164,E171,E175,E179,E183,E188,E192,E197,E201,E205,E209,E213,E217,E223,E227,E232,E236,E240,E244,E248,E252,E256,E260,E264,E268,E272,E276,E281,E285,E289,E293,E298,E302,E306,E310,E317,E321,E326,E331,E335,E339,E343,E347,E351,E356,E360,E364,E368,E373)</f>
        <v>258136.47999999998</v>
      </c>
      <c r="F375" s="245">
        <f t="shared" si="87"/>
        <v>45404.11</v>
      </c>
      <c r="G375" s="245">
        <f t="shared" si="87"/>
        <v>2376</v>
      </c>
      <c r="H375" s="245">
        <f t="shared" si="87"/>
        <v>-1022.12</v>
      </c>
      <c r="I375" s="245">
        <f t="shared" si="87"/>
        <v>0</v>
      </c>
      <c r="J375" s="245">
        <f t="shared" si="87"/>
        <v>-3148.62</v>
      </c>
      <c r="K375" s="245">
        <f t="shared" si="87"/>
        <v>301745.84999999998</v>
      </c>
    </row>
    <row r="377" spans="1:11" x14ac:dyDescent="0.25">
      <c r="A377" s="244" t="s">
        <v>1803</v>
      </c>
      <c r="B377" s="244"/>
      <c r="C377" s="244"/>
      <c r="D377" s="244"/>
      <c r="E377" s="250">
        <f>(SUM(E11,E15,E19,E23,E27,E31,E35,E39,E43,E48,E52,E56,E60,E64,E68,E72,E76,E80,E84,E88,E92,E96,E100,E104,E108,E112,E116,E120,E124,E128,E132,E136,E140,E144,E148,E152,E156,E160,E164,E171,E175,E179,E183,E188,E192,E197,E201,E205,E209,E213,E217,E223,E227,E232,E236,E240,E244,E248,E252,E256,E260,E264,E268,E272,E276,E281,E285,E289,E293,E298,E302,E306,E310,E317,E321,E326,E331,E335,E339,E343,E347,E351,E356,E360,E364,E368,E373) / SUM(E11:J11,E15:J15,E19:J19,E23:J23,E27:J27,E31:J31,E35:J35,E39:J39,E43:J43,E48:J48,E52:J52,E56:J56,E60:J60,E64:J64,E68:J68,E72:J72,E76:J76,E80:J80,E84:J84,E88:J88,E92:J92,E96:J96,E100:J100,E104:J104,E108:J108,E112:J112,E116:J116,E120:J120,E124:J124,E128:J128,E132:J132,E136:J136,E140:J140,E144:J144,E148:J148,E152:J152,E156:J156,E160:J160,E164:J164,E171:J171,E175:J175,E179:J179,E183:J183,E188:J188,E192:J192,E197:J197,E201:J201,E205:J205,E209:J209,E213:J213,E217:J217,E223:J223,E227:J227,E232:J232,E236:J236,E240:J240,E244:J244,E248:J248,E252:J252,E256:J256,E260:J260,E264:J264,E268:J268,E272:J272,E276:J276,E281:J281,E285:J285,E289:J289,E293:J293,E298:J298,E302:J302,E306:J306,E310:J310,E317:J317,E321:J321,E326:J326,E331:J331,E335:J335,E339:J339,E343:J343,E347:J347,E351:J351,E356:J356,E360:J360,E364:J364,E368:J368,E373:J373))</f>
        <v>0.85547648791192987</v>
      </c>
      <c r="F377" s="250">
        <f>(SUM(F11,F15,F19,F23,F27,F31,F35,F39,F43,F48,F52,F56,F60,F64,F68,F72,F76,F80,F84,F88,F92,F96,F100,F104,F108,F112,F116,F120,F124,F128,F132,F136,F140,F144,F148,F152,F156,F160,F164,F171,F175,F179,F183,F188,F192,F197,F201,F205,F209,F213,F217,F223,F227,F232,F236,F240,F244,F248,F252,F256,F260,F264,F268,F272,F276,F281,F285,F289,F293,F298,F302,F306,F310,F317,F321,F326,F331,F335,F339,F343,F347,F351,F356,F360,F364,F368,F373) / SUM(E11:J11,E15:J15,E19:J19,E23:J23,E27:J27,E31:J31,E35:J35,E39:J39,E43:J43,E48:J48,E52:J52,E56:J56,E60:J60,E64:J64,E68:J68,E72:J72,E76:J76,E80:J80,E84:J84,E88:J88,E92:J92,E96:J96,E100:J100,E104:J104,E108:J108,E112:J112,E116:J116,E120:J120,E124:J124,E128:J128,E132:J132,E136:J136,E140:J140,E144:J144,E148:J148,E152:J152,E156:J156,E160:J160,E164:J164,E171:J171,E175:J175,E179:J179,E183:J183,E188:J188,E192:J192,E197:J197,E201:J201,E205:J205,E209:J209,E213:J213,E217:J217,E223:J223,E227:J227,E232:J232,E236:J236,E240:J240,E244:J244,E248:J248,E252:J252,E256:J256,E260:J260,E264:J264,E268:J268,E272:J272,E276:J276,E281:J281,E285:J285,E289:J289,E293:J293,E298:J298,E302:J302,E306:J306,E310:J310,E317:J317,E321:J321,E326:J326,E331:J331,E335:J335,E339:J339,E343:J343,E347:J347,E351:J351,E356:J356,E360:J360,E364:J364,E368:J368,E373:J373))</f>
        <v>0.15047136522341567</v>
      </c>
      <c r="G377" s="250">
        <f>(SUM(G11,G15,G19,G23,G27,G31,G35,G39,G43,G48,G52,G56,G60,G64,G68,G72,G76,G80,G84,G88,G92,G96,G100,G104,G108,G112,G116,G120,G124,G128,G132,G136,G140,G144,G148,G152,G156,G160,G164,G171,G175,G179,G183,G188,G192,G197,G201,G205,G209,G213,G217,G223,G227,G232,G236,G240,G244,G248,G252,G256,G260,G264,G268,G272,G276,G281,G285,G289,G293,G298,G302,G306,G310,G317,G321,G326,G331,G335,G339,G343,G347,G351,G356,G360,G364,G368,G373) / SUM(E11:J11,E15:J15,E19:J19,E23:J23,E27:J27,E31:J31,E35:J35,E39:J39,E43:J43,E48:J48,E52:J52,E56:J56,E60:J60,E64:J64,E68:J68,E72:J72,E76:J76,E80:J80,E84:J84,E88:J88,E92:J92,E96:J96,E100:J100,E104:J104,E108:J108,E112:J112,E116:J116,E120:J120,E124:J124,E128:J128,E132:J132,E136:J136,E140:J140,E144:J144,E148:J148,E152:J152,E156:J156,E160:J160,E164:J164,E171:J171,E175:J175,E179:J179,E183:J183,E188:J188,E192:J192,E197:J197,E201:J201,E205:J205,E209:J209,E213:J213,E217:J217,E223:J223,E227:J227,E232:J232,E236:J236,E240:J240,E244:J244,E248:J248,E252:J252,E256:J256,E260:J260,E264:J264,E268:J268,E272:J272,E276:J276,E281:J281,E285:J285,E289:J289,E293:J293,E298:J298,E302:J302,E306:J306,E310:J310,E317:J317,E321:J321,E326:J326,E331:J331,E335:J335,E339:J339,E343:J343,E347:J347,E351:J351,E356:J356,E360:J360,E364:J364,E368:J368,E373:J373))</f>
        <v>7.8741762314212451E-3</v>
      </c>
      <c r="H377" s="250">
        <f>(SUM(H11,H15,H19,H23,H27,H31,H35,H39,H43,H48,H52,H56,H60,H64,H68,H72,H76,H80,H84,H88,H92,H96,H100,H104,H108,H112,H116,H120,H124,H128,H132,H136,H140,H144,H148,H152,H156,H160,H164,H171,H175,H179,H183,H188,H192,H197,H201,H205,H209,H213,H217,H223,H227,H232,H236,H240,H244,H248,H252,H256,H260,H264,H268,H272,H276,H281,H285,H289,H293,H298,H302,H306,H310,H317,H321,H326,H331,H335,H339,H343,H347,H351,H356,H360,H364,H368,H373) / SUM(E11:J11,E15:J15,E19:J19,E23:J23,E27:J27,E31:J31,E35:J35,E39:J39,E43:J43,E48:J48,E52:J52,E56:J56,E60:J60,E64:J64,E68:J68,E72:J72,E76:J76,E80:J80,E84:J84,E88:J88,E92:J92,E96:J96,E100:J100,E104:J104,E108:J108,E112:J112,E116:J116,E120:J120,E124:J124,E128:J128,E132:J132,E136:J136,E140:J140,E144:J144,E148:J148,E152:J152,E156:J156,E160:J160,E164:J164,E171:J171,E175:J175,E179:J179,E183:J183,E188:J188,E192:J192,E197:J197,E201:J201,E205:J205,E209:J209,E213:J213,E217:J217,E223:J223,E227:J227,E232:J232,E236:J236,E240:J240,E244:J244,E248:J248,E252:J252,E256:J256,E260:J260,E264:J264,E268:J268,E272:J272,E276:J276,E281:J281,E285:J285,E289:J289,E293:J293,E298:J298,E302:J302,E306:J306,E310:J310,E317:J317,E321:J321,E326:J326,E331:J331,E335:J335,E339:J339,E343:J343,E347:J347,E351:J351,E356:J356,E360:J360,E364:J364,E368:J368,E373:J373))</f>
        <v>-3.3873539602947318E-3</v>
      </c>
      <c r="I377" s="250">
        <f>(SUM(I11,I15,I19,I23,I27,I31,I35,I39,I43,I48,I52,I56,I60,I64,I68,I72,I76,I80,I84,I88,I92,I96,I100,I104,I108,I112,I116,I120,I124,I128,I132,I136,I140,I144,I148,I152,I156,I160,I164,I171,I175,I179,I183,I188,I192,I197,I201,I205,I209,I213,I217,I223,I227,I232,I236,I240,I244,I248,I252,I256,I260,I264,I268,I272,I276,I281,I285,I289,I293,I298,I302,I306,I310,I317,I321,I326,I331,I335,I339,I343,I347,I351,I356,I360,I364,I368,I373) / SUM(E11:J11,E15:J15,E19:J19,E23:J23,E27:J27,E31:J31,E35:J35,E39:J39,E43:J43,E48:J48,E52:J52,E56:J56,E60:J60,E64:J64,E68:J68,E72:J72,E76:J76,E80:J80,E84:J84,E88:J88,E92:J92,E96:J96,E100:J100,E104:J104,E108:J108,E112:J112,E116:J116,E120:J120,E124:J124,E128:J128,E132:J132,E136:J136,E140:J140,E144:J144,E148:J148,E152:J152,E156:J156,E160:J160,E164:J164,E171:J171,E175:J175,E179:J179,E183:J183,E188:J188,E192:J192,E197:J197,E201:J201,E205:J205,E209:J209,E213:J213,E217:J217,E223:J223,E227:J227,E232:J232,E236:J236,E240:J240,E244:J244,E248:J248,E252:J252,E256:J256,E260:J260,E264:J264,E268:J268,E272:J272,E276:J276,E281:J281,E285:J285,E289:J289,E293:J293,E298:J298,E302:J302,E306:J306,E310:J310,E317:J317,E321:J321,E326:J326,E331:J331,E335:J335,E339:J339,E343:J343,E347:J347,E351:J351,E356:J356,E360:J360,E364:J364,E368:J368,E373:J373))</f>
        <v>0</v>
      </c>
      <c r="J377" s="250">
        <f>(SUM(J11,J15,J19,J23,J27,J31,J35,J39,J43,J48,J52,J56,J60,J64,J68,J72,J76,J80,J84,J88,J92,J96,J100,J104,J108,J112,J116,J120,J124,J128,J132,J136,J140,J144,J148,J152,J156,J160,J164,J171,J175,J179,J183,J188,J192,J197,J201,J205,J209,J213,J217,J223,J227,J232,J236,J240,J244,J248,J252,J256,J260,J264,J268,J272,J276,J281,J285,J289,J293,J298,J302,J306,J310,J317,J321,J326,J331,J335,J339,J343,J347,J351,J356,J360,J364,J368,J373) / SUM(E11:J11,E15:J15,E19:J19,E23:J23,E27:J27,E31:J31,E35:J35,E39:J39,E43:J43,E48:J48,E52:J52,E56:J56,E60:J60,E64:J64,E68:J68,E72:J72,E76:J76,E80:J80,E84:J84,E88:J88,E92:J92,E96:J96,E100:J100,E104:J104,E108:J108,E112:J112,E116:J116,E120:J120,E124:J124,E128:J128,E132:J132,E136:J136,E140:J140,E144:J144,E148:J148,E152:J152,E156:J156,E160:J160,E164:J164,E171:J171,E175:J175,E179:J179,E183:J183,E188:J188,E192:J192,E197:J197,E201:J201,E205:J205,E209:J209,E213:J213,E217:J217,E223:J223,E227:J227,E232:J232,E236:J236,E240:J240,E244:J244,E248:J248,E252:J252,E256:J256,E260:J260,E264:J264,E268:J268,E272:J272,E276:J276,E281:J281,E285:J285,E289:J289,E293:J293,E298:J298,E302:J302,E306:J306,E310:J310,E317:J317,E321:J321,E326:J326,E331:J331,E335:J335,E339:J339,E343:J343,E347:J347,E351:J351,E356:J356,E360:J360,E364:J364,E368:J368,E373:J373))</f>
        <v>-1.0434675406472036E-2</v>
      </c>
      <c r="K377" s="250">
        <f>(SUM(K11,K15,K19,K23,K27,K31,K35,K39,K43,K48,K52,K56,K60,K64,K68,K72,K76,K80,K84,K88,K92,K96,K100,K104,K108,K112,K116,K120,K124,K128,K132,K136,K140,K144,K148,K152,K156,K160,K164,K171,K175,K179,K183,K188,K192,K197,K201,K205,K209,K213,K217,K223,K227,K232,K236,K240,K244,K248,K252,K256,K260,K264,K268,K272,K276,K281,K285,K289,K293,K298,K302,K306,K310,K317,K321,K326,K331,K335,K339,K343,K347,K351,K356,K360,K364,K368,K373) / SUM(K11,K15,K19,K23,K27,K31,K35,K39,K43,K48,K52,K56,K60,K64,K68,K72,K76,K80,K84,K88,K92,K96,K100,K104,K108,K112,K116,K120,K124,K128,K132,K136,K140,K144,K148,K152,K156,K160,K164,K171,K175,K179,K183,K188,K192,K197,K201,K205,K209,K213,K217,K223,K227,K232,K236,K240,K244,K248,K252,K256,K260,K264,K268,K272,K276,K281,K285,K289,K293,K298,K302,K306,K310,K317,K321,K326,K331,K335,K339,K343,K347,K351,K356,K360,K364,K368,K373))</f>
        <v>1</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FY2021</vt:lpstr>
      <vt:lpstr>FY2020</vt:lpstr>
      <vt:lpstr>PAYGI</vt:lpstr>
      <vt:lpstr>Unfiled</vt:lpstr>
      <vt:lpstr>GST Summary</vt:lpstr>
      <vt:lpstr>GST Detail</vt:lpstr>
      <vt:lpstr>BAS field</vt:lpstr>
      <vt:lpstr>BS </vt:lpstr>
      <vt:lpstr>P&amp;L </vt:lpstr>
      <vt:lpstr>Payroll Activity Smry</vt:lpstr>
      <vt:lpstr>AP</vt:lpstr>
      <vt:lpstr>AR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Mark Onanad</dc:creator>
  <cp:keywords/>
  <dc:description/>
  <cp:lastModifiedBy>Gerardo Macawile</cp:lastModifiedBy>
  <cp:revision/>
  <dcterms:created xsi:type="dcterms:W3CDTF">2020-08-16T03:04:07Z</dcterms:created>
  <dcterms:modified xsi:type="dcterms:W3CDTF">2023-02-24T01:53:25Z</dcterms:modified>
  <cp:category/>
  <cp:contentStatus/>
</cp:coreProperties>
</file>